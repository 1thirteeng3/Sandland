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Tarefas" sheetId="3" state="visible" r:id="rId3"/>
    <sheet xmlns:r="http://schemas.openxmlformats.org/officeDocument/2006/relationships" name="Versões" sheetId="4" state="visible" r:id="rId4"/>
    <sheet xmlns:r="http://schemas.openxmlformats.org/officeDocument/2006/relationships" name="Sprints" sheetId="5" state="visible" r:id="rId5"/>
    <sheet xmlns:r="http://schemas.openxmlformats.org/officeDocument/2006/relationships" name="Requisitos" sheetId="6" state="visible" r:id="rId6"/>
    <sheet xmlns:r="http://schemas.openxmlformats.org/officeDocument/2006/relationships" name="ADRs" sheetId="7" state="visible" r:id="rId7"/>
    <sheet xmlns:r="http://schemas.openxmlformats.org/officeDocument/2006/relationships" name="Motores" sheetId="8" state="visible" r:id="rId8"/>
    <sheet xmlns:r="http://schemas.openxmlformats.org/officeDocument/2006/relationships" name="Riscos" sheetId="9" state="visible" r:id="rId9"/>
    <sheet xmlns:r="http://schemas.openxmlformats.org/officeDocument/2006/relationships" name="Dependências" sheetId="10" state="visible" r:id="rId10"/>
    <sheet xmlns:r="http://schemas.openxmlformats.org/officeDocument/2006/relationships" name="Gates" sheetId="11" state="visible" r:id="rId11"/>
  </sheets>
  <definedNames>
    <definedName name="_xlnm.Print_Titles" localSheetId="2">'Tarefas'!$1:$1</definedName>
    <definedName name="_xlnm.Print_Titles" localSheetId="3">'Versões'!$1:$1</definedName>
    <definedName name="_xlnm.Print_Titles" localSheetId="4">'Sprints'!$1:$1</definedName>
    <definedName name="_xlnm.Print_Titles" localSheetId="5">'Requisitos'!$1:$1</definedName>
    <definedName name="_xlnm.Print_Titles" localSheetId="6">'ADRs'!$1:$1</definedName>
    <definedName name="_xlnm.Print_Titles" localSheetId="7">'Motores'!$1:$1</definedName>
    <definedName name="_xlnm.Print_Titles" localSheetId="8">'Riscos'!$1:$1</definedName>
    <definedName name="_xlnm.Print_Titles" localSheetId="9">'Dependências'!$1:$1</definedName>
    <definedName name="_xlnm.Print_Titles" localSheetId="10">'Gates'!$1:$1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0F766E"/>
      <sz val="11"/>
    </font>
    <font>
      <name val="Calibri"/>
      <color rgb="00102A43"/>
      <sz val="11"/>
    </font>
    <font>
      <name val="Calibri"/>
      <b val="1"/>
      <color rgb="00FFFFFF"/>
      <sz val="11"/>
    </font>
    <font>
      <name val="Calibri"/>
      <color rgb="002563EB"/>
      <sz val="11"/>
      <u val="single"/>
    </font>
    <font>
      <name val="Calibri"/>
      <b val="1"/>
      <color rgb="000F766E"/>
      <sz val="12"/>
    </font>
    <font>
      <name val="Calibri"/>
      <b val="1"/>
      <color rgb="00102A43"/>
      <sz val="16"/>
    </font>
  </fonts>
  <fills count="4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0FD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center" wrapText="1"/>
    </xf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DE8E8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BEA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Tarefas planejadas por marco — não duração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'Versões'!F1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'Versões'!$A$2:$A$20</f>
            </numRef>
          </cat>
          <val>
            <numRef>
              <f>'Versões'!$F$2:$F$20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de tarefas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Marco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9720000" cy="68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Tarefas" displayName="TabelaTarefas" ref="A1:Y793" headerRowCount="1">
  <autoFilter ref="A1:Y793"/>
  <tableColumns count="25">
    <tableColumn id="1" name="Ordem"/>
    <tableColumn id="2" name="ID"/>
    <tableColumn id="3" name="Versão"/>
    <tableColumn id="4" name="Sprint"/>
    <tableColumn id="5" name="Componente"/>
    <tableColumn id="6" name="Forma de integração"/>
    <tableColumn id="7" name="Tipo"/>
    <tableColumn id="8" name="Tarefa"/>
    <tableColumn id="9" name="Passo de execução"/>
    <tableColumn id="10" name="Artefato a produzir"/>
    <tableColumn id="11" name="Critério de aceite"/>
    <tableColumn id="12" name="Dependências"/>
    <tableColumn id="13" name="Requisitos"/>
    <tableColumn id="14" name="Status"/>
    <tableColumn id="15" name="Prioridade na versão"/>
    <tableColumn id="16" name="Risco"/>
    <tableColumn id="17" name="Aplicabilidade"/>
    <tableColumn id="18" name="Responsável"/>
    <tableColumn id="19" name="Revisor humano"/>
    <tableColumn id="20" name="Data de aceite"/>
    <tableColumn id="21" name="Evidência exigida"/>
    <tableColumn id="22" name="Evidência obtida"/>
    <tableColumn id="23" name="ADR / justificativa"/>
    <tableColumn id="24" name="Fechamento"/>
    <tableColumn id="25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Versoes" displayName="TabelaVersoes" ref="A1:L20" headerRowCount="1">
  <autoFilter ref="A1:L20"/>
  <tableColumns count="12">
    <tableColumn id="1" name="Versão"/>
    <tableColumn id="2" name="Nome"/>
    <tableColumn id="3" name="Maturidade"/>
    <tableColumn id="4" name="Sprints"/>
    <tableColumn id="5" name="Nº sprints"/>
    <tableColumn id="6" name="Tarefas"/>
    <tableColumn id="7" name="Gates"/>
    <tableColumn id="8" name="Entregável diferente"/>
    <tableColumn id="9" name="Tarefas aceitas"/>
    <tableColumn id="10" name="Gates aceitos"/>
    <tableColumn id="11" name="Tarefas dispensadas"/>
    <tableColumn id="12" name="Progresso aplicá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Sprints" displayName="TabelaSprints" ref="A1:Q73" headerRowCount="1">
  <autoFilter ref="A1:Q73"/>
  <tableColumns count="17">
    <tableColumn id="1" name="Sprint"/>
    <tableColumn id="2" name="Versão"/>
    <tableColumn id="3" name="Objetivo curto"/>
    <tableColumn id="4" name="Objetivo verificável"/>
    <tableColumn id="5" name="Componente"/>
    <tableColumn id="6" name="Forma"/>
    <tableColumn id="7" name="Pré-requisitos técnicos"/>
    <tableColumn id="8" name="Requisitos"/>
    <tableColumn id="9" name="Entrega"/>
    <tableColumn id="10" name="Demonstração de aceite"/>
    <tableColumn id="11" name="Gate"/>
    <tableColumn id="12" name="Risco"/>
    <tableColumn id="13" name="Observação"/>
    <tableColumn id="14" name="Tarefas aceitas"/>
    <tableColumn id="15" name="Total tarefas"/>
    <tableColumn id="16" name="Dispensadas válidas"/>
    <tableColumn id="17" name="Progresso aplicá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aRequisitos" displayName="TabelaRequisitos" ref="A1:F38" headerRowCount="1">
  <autoFilter ref="A1:F38"/>
  <tableColumns count="6">
    <tableColumn id="1" name="ID"/>
    <tableColumn id="2" name="Área"/>
    <tableColumn id="3" name="Requisito"/>
    <tableColumn id="4" name="Origem"/>
    <tableColumn id="5" name="Sprints planejados"/>
    <tableColumn id="6" name="Verific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aADRs" displayName="TabelaADRs" ref="A1:G19" headerRowCount="1">
  <autoFilter ref="A1:G19"/>
  <tableColumns count="7">
    <tableColumn id="1" name="ID"/>
    <tableColumn id="2" name="Decisão"/>
    <tableColumn id="3" name="Sprint"/>
    <tableColumn id="4" name="Resultado esperado"/>
    <tableColumn id="5" name="Estado"/>
    <tableColumn id="6" name="Aprovador"/>
    <tableColumn id="7" name="Evidência re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aMotores" displayName="TabelaMotores" ref="A1:G12" headerRowCount="1">
  <autoFilter ref="A1:G12"/>
  <tableColumns count="7">
    <tableColumn id="1" name="Motor"/>
    <tableColumn id="2" name="Trilha de sprints"/>
    <tableColumn id="3" name="Modo de integração"/>
    <tableColumn id="4" name="Recorte a reutilizar"/>
    <tableColumn id="5" name="Excluir"/>
    <tableColumn id="6" name="Desenvolvimento próprio"/>
    <tableColumn id="7" name="Referência inici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aRiscos" displayName="TabelaRiscos" ref="A1:E19" headerRowCount="1">
  <autoFilter ref="A1:E19"/>
  <tableColumns count="5">
    <tableColumn id="1" name="ID"/>
    <tableColumn id="2" name="Risco"/>
    <tableColumn id="3" name="Severidade"/>
    <tableColumn id="4" name="Onde"/>
    <tableColumn id="5" name="Resposta / contingê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aDependencias" displayName="TabelaDependencias" ref="A1:E1547" headerRowCount="1">
  <autoFilter ref="A1:E1547"/>
  <tableColumns count="5">
    <tableColumn id="1" name="Pré-requisito ID"/>
    <tableColumn id="2" name="Item dependente ID"/>
    <tableColumn id="3" name="Sprint origem"/>
    <tableColumn id="4" name="Sprint destino"/>
    <tableColumn id="5" name="Regr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elaGates" displayName="TabelaGates" ref="A1:G73" headerRowCount="1">
  <autoFilter ref="A1:G73"/>
  <tableColumns count="7">
    <tableColumn id="1" name="Gate"/>
    <tableColumn id="2" name="Sprint"/>
    <tableColumn id="3" name="Versão"/>
    <tableColumn id="4" name="Demonstração"/>
    <tableColumn id="5" name="Entregável"/>
    <tableColumn id="6" name="Evidência exigida"/>
    <tableColumn id="7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andland-Roadmap-v0-a-v2.md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Tarefas'!A1" TargetMode="External" Id="rId1"/><Relationship Type="http://schemas.openxmlformats.org/officeDocument/2006/relationships/hyperlink" Target="#'Sprints'!A1" TargetMode="External" Id="rId2"/><Relationship Type="http://schemas.openxmlformats.org/officeDocument/2006/relationships/hyperlink" Target="#'Vers&#245;es'!A1" TargetMode="External" Id="rId3"/><Relationship Type="http://schemas.openxmlformats.org/officeDocument/2006/relationships/hyperlink" Target="#'Motores'!A1" TargetMode="External" Id="rId4"/><Relationship Type="http://schemas.openxmlformats.org/officeDocument/2006/relationships/hyperlink" Target="#'Requisitos'!A1" TargetMode="External" Id="rId5"/><Relationship Type="http://schemas.openxmlformats.org/officeDocument/2006/relationships/hyperlink" Target="#'ADRs'!A1" TargetMode="External" Id="rId6"/><Relationship Type="http://schemas.openxmlformats.org/officeDocument/2006/relationships/hyperlink" Target="#'Gates'!A1" TargetMode="External" Id="rId7"/><Relationship Type="http://schemas.openxmlformats.org/officeDocument/2006/relationships/hyperlink" Target="#'Riscos'!A1" TargetMode="External" Id="rId8"/><Relationship Type="http://schemas.openxmlformats.org/officeDocument/2006/relationships/hyperlink" Target="#'Depend&#234;ncias'!A1" TargetMode="External" Id="rId9"/><Relationship Type="http://schemas.openxmlformats.org/officeDocument/2006/relationships/drawing" Target="/xl/drawings/drawing1.xml" Id="rId10"/></Relationships>
</file>

<file path=xl/worksheets/_rels/sheet3.xml.rels><Relationships xmlns="http://schemas.openxmlformats.org/package/2006/relationships"><Relationship Type="http://schemas.openxmlformats.org/officeDocument/2006/relationships/hyperlink" Target="#'Vers&#245;es'!A2" TargetMode="External" Id="rId1"/><Relationship Type="http://schemas.openxmlformats.org/officeDocument/2006/relationships/hyperlink" Target="#'Sprints'!A2" TargetMode="External" Id="rId2"/><Relationship Type="http://schemas.openxmlformats.org/officeDocument/2006/relationships/hyperlink" Target="#'Vers&#245;es'!A2" TargetMode="External" Id="rId3"/><Relationship Type="http://schemas.openxmlformats.org/officeDocument/2006/relationships/hyperlink" Target="#'Sprints'!A2" TargetMode="External" Id="rId4"/><Relationship Type="http://schemas.openxmlformats.org/officeDocument/2006/relationships/hyperlink" Target="#'Vers&#245;es'!A2" TargetMode="External" Id="rId5"/><Relationship Type="http://schemas.openxmlformats.org/officeDocument/2006/relationships/hyperlink" Target="#'Sprints'!A2" TargetMode="External" Id="rId6"/><Relationship Type="http://schemas.openxmlformats.org/officeDocument/2006/relationships/hyperlink" Target="#'Vers&#245;es'!A2" TargetMode="External" Id="rId7"/><Relationship Type="http://schemas.openxmlformats.org/officeDocument/2006/relationships/hyperlink" Target="#'Sprints'!A2" TargetMode="External" Id="rId8"/><Relationship Type="http://schemas.openxmlformats.org/officeDocument/2006/relationships/hyperlink" Target="#'Vers&#245;es'!A2" TargetMode="External" Id="rId9"/><Relationship Type="http://schemas.openxmlformats.org/officeDocument/2006/relationships/hyperlink" Target="#'Sprints'!A2" TargetMode="External" Id="rId10"/><Relationship Type="http://schemas.openxmlformats.org/officeDocument/2006/relationships/hyperlink" Target="#'Vers&#245;es'!A2" TargetMode="External" Id="rId11"/><Relationship Type="http://schemas.openxmlformats.org/officeDocument/2006/relationships/hyperlink" Target="#'Sprints'!A2" TargetMode="External" Id="rId12"/><Relationship Type="http://schemas.openxmlformats.org/officeDocument/2006/relationships/hyperlink" Target="#'Vers&#245;es'!A2" TargetMode="External" Id="rId13"/><Relationship Type="http://schemas.openxmlformats.org/officeDocument/2006/relationships/hyperlink" Target="#'Sprints'!A2" TargetMode="External" Id="rId14"/><Relationship Type="http://schemas.openxmlformats.org/officeDocument/2006/relationships/hyperlink" Target="#'Vers&#245;es'!A2" TargetMode="External" Id="rId15"/><Relationship Type="http://schemas.openxmlformats.org/officeDocument/2006/relationships/hyperlink" Target="#'Sprints'!A2" TargetMode="External" Id="rId16"/><Relationship Type="http://schemas.openxmlformats.org/officeDocument/2006/relationships/hyperlink" Target="#'Vers&#245;es'!A2" TargetMode="External" Id="rId17"/><Relationship Type="http://schemas.openxmlformats.org/officeDocument/2006/relationships/hyperlink" Target="#'Sprints'!A2" TargetMode="External" Id="rId18"/><Relationship Type="http://schemas.openxmlformats.org/officeDocument/2006/relationships/hyperlink" Target="#'Vers&#245;es'!A2" TargetMode="External" Id="rId19"/><Relationship Type="http://schemas.openxmlformats.org/officeDocument/2006/relationships/hyperlink" Target="#'Sprints'!A2" TargetMode="External" Id="rId20"/><Relationship Type="http://schemas.openxmlformats.org/officeDocument/2006/relationships/hyperlink" Target="#'Vers&#245;es'!A2" TargetMode="External" Id="rId21"/><Relationship Type="http://schemas.openxmlformats.org/officeDocument/2006/relationships/hyperlink" Target="#'Sprints'!A2" TargetMode="External" Id="rId22"/><Relationship Type="http://schemas.openxmlformats.org/officeDocument/2006/relationships/hyperlink" Target="#'Vers&#245;es'!A2" TargetMode="External" Id="rId23"/><Relationship Type="http://schemas.openxmlformats.org/officeDocument/2006/relationships/hyperlink" Target="#'Sprints'!A3" TargetMode="External" Id="rId24"/><Relationship Type="http://schemas.openxmlformats.org/officeDocument/2006/relationships/hyperlink" Target="#'Vers&#245;es'!A2" TargetMode="External" Id="rId25"/><Relationship Type="http://schemas.openxmlformats.org/officeDocument/2006/relationships/hyperlink" Target="#'Sprints'!A3" TargetMode="External" Id="rId26"/><Relationship Type="http://schemas.openxmlformats.org/officeDocument/2006/relationships/hyperlink" Target="#'Vers&#245;es'!A2" TargetMode="External" Id="rId27"/><Relationship Type="http://schemas.openxmlformats.org/officeDocument/2006/relationships/hyperlink" Target="#'Sprints'!A3" TargetMode="External" Id="rId28"/><Relationship Type="http://schemas.openxmlformats.org/officeDocument/2006/relationships/hyperlink" Target="#'Vers&#245;es'!A2" TargetMode="External" Id="rId29"/><Relationship Type="http://schemas.openxmlformats.org/officeDocument/2006/relationships/hyperlink" Target="#'Sprints'!A3" TargetMode="External" Id="rId30"/><Relationship Type="http://schemas.openxmlformats.org/officeDocument/2006/relationships/hyperlink" Target="#'Vers&#245;es'!A2" TargetMode="External" Id="rId31"/><Relationship Type="http://schemas.openxmlformats.org/officeDocument/2006/relationships/hyperlink" Target="#'Sprints'!A3" TargetMode="External" Id="rId32"/><Relationship Type="http://schemas.openxmlformats.org/officeDocument/2006/relationships/hyperlink" Target="#'Vers&#245;es'!A2" TargetMode="External" Id="rId33"/><Relationship Type="http://schemas.openxmlformats.org/officeDocument/2006/relationships/hyperlink" Target="#'Sprints'!A3" TargetMode="External" Id="rId34"/><Relationship Type="http://schemas.openxmlformats.org/officeDocument/2006/relationships/hyperlink" Target="#'Vers&#245;es'!A2" TargetMode="External" Id="rId35"/><Relationship Type="http://schemas.openxmlformats.org/officeDocument/2006/relationships/hyperlink" Target="#'Sprints'!A3" TargetMode="External" Id="rId36"/><Relationship Type="http://schemas.openxmlformats.org/officeDocument/2006/relationships/hyperlink" Target="#'Vers&#245;es'!A2" TargetMode="External" Id="rId37"/><Relationship Type="http://schemas.openxmlformats.org/officeDocument/2006/relationships/hyperlink" Target="#'Sprints'!A3" TargetMode="External" Id="rId38"/><Relationship Type="http://schemas.openxmlformats.org/officeDocument/2006/relationships/hyperlink" Target="#'Vers&#245;es'!A2" TargetMode="External" Id="rId39"/><Relationship Type="http://schemas.openxmlformats.org/officeDocument/2006/relationships/hyperlink" Target="#'Sprints'!A3" TargetMode="External" Id="rId40"/><Relationship Type="http://schemas.openxmlformats.org/officeDocument/2006/relationships/hyperlink" Target="#'Vers&#245;es'!A2" TargetMode="External" Id="rId41"/><Relationship Type="http://schemas.openxmlformats.org/officeDocument/2006/relationships/hyperlink" Target="#'Sprints'!A3" TargetMode="External" Id="rId42"/><Relationship Type="http://schemas.openxmlformats.org/officeDocument/2006/relationships/hyperlink" Target="#'Vers&#245;es'!A2" TargetMode="External" Id="rId43"/><Relationship Type="http://schemas.openxmlformats.org/officeDocument/2006/relationships/hyperlink" Target="#'Sprints'!A3" TargetMode="External" Id="rId44"/><Relationship Type="http://schemas.openxmlformats.org/officeDocument/2006/relationships/hyperlink" Target="#'Vers&#245;es'!A2" TargetMode="External" Id="rId45"/><Relationship Type="http://schemas.openxmlformats.org/officeDocument/2006/relationships/hyperlink" Target="#'Sprints'!A4" TargetMode="External" Id="rId46"/><Relationship Type="http://schemas.openxmlformats.org/officeDocument/2006/relationships/hyperlink" Target="#'Vers&#245;es'!A2" TargetMode="External" Id="rId47"/><Relationship Type="http://schemas.openxmlformats.org/officeDocument/2006/relationships/hyperlink" Target="#'Sprints'!A4" TargetMode="External" Id="rId48"/><Relationship Type="http://schemas.openxmlformats.org/officeDocument/2006/relationships/hyperlink" Target="#'Vers&#245;es'!A2" TargetMode="External" Id="rId49"/><Relationship Type="http://schemas.openxmlformats.org/officeDocument/2006/relationships/hyperlink" Target="#'Sprints'!A4" TargetMode="External" Id="rId50"/><Relationship Type="http://schemas.openxmlformats.org/officeDocument/2006/relationships/hyperlink" Target="#'Vers&#245;es'!A2" TargetMode="External" Id="rId51"/><Relationship Type="http://schemas.openxmlformats.org/officeDocument/2006/relationships/hyperlink" Target="#'Sprints'!A4" TargetMode="External" Id="rId52"/><Relationship Type="http://schemas.openxmlformats.org/officeDocument/2006/relationships/hyperlink" Target="#'Vers&#245;es'!A2" TargetMode="External" Id="rId53"/><Relationship Type="http://schemas.openxmlformats.org/officeDocument/2006/relationships/hyperlink" Target="#'Sprints'!A4" TargetMode="External" Id="rId54"/><Relationship Type="http://schemas.openxmlformats.org/officeDocument/2006/relationships/hyperlink" Target="#'Vers&#245;es'!A2" TargetMode="External" Id="rId55"/><Relationship Type="http://schemas.openxmlformats.org/officeDocument/2006/relationships/hyperlink" Target="#'Sprints'!A4" TargetMode="External" Id="rId56"/><Relationship Type="http://schemas.openxmlformats.org/officeDocument/2006/relationships/hyperlink" Target="#'Vers&#245;es'!A2" TargetMode="External" Id="rId57"/><Relationship Type="http://schemas.openxmlformats.org/officeDocument/2006/relationships/hyperlink" Target="#'Sprints'!A4" TargetMode="External" Id="rId58"/><Relationship Type="http://schemas.openxmlformats.org/officeDocument/2006/relationships/hyperlink" Target="#'Vers&#245;es'!A2" TargetMode="External" Id="rId59"/><Relationship Type="http://schemas.openxmlformats.org/officeDocument/2006/relationships/hyperlink" Target="#'Sprints'!A4" TargetMode="External" Id="rId60"/><Relationship Type="http://schemas.openxmlformats.org/officeDocument/2006/relationships/hyperlink" Target="#'Vers&#245;es'!A2" TargetMode="External" Id="rId61"/><Relationship Type="http://schemas.openxmlformats.org/officeDocument/2006/relationships/hyperlink" Target="#'Sprints'!A4" TargetMode="External" Id="rId62"/><Relationship Type="http://schemas.openxmlformats.org/officeDocument/2006/relationships/hyperlink" Target="#'Vers&#245;es'!A2" TargetMode="External" Id="rId63"/><Relationship Type="http://schemas.openxmlformats.org/officeDocument/2006/relationships/hyperlink" Target="#'Sprints'!A4" TargetMode="External" Id="rId64"/><Relationship Type="http://schemas.openxmlformats.org/officeDocument/2006/relationships/hyperlink" Target="#'Vers&#245;es'!A2" TargetMode="External" Id="rId65"/><Relationship Type="http://schemas.openxmlformats.org/officeDocument/2006/relationships/hyperlink" Target="#'Sprints'!A4" TargetMode="External" Id="rId66"/><Relationship Type="http://schemas.openxmlformats.org/officeDocument/2006/relationships/hyperlink" Target="#'Vers&#245;es'!A3" TargetMode="External" Id="rId67"/><Relationship Type="http://schemas.openxmlformats.org/officeDocument/2006/relationships/hyperlink" Target="#'Sprints'!A5" TargetMode="External" Id="rId68"/><Relationship Type="http://schemas.openxmlformats.org/officeDocument/2006/relationships/hyperlink" Target="#'Vers&#245;es'!A3" TargetMode="External" Id="rId69"/><Relationship Type="http://schemas.openxmlformats.org/officeDocument/2006/relationships/hyperlink" Target="#'Sprints'!A5" TargetMode="External" Id="rId70"/><Relationship Type="http://schemas.openxmlformats.org/officeDocument/2006/relationships/hyperlink" Target="#'Vers&#245;es'!A3" TargetMode="External" Id="rId71"/><Relationship Type="http://schemas.openxmlformats.org/officeDocument/2006/relationships/hyperlink" Target="#'Sprints'!A5" TargetMode="External" Id="rId72"/><Relationship Type="http://schemas.openxmlformats.org/officeDocument/2006/relationships/hyperlink" Target="#'Vers&#245;es'!A3" TargetMode="External" Id="rId73"/><Relationship Type="http://schemas.openxmlformats.org/officeDocument/2006/relationships/hyperlink" Target="#'Sprints'!A5" TargetMode="External" Id="rId74"/><Relationship Type="http://schemas.openxmlformats.org/officeDocument/2006/relationships/hyperlink" Target="#'Vers&#245;es'!A3" TargetMode="External" Id="rId75"/><Relationship Type="http://schemas.openxmlformats.org/officeDocument/2006/relationships/hyperlink" Target="#'Sprints'!A5" TargetMode="External" Id="rId76"/><Relationship Type="http://schemas.openxmlformats.org/officeDocument/2006/relationships/hyperlink" Target="#'Vers&#245;es'!A3" TargetMode="External" Id="rId77"/><Relationship Type="http://schemas.openxmlformats.org/officeDocument/2006/relationships/hyperlink" Target="#'Sprints'!A5" TargetMode="External" Id="rId78"/><Relationship Type="http://schemas.openxmlformats.org/officeDocument/2006/relationships/hyperlink" Target="#'Vers&#245;es'!A3" TargetMode="External" Id="rId79"/><Relationship Type="http://schemas.openxmlformats.org/officeDocument/2006/relationships/hyperlink" Target="#'Sprints'!A5" TargetMode="External" Id="rId80"/><Relationship Type="http://schemas.openxmlformats.org/officeDocument/2006/relationships/hyperlink" Target="#'Vers&#245;es'!A3" TargetMode="External" Id="rId81"/><Relationship Type="http://schemas.openxmlformats.org/officeDocument/2006/relationships/hyperlink" Target="#'Sprints'!A5" TargetMode="External" Id="rId82"/><Relationship Type="http://schemas.openxmlformats.org/officeDocument/2006/relationships/hyperlink" Target="#'Vers&#245;es'!A3" TargetMode="External" Id="rId83"/><Relationship Type="http://schemas.openxmlformats.org/officeDocument/2006/relationships/hyperlink" Target="#'Sprints'!A5" TargetMode="External" Id="rId84"/><Relationship Type="http://schemas.openxmlformats.org/officeDocument/2006/relationships/hyperlink" Target="#'Vers&#245;es'!A3" TargetMode="External" Id="rId85"/><Relationship Type="http://schemas.openxmlformats.org/officeDocument/2006/relationships/hyperlink" Target="#'Sprints'!A5" TargetMode="External" Id="rId86"/><Relationship Type="http://schemas.openxmlformats.org/officeDocument/2006/relationships/hyperlink" Target="#'Vers&#245;es'!A3" TargetMode="External" Id="rId87"/><Relationship Type="http://schemas.openxmlformats.org/officeDocument/2006/relationships/hyperlink" Target="#'Sprints'!A5" TargetMode="External" Id="rId88"/><Relationship Type="http://schemas.openxmlformats.org/officeDocument/2006/relationships/hyperlink" Target="#'Vers&#245;es'!A3" TargetMode="External" Id="rId89"/><Relationship Type="http://schemas.openxmlformats.org/officeDocument/2006/relationships/hyperlink" Target="#'Sprints'!A6" TargetMode="External" Id="rId90"/><Relationship Type="http://schemas.openxmlformats.org/officeDocument/2006/relationships/hyperlink" Target="#'Vers&#245;es'!A3" TargetMode="External" Id="rId91"/><Relationship Type="http://schemas.openxmlformats.org/officeDocument/2006/relationships/hyperlink" Target="#'Sprints'!A6" TargetMode="External" Id="rId92"/><Relationship Type="http://schemas.openxmlformats.org/officeDocument/2006/relationships/hyperlink" Target="#'Vers&#245;es'!A3" TargetMode="External" Id="rId93"/><Relationship Type="http://schemas.openxmlformats.org/officeDocument/2006/relationships/hyperlink" Target="#'Sprints'!A6" TargetMode="External" Id="rId94"/><Relationship Type="http://schemas.openxmlformats.org/officeDocument/2006/relationships/hyperlink" Target="#'Vers&#245;es'!A3" TargetMode="External" Id="rId95"/><Relationship Type="http://schemas.openxmlformats.org/officeDocument/2006/relationships/hyperlink" Target="#'Sprints'!A6" TargetMode="External" Id="rId96"/><Relationship Type="http://schemas.openxmlformats.org/officeDocument/2006/relationships/hyperlink" Target="#'Vers&#245;es'!A3" TargetMode="External" Id="rId97"/><Relationship Type="http://schemas.openxmlformats.org/officeDocument/2006/relationships/hyperlink" Target="#'Sprints'!A6" TargetMode="External" Id="rId98"/><Relationship Type="http://schemas.openxmlformats.org/officeDocument/2006/relationships/hyperlink" Target="#'Vers&#245;es'!A3" TargetMode="External" Id="rId99"/><Relationship Type="http://schemas.openxmlformats.org/officeDocument/2006/relationships/hyperlink" Target="#'Sprints'!A6" TargetMode="External" Id="rId100"/><Relationship Type="http://schemas.openxmlformats.org/officeDocument/2006/relationships/hyperlink" Target="#'Vers&#245;es'!A3" TargetMode="External" Id="rId101"/><Relationship Type="http://schemas.openxmlformats.org/officeDocument/2006/relationships/hyperlink" Target="#'Sprints'!A6" TargetMode="External" Id="rId102"/><Relationship Type="http://schemas.openxmlformats.org/officeDocument/2006/relationships/hyperlink" Target="#'Vers&#245;es'!A3" TargetMode="External" Id="rId103"/><Relationship Type="http://schemas.openxmlformats.org/officeDocument/2006/relationships/hyperlink" Target="#'Sprints'!A6" TargetMode="External" Id="rId104"/><Relationship Type="http://schemas.openxmlformats.org/officeDocument/2006/relationships/hyperlink" Target="#'Vers&#245;es'!A3" TargetMode="External" Id="rId105"/><Relationship Type="http://schemas.openxmlformats.org/officeDocument/2006/relationships/hyperlink" Target="#'Sprints'!A6" TargetMode="External" Id="rId106"/><Relationship Type="http://schemas.openxmlformats.org/officeDocument/2006/relationships/hyperlink" Target="#'Vers&#245;es'!A3" TargetMode="External" Id="rId107"/><Relationship Type="http://schemas.openxmlformats.org/officeDocument/2006/relationships/hyperlink" Target="#'Sprints'!A6" TargetMode="External" Id="rId108"/><Relationship Type="http://schemas.openxmlformats.org/officeDocument/2006/relationships/hyperlink" Target="#'Vers&#245;es'!A3" TargetMode="External" Id="rId109"/><Relationship Type="http://schemas.openxmlformats.org/officeDocument/2006/relationships/hyperlink" Target="#'Sprints'!A6" TargetMode="External" Id="rId110"/><Relationship Type="http://schemas.openxmlformats.org/officeDocument/2006/relationships/hyperlink" Target="#'Vers&#245;es'!A3" TargetMode="External" Id="rId111"/><Relationship Type="http://schemas.openxmlformats.org/officeDocument/2006/relationships/hyperlink" Target="#'Sprints'!A7" TargetMode="External" Id="rId112"/><Relationship Type="http://schemas.openxmlformats.org/officeDocument/2006/relationships/hyperlink" Target="#'Vers&#245;es'!A3" TargetMode="External" Id="rId113"/><Relationship Type="http://schemas.openxmlformats.org/officeDocument/2006/relationships/hyperlink" Target="#'Sprints'!A7" TargetMode="External" Id="rId114"/><Relationship Type="http://schemas.openxmlformats.org/officeDocument/2006/relationships/hyperlink" Target="#'Vers&#245;es'!A3" TargetMode="External" Id="rId115"/><Relationship Type="http://schemas.openxmlformats.org/officeDocument/2006/relationships/hyperlink" Target="#'Sprints'!A7" TargetMode="External" Id="rId116"/><Relationship Type="http://schemas.openxmlformats.org/officeDocument/2006/relationships/hyperlink" Target="#'Vers&#245;es'!A3" TargetMode="External" Id="rId117"/><Relationship Type="http://schemas.openxmlformats.org/officeDocument/2006/relationships/hyperlink" Target="#'Sprints'!A7" TargetMode="External" Id="rId118"/><Relationship Type="http://schemas.openxmlformats.org/officeDocument/2006/relationships/hyperlink" Target="#'Vers&#245;es'!A3" TargetMode="External" Id="rId119"/><Relationship Type="http://schemas.openxmlformats.org/officeDocument/2006/relationships/hyperlink" Target="#'Sprints'!A7" TargetMode="External" Id="rId120"/><Relationship Type="http://schemas.openxmlformats.org/officeDocument/2006/relationships/hyperlink" Target="#'Vers&#245;es'!A3" TargetMode="External" Id="rId121"/><Relationship Type="http://schemas.openxmlformats.org/officeDocument/2006/relationships/hyperlink" Target="#'Sprints'!A7" TargetMode="External" Id="rId122"/><Relationship Type="http://schemas.openxmlformats.org/officeDocument/2006/relationships/hyperlink" Target="#'Vers&#245;es'!A3" TargetMode="External" Id="rId123"/><Relationship Type="http://schemas.openxmlformats.org/officeDocument/2006/relationships/hyperlink" Target="#'Sprints'!A7" TargetMode="External" Id="rId124"/><Relationship Type="http://schemas.openxmlformats.org/officeDocument/2006/relationships/hyperlink" Target="#'Vers&#245;es'!A3" TargetMode="External" Id="rId125"/><Relationship Type="http://schemas.openxmlformats.org/officeDocument/2006/relationships/hyperlink" Target="#'Sprints'!A7" TargetMode="External" Id="rId126"/><Relationship Type="http://schemas.openxmlformats.org/officeDocument/2006/relationships/hyperlink" Target="#'Vers&#245;es'!A3" TargetMode="External" Id="rId127"/><Relationship Type="http://schemas.openxmlformats.org/officeDocument/2006/relationships/hyperlink" Target="#'Sprints'!A7" TargetMode="External" Id="rId128"/><Relationship Type="http://schemas.openxmlformats.org/officeDocument/2006/relationships/hyperlink" Target="#'Vers&#245;es'!A3" TargetMode="External" Id="rId129"/><Relationship Type="http://schemas.openxmlformats.org/officeDocument/2006/relationships/hyperlink" Target="#'Sprints'!A7" TargetMode="External" Id="rId130"/><Relationship Type="http://schemas.openxmlformats.org/officeDocument/2006/relationships/hyperlink" Target="#'Vers&#245;es'!A3" TargetMode="External" Id="rId131"/><Relationship Type="http://schemas.openxmlformats.org/officeDocument/2006/relationships/hyperlink" Target="#'Sprints'!A7" TargetMode="External" Id="rId132"/><Relationship Type="http://schemas.openxmlformats.org/officeDocument/2006/relationships/hyperlink" Target="#'Vers&#245;es'!A4" TargetMode="External" Id="rId133"/><Relationship Type="http://schemas.openxmlformats.org/officeDocument/2006/relationships/hyperlink" Target="#'Sprints'!A8" TargetMode="External" Id="rId134"/><Relationship Type="http://schemas.openxmlformats.org/officeDocument/2006/relationships/hyperlink" Target="#'Vers&#245;es'!A4" TargetMode="External" Id="rId135"/><Relationship Type="http://schemas.openxmlformats.org/officeDocument/2006/relationships/hyperlink" Target="#'Sprints'!A8" TargetMode="External" Id="rId136"/><Relationship Type="http://schemas.openxmlformats.org/officeDocument/2006/relationships/hyperlink" Target="#'Vers&#245;es'!A4" TargetMode="External" Id="rId137"/><Relationship Type="http://schemas.openxmlformats.org/officeDocument/2006/relationships/hyperlink" Target="#'Sprints'!A8" TargetMode="External" Id="rId138"/><Relationship Type="http://schemas.openxmlformats.org/officeDocument/2006/relationships/hyperlink" Target="#'Vers&#245;es'!A4" TargetMode="External" Id="rId139"/><Relationship Type="http://schemas.openxmlformats.org/officeDocument/2006/relationships/hyperlink" Target="#'Sprints'!A8" TargetMode="External" Id="rId140"/><Relationship Type="http://schemas.openxmlformats.org/officeDocument/2006/relationships/hyperlink" Target="#'Vers&#245;es'!A4" TargetMode="External" Id="rId141"/><Relationship Type="http://schemas.openxmlformats.org/officeDocument/2006/relationships/hyperlink" Target="#'Sprints'!A8" TargetMode="External" Id="rId142"/><Relationship Type="http://schemas.openxmlformats.org/officeDocument/2006/relationships/hyperlink" Target="#'Vers&#245;es'!A4" TargetMode="External" Id="rId143"/><Relationship Type="http://schemas.openxmlformats.org/officeDocument/2006/relationships/hyperlink" Target="#'Sprints'!A8" TargetMode="External" Id="rId144"/><Relationship Type="http://schemas.openxmlformats.org/officeDocument/2006/relationships/hyperlink" Target="#'Vers&#245;es'!A4" TargetMode="External" Id="rId145"/><Relationship Type="http://schemas.openxmlformats.org/officeDocument/2006/relationships/hyperlink" Target="#'Sprints'!A8" TargetMode="External" Id="rId146"/><Relationship Type="http://schemas.openxmlformats.org/officeDocument/2006/relationships/hyperlink" Target="#'Vers&#245;es'!A4" TargetMode="External" Id="rId147"/><Relationship Type="http://schemas.openxmlformats.org/officeDocument/2006/relationships/hyperlink" Target="#'Sprints'!A8" TargetMode="External" Id="rId148"/><Relationship Type="http://schemas.openxmlformats.org/officeDocument/2006/relationships/hyperlink" Target="#'Vers&#245;es'!A4" TargetMode="External" Id="rId149"/><Relationship Type="http://schemas.openxmlformats.org/officeDocument/2006/relationships/hyperlink" Target="#'Sprints'!A8" TargetMode="External" Id="rId150"/><Relationship Type="http://schemas.openxmlformats.org/officeDocument/2006/relationships/hyperlink" Target="#'Vers&#245;es'!A4" TargetMode="External" Id="rId151"/><Relationship Type="http://schemas.openxmlformats.org/officeDocument/2006/relationships/hyperlink" Target="#'Sprints'!A8" TargetMode="External" Id="rId152"/><Relationship Type="http://schemas.openxmlformats.org/officeDocument/2006/relationships/hyperlink" Target="#'Vers&#245;es'!A4" TargetMode="External" Id="rId153"/><Relationship Type="http://schemas.openxmlformats.org/officeDocument/2006/relationships/hyperlink" Target="#'Sprints'!A8" TargetMode="External" Id="rId154"/><Relationship Type="http://schemas.openxmlformats.org/officeDocument/2006/relationships/hyperlink" Target="#'Vers&#245;es'!A4" TargetMode="External" Id="rId155"/><Relationship Type="http://schemas.openxmlformats.org/officeDocument/2006/relationships/hyperlink" Target="#'Sprints'!A9" TargetMode="External" Id="rId156"/><Relationship Type="http://schemas.openxmlformats.org/officeDocument/2006/relationships/hyperlink" Target="#'Vers&#245;es'!A4" TargetMode="External" Id="rId157"/><Relationship Type="http://schemas.openxmlformats.org/officeDocument/2006/relationships/hyperlink" Target="#'Sprints'!A9" TargetMode="External" Id="rId158"/><Relationship Type="http://schemas.openxmlformats.org/officeDocument/2006/relationships/hyperlink" Target="#'Vers&#245;es'!A4" TargetMode="External" Id="rId159"/><Relationship Type="http://schemas.openxmlformats.org/officeDocument/2006/relationships/hyperlink" Target="#'Sprints'!A9" TargetMode="External" Id="rId160"/><Relationship Type="http://schemas.openxmlformats.org/officeDocument/2006/relationships/hyperlink" Target="#'Vers&#245;es'!A4" TargetMode="External" Id="rId161"/><Relationship Type="http://schemas.openxmlformats.org/officeDocument/2006/relationships/hyperlink" Target="#'Sprints'!A9" TargetMode="External" Id="rId162"/><Relationship Type="http://schemas.openxmlformats.org/officeDocument/2006/relationships/hyperlink" Target="#'Vers&#245;es'!A4" TargetMode="External" Id="rId163"/><Relationship Type="http://schemas.openxmlformats.org/officeDocument/2006/relationships/hyperlink" Target="#'Sprints'!A9" TargetMode="External" Id="rId164"/><Relationship Type="http://schemas.openxmlformats.org/officeDocument/2006/relationships/hyperlink" Target="#'Vers&#245;es'!A4" TargetMode="External" Id="rId165"/><Relationship Type="http://schemas.openxmlformats.org/officeDocument/2006/relationships/hyperlink" Target="#'Sprints'!A9" TargetMode="External" Id="rId166"/><Relationship Type="http://schemas.openxmlformats.org/officeDocument/2006/relationships/hyperlink" Target="#'Vers&#245;es'!A4" TargetMode="External" Id="rId167"/><Relationship Type="http://schemas.openxmlformats.org/officeDocument/2006/relationships/hyperlink" Target="#'Sprints'!A9" TargetMode="External" Id="rId168"/><Relationship Type="http://schemas.openxmlformats.org/officeDocument/2006/relationships/hyperlink" Target="#'Vers&#245;es'!A4" TargetMode="External" Id="rId169"/><Relationship Type="http://schemas.openxmlformats.org/officeDocument/2006/relationships/hyperlink" Target="#'Sprints'!A9" TargetMode="External" Id="rId170"/><Relationship Type="http://schemas.openxmlformats.org/officeDocument/2006/relationships/hyperlink" Target="#'Vers&#245;es'!A4" TargetMode="External" Id="rId171"/><Relationship Type="http://schemas.openxmlformats.org/officeDocument/2006/relationships/hyperlink" Target="#'Sprints'!A9" TargetMode="External" Id="rId172"/><Relationship Type="http://schemas.openxmlformats.org/officeDocument/2006/relationships/hyperlink" Target="#'Vers&#245;es'!A4" TargetMode="External" Id="rId173"/><Relationship Type="http://schemas.openxmlformats.org/officeDocument/2006/relationships/hyperlink" Target="#'Sprints'!A9" TargetMode="External" Id="rId174"/><Relationship Type="http://schemas.openxmlformats.org/officeDocument/2006/relationships/hyperlink" Target="#'Vers&#245;es'!A4" TargetMode="External" Id="rId175"/><Relationship Type="http://schemas.openxmlformats.org/officeDocument/2006/relationships/hyperlink" Target="#'Sprints'!A9" TargetMode="External" Id="rId176"/><Relationship Type="http://schemas.openxmlformats.org/officeDocument/2006/relationships/hyperlink" Target="#'Vers&#245;es'!A4" TargetMode="External" Id="rId177"/><Relationship Type="http://schemas.openxmlformats.org/officeDocument/2006/relationships/hyperlink" Target="#'Sprints'!A10" TargetMode="External" Id="rId178"/><Relationship Type="http://schemas.openxmlformats.org/officeDocument/2006/relationships/hyperlink" Target="#'Vers&#245;es'!A4" TargetMode="External" Id="rId179"/><Relationship Type="http://schemas.openxmlformats.org/officeDocument/2006/relationships/hyperlink" Target="#'Sprints'!A10" TargetMode="External" Id="rId180"/><Relationship Type="http://schemas.openxmlformats.org/officeDocument/2006/relationships/hyperlink" Target="#'Vers&#245;es'!A4" TargetMode="External" Id="rId181"/><Relationship Type="http://schemas.openxmlformats.org/officeDocument/2006/relationships/hyperlink" Target="#'Sprints'!A10" TargetMode="External" Id="rId182"/><Relationship Type="http://schemas.openxmlformats.org/officeDocument/2006/relationships/hyperlink" Target="#'Vers&#245;es'!A4" TargetMode="External" Id="rId183"/><Relationship Type="http://schemas.openxmlformats.org/officeDocument/2006/relationships/hyperlink" Target="#'Sprints'!A10" TargetMode="External" Id="rId184"/><Relationship Type="http://schemas.openxmlformats.org/officeDocument/2006/relationships/hyperlink" Target="#'Vers&#245;es'!A4" TargetMode="External" Id="rId185"/><Relationship Type="http://schemas.openxmlformats.org/officeDocument/2006/relationships/hyperlink" Target="#'Sprints'!A10" TargetMode="External" Id="rId186"/><Relationship Type="http://schemas.openxmlformats.org/officeDocument/2006/relationships/hyperlink" Target="#'Vers&#245;es'!A4" TargetMode="External" Id="rId187"/><Relationship Type="http://schemas.openxmlformats.org/officeDocument/2006/relationships/hyperlink" Target="#'Sprints'!A10" TargetMode="External" Id="rId188"/><Relationship Type="http://schemas.openxmlformats.org/officeDocument/2006/relationships/hyperlink" Target="#'Vers&#245;es'!A4" TargetMode="External" Id="rId189"/><Relationship Type="http://schemas.openxmlformats.org/officeDocument/2006/relationships/hyperlink" Target="#'Sprints'!A10" TargetMode="External" Id="rId190"/><Relationship Type="http://schemas.openxmlformats.org/officeDocument/2006/relationships/hyperlink" Target="#'Vers&#245;es'!A4" TargetMode="External" Id="rId191"/><Relationship Type="http://schemas.openxmlformats.org/officeDocument/2006/relationships/hyperlink" Target="#'Sprints'!A10" TargetMode="External" Id="rId192"/><Relationship Type="http://schemas.openxmlformats.org/officeDocument/2006/relationships/hyperlink" Target="#'Vers&#245;es'!A4" TargetMode="External" Id="rId193"/><Relationship Type="http://schemas.openxmlformats.org/officeDocument/2006/relationships/hyperlink" Target="#'Sprints'!A10" TargetMode="External" Id="rId194"/><Relationship Type="http://schemas.openxmlformats.org/officeDocument/2006/relationships/hyperlink" Target="#'Vers&#245;es'!A4" TargetMode="External" Id="rId195"/><Relationship Type="http://schemas.openxmlformats.org/officeDocument/2006/relationships/hyperlink" Target="#'Sprints'!A10" TargetMode="External" Id="rId196"/><Relationship Type="http://schemas.openxmlformats.org/officeDocument/2006/relationships/hyperlink" Target="#'Vers&#245;es'!A4" TargetMode="External" Id="rId197"/><Relationship Type="http://schemas.openxmlformats.org/officeDocument/2006/relationships/hyperlink" Target="#'Sprints'!A10" TargetMode="External" Id="rId198"/><Relationship Type="http://schemas.openxmlformats.org/officeDocument/2006/relationships/hyperlink" Target="#'Vers&#245;es'!A4" TargetMode="External" Id="rId199"/><Relationship Type="http://schemas.openxmlformats.org/officeDocument/2006/relationships/hyperlink" Target="#'Sprints'!A11" TargetMode="External" Id="rId200"/><Relationship Type="http://schemas.openxmlformats.org/officeDocument/2006/relationships/hyperlink" Target="#'Vers&#245;es'!A4" TargetMode="External" Id="rId201"/><Relationship Type="http://schemas.openxmlformats.org/officeDocument/2006/relationships/hyperlink" Target="#'Sprints'!A11" TargetMode="External" Id="rId202"/><Relationship Type="http://schemas.openxmlformats.org/officeDocument/2006/relationships/hyperlink" Target="#'Vers&#245;es'!A4" TargetMode="External" Id="rId203"/><Relationship Type="http://schemas.openxmlformats.org/officeDocument/2006/relationships/hyperlink" Target="#'Sprints'!A11" TargetMode="External" Id="rId204"/><Relationship Type="http://schemas.openxmlformats.org/officeDocument/2006/relationships/hyperlink" Target="#'Vers&#245;es'!A4" TargetMode="External" Id="rId205"/><Relationship Type="http://schemas.openxmlformats.org/officeDocument/2006/relationships/hyperlink" Target="#'Sprints'!A11" TargetMode="External" Id="rId206"/><Relationship Type="http://schemas.openxmlformats.org/officeDocument/2006/relationships/hyperlink" Target="#'Vers&#245;es'!A4" TargetMode="External" Id="rId207"/><Relationship Type="http://schemas.openxmlformats.org/officeDocument/2006/relationships/hyperlink" Target="#'Sprints'!A11" TargetMode="External" Id="rId208"/><Relationship Type="http://schemas.openxmlformats.org/officeDocument/2006/relationships/hyperlink" Target="#'Vers&#245;es'!A4" TargetMode="External" Id="rId209"/><Relationship Type="http://schemas.openxmlformats.org/officeDocument/2006/relationships/hyperlink" Target="#'Sprints'!A11" TargetMode="External" Id="rId210"/><Relationship Type="http://schemas.openxmlformats.org/officeDocument/2006/relationships/hyperlink" Target="#'Vers&#245;es'!A4" TargetMode="External" Id="rId211"/><Relationship Type="http://schemas.openxmlformats.org/officeDocument/2006/relationships/hyperlink" Target="#'Sprints'!A11" TargetMode="External" Id="rId212"/><Relationship Type="http://schemas.openxmlformats.org/officeDocument/2006/relationships/hyperlink" Target="#'Vers&#245;es'!A4" TargetMode="External" Id="rId213"/><Relationship Type="http://schemas.openxmlformats.org/officeDocument/2006/relationships/hyperlink" Target="#'Sprints'!A11" TargetMode="External" Id="rId214"/><Relationship Type="http://schemas.openxmlformats.org/officeDocument/2006/relationships/hyperlink" Target="#'Vers&#245;es'!A4" TargetMode="External" Id="rId215"/><Relationship Type="http://schemas.openxmlformats.org/officeDocument/2006/relationships/hyperlink" Target="#'Sprints'!A11" TargetMode="External" Id="rId216"/><Relationship Type="http://schemas.openxmlformats.org/officeDocument/2006/relationships/hyperlink" Target="#'Vers&#245;es'!A4" TargetMode="External" Id="rId217"/><Relationship Type="http://schemas.openxmlformats.org/officeDocument/2006/relationships/hyperlink" Target="#'Sprints'!A11" TargetMode="External" Id="rId218"/><Relationship Type="http://schemas.openxmlformats.org/officeDocument/2006/relationships/hyperlink" Target="#'Vers&#245;es'!A4" TargetMode="External" Id="rId219"/><Relationship Type="http://schemas.openxmlformats.org/officeDocument/2006/relationships/hyperlink" Target="#'Sprints'!A11" TargetMode="External" Id="rId220"/><Relationship Type="http://schemas.openxmlformats.org/officeDocument/2006/relationships/hyperlink" Target="#'Vers&#245;es'!A4" TargetMode="External" Id="rId221"/><Relationship Type="http://schemas.openxmlformats.org/officeDocument/2006/relationships/hyperlink" Target="#'Sprints'!A12" TargetMode="External" Id="rId222"/><Relationship Type="http://schemas.openxmlformats.org/officeDocument/2006/relationships/hyperlink" Target="#'Vers&#245;es'!A4" TargetMode="External" Id="rId223"/><Relationship Type="http://schemas.openxmlformats.org/officeDocument/2006/relationships/hyperlink" Target="#'Sprints'!A12" TargetMode="External" Id="rId224"/><Relationship Type="http://schemas.openxmlformats.org/officeDocument/2006/relationships/hyperlink" Target="#'Vers&#245;es'!A4" TargetMode="External" Id="rId225"/><Relationship Type="http://schemas.openxmlformats.org/officeDocument/2006/relationships/hyperlink" Target="#'Sprints'!A12" TargetMode="External" Id="rId226"/><Relationship Type="http://schemas.openxmlformats.org/officeDocument/2006/relationships/hyperlink" Target="#'Vers&#245;es'!A4" TargetMode="External" Id="rId227"/><Relationship Type="http://schemas.openxmlformats.org/officeDocument/2006/relationships/hyperlink" Target="#'Sprints'!A12" TargetMode="External" Id="rId228"/><Relationship Type="http://schemas.openxmlformats.org/officeDocument/2006/relationships/hyperlink" Target="#'Vers&#245;es'!A4" TargetMode="External" Id="rId229"/><Relationship Type="http://schemas.openxmlformats.org/officeDocument/2006/relationships/hyperlink" Target="#'Sprints'!A12" TargetMode="External" Id="rId230"/><Relationship Type="http://schemas.openxmlformats.org/officeDocument/2006/relationships/hyperlink" Target="#'Vers&#245;es'!A4" TargetMode="External" Id="rId231"/><Relationship Type="http://schemas.openxmlformats.org/officeDocument/2006/relationships/hyperlink" Target="#'Sprints'!A12" TargetMode="External" Id="rId232"/><Relationship Type="http://schemas.openxmlformats.org/officeDocument/2006/relationships/hyperlink" Target="#'Vers&#245;es'!A4" TargetMode="External" Id="rId233"/><Relationship Type="http://schemas.openxmlformats.org/officeDocument/2006/relationships/hyperlink" Target="#'Sprints'!A12" TargetMode="External" Id="rId234"/><Relationship Type="http://schemas.openxmlformats.org/officeDocument/2006/relationships/hyperlink" Target="#'Vers&#245;es'!A4" TargetMode="External" Id="rId235"/><Relationship Type="http://schemas.openxmlformats.org/officeDocument/2006/relationships/hyperlink" Target="#'Sprints'!A12" TargetMode="External" Id="rId236"/><Relationship Type="http://schemas.openxmlformats.org/officeDocument/2006/relationships/hyperlink" Target="#'Vers&#245;es'!A4" TargetMode="External" Id="rId237"/><Relationship Type="http://schemas.openxmlformats.org/officeDocument/2006/relationships/hyperlink" Target="#'Sprints'!A12" TargetMode="External" Id="rId238"/><Relationship Type="http://schemas.openxmlformats.org/officeDocument/2006/relationships/hyperlink" Target="#'Vers&#245;es'!A4" TargetMode="External" Id="rId239"/><Relationship Type="http://schemas.openxmlformats.org/officeDocument/2006/relationships/hyperlink" Target="#'Sprints'!A12" TargetMode="External" Id="rId240"/><Relationship Type="http://schemas.openxmlformats.org/officeDocument/2006/relationships/hyperlink" Target="#'Vers&#245;es'!A4" TargetMode="External" Id="rId241"/><Relationship Type="http://schemas.openxmlformats.org/officeDocument/2006/relationships/hyperlink" Target="#'Sprints'!A12" TargetMode="External" Id="rId242"/><Relationship Type="http://schemas.openxmlformats.org/officeDocument/2006/relationships/hyperlink" Target="#'Vers&#245;es'!A5" TargetMode="External" Id="rId243"/><Relationship Type="http://schemas.openxmlformats.org/officeDocument/2006/relationships/hyperlink" Target="#'Sprints'!A13" TargetMode="External" Id="rId244"/><Relationship Type="http://schemas.openxmlformats.org/officeDocument/2006/relationships/hyperlink" Target="#'Vers&#245;es'!A5" TargetMode="External" Id="rId245"/><Relationship Type="http://schemas.openxmlformats.org/officeDocument/2006/relationships/hyperlink" Target="#'Sprints'!A13" TargetMode="External" Id="rId246"/><Relationship Type="http://schemas.openxmlformats.org/officeDocument/2006/relationships/hyperlink" Target="#'Vers&#245;es'!A5" TargetMode="External" Id="rId247"/><Relationship Type="http://schemas.openxmlformats.org/officeDocument/2006/relationships/hyperlink" Target="#'Sprints'!A13" TargetMode="External" Id="rId248"/><Relationship Type="http://schemas.openxmlformats.org/officeDocument/2006/relationships/hyperlink" Target="#'Vers&#245;es'!A5" TargetMode="External" Id="rId249"/><Relationship Type="http://schemas.openxmlformats.org/officeDocument/2006/relationships/hyperlink" Target="#'Sprints'!A13" TargetMode="External" Id="rId250"/><Relationship Type="http://schemas.openxmlformats.org/officeDocument/2006/relationships/hyperlink" Target="#'Vers&#245;es'!A5" TargetMode="External" Id="rId251"/><Relationship Type="http://schemas.openxmlformats.org/officeDocument/2006/relationships/hyperlink" Target="#'Sprints'!A13" TargetMode="External" Id="rId252"/><Relationship Type="http://schemas.openxmlformats.org/officeDocument/2006/relationships/hyperlink" Target="#'Vers&#245;es'!A5" TargetMode="External" Id="rId253"/><Relationship Type="http://schemas.openxmlformats.org/officeDocument/2006/relationships/hyperlink" Target="#'Sprints'!A13" TargetMode="External" Id="rId254"/><Relationship Type="http://schemas.openxmlformats.org/officeDocument/2006/relationships/hyperlink" Target="#'Vers&#245;es'!A5" TargetMode="External" Id="rId255"/><Relationship Type="http://schemas.openxmlformats.org/officeDocument/2006/relationships/hyperlink" Target="#'Sprints'!A13" TargetMode="External" Id="rId256"/><Relationship Type="http://schemas.openxmlformats.org/officeDocument/2006/relationships/hyperlink" Target="#'Vers&#245;es'!A5" TargetMode="External" Id="rId257"/><Relationship Type="http://schemas.openxmlformats.org/officeDocument/2006/relationships/hyperlink" Target="#'Sprints'!A13" TargetMode="External" Id="rId258"/><Relationship Type="http://schemas.openxmlformats.org/officeDocument/2006/relationships/hyperlink" Target="#'Vers&#245;es'!A5" TargetMode="External" Id="rId259"/><Relationship Type="http://schemas.openxmlformats.org/officeDocument/2006/relationships/hyperlink" Target="#'Sprints'!A13" TargetMode="External" Id="rId260"/><Relationship Type="http://schemas.openxmlformats.org/officeDocument/2006/relationships/hyperlink" Target="#'Vers&#245;es'!A5" TargetMode="External" Id="rId261"/><Relationship Type="http://schemas.openxmlformats.org/officeDocument/2006/relationships/hyperlink" Target="#'Sprints'!A13" TargetMode="External" Id="rId262"/><Relationship Type="http://schemas.openxmlformats.org/officeDocument/2006/relationships/hyperlink" Target="#'Vers&#245;es'!A5" TargetMode="External" Id="rId263"/><Relationship Type="http://schemas.openxmlformats.org/officeDocument/2006/relationships/hyperlink" Target="#'Sprints'!A13" TargetMode="External" Id="rId264"/><Relationship Type="http://schemas.openxmlformats.org/officeDocument/2006/relationships/hyperlink" Target="#'Vers&#245;es'!A5" TargetMode="External" Id="rId265"/><Relationship Type="http://schemas.openxmlformats.org/officeDocument/2006/relationships/hyperlink" Target="#'Sprints'!A14" TargetMode="External" Id="rId266"/><Relationship Type="http://schemas.openxmlformats.org/officeDocument/2006/relationships/hyperlink" Target="#'Vers&#245;es'!A5" TargetMode="External" Id="rId267"/><Relationship Type="http://schemas.openxmlformats.org/officeDocument/2006/relationships/hyperlink" Target="#'Sprints'!A14" TargetMode="External" Id="rId268"/><Relationship Type="http://schemas.openxmlformats.org/officeDocument/2006/relationships/hyperlink" Target="#'Vers&#245;es'!A5" TargetMode="External" Id="rId269"/><Relationship Type="http://schemas.openxmlformats.org/officeDocument/2006/relationships/hyperlink" Target="#'Sprints'!A14" TargetMode="External" Id="rId270"/><Relationship Type="http://schemas.openxmlformats.org/officeDocument/2006/relationships/hyperlink" Target="#'Vers&#245;es'!A5" TargetMode="External" Id="rId271"/><Relationship Type="http://schemas.openxmlformats.org/officeDocument/2006/relationships/hyperlink" Target="#'Sprints'!A14" TargetMode="External" Id="rId272"/><Relationship Type="http://schemas.openxmlformats.org/officeDocument/2006/relationships/hyperlink" Target="#'Vers&#245;es'!A5" TargetMode="External" Id="rId273"/><Relationship Type="http://schemas.openxmlformats.org/officeDocument/2006/relationships/hyperlink" Target="#'Sprints'!A14" TargetMode="External" Id="rId274"/><Relationship Type="http://schemas.openxmlformats.org/officeDocument/2006/relationships/hyperlink" Target="#'Vers&#245;es'!A5" TargetMode="External" Id="rId275"/><Relationship Type="http://schemas.openxmlformats.org/officeDocument/2006/relationships/hyperlink" Target="#'Sprints'!A14" TargetMode="External" Id="rId276"/><Relationship Type="http://schemas.openxmlformats.org/officeDocument/2006/relationships/hyperlink" Target="#'Vers&#245;es'!A5" TargetMode="External" Id="rId277"/><Relationship Type="http://schemas.openxmlformats.org/officeDocument/2006/relationships/hyperlink" Target="#'Sprints'!A14" TargetMode="External" Id="rId278"/><Relationship Type="http://schemas.openxmlformats.org/officeDocument/2006/relationships/hyperlink" Target="#'Vers&#245;es'!A5" TargetMode="External" Id="rId279"/><Relationship Type="http://schemas.openxmlformats.org/officeDocument/2006/relationships/hyperlink" Target="#'Sprints'!A14" TargetMode="External" Id="rId280"/><Relationship Type="http://schemas.openxmlformats.org/officeDocument/2006/relationships/hyperlink" Target="#'Vers&#245;es'!A5" TargetMode="External" Id="rId281"/><Relationship Type="http://schemas.openxmlformats.org/officeDocument/2006/relationships/hyperlink" Target="#'Sprints'!A14" TargetMode="External" Id="rId282"/><Relationship Type="http://schemas.openxmlformats.org/officeDocument/2006/relationships/hyperlink" Target="#'Vers&#245;es'!A5" TargetMode="External" Id="rId283"/><Relationship Type="http://schemas.openxmlformats.org/officeDocument/2006/relationships/hyperlink" Target="#'Sprints'!A14" TargetMode="External" Id="rId284"/><Relationship Type="http://schemas.openxmlformats.org/officeDocument/2006/relationships/hyperlink" Target="#'Vers&#245;es'!A5" TargetMode="External" Id="rId285"/><Relationship Type="http://schemas.openxmlformats.org/officeDocument/2006/relationships/hyperlink" Target="#'Sprints'!A14" TargetMode="External" Id="rId286"/><Relationship Type="http://schemas.openxmlformats.org/officeDocument/2006/relationships/hyperlink" Target="#'Vers&#245;es'!A5" TargetMode="External" Id="rId287"/><Relationship Type="http://schemas.openxmlformats.org/officeDocument/2006/relationships/hyperlink" Target="#'Sprints'!A15" TargetMode="External" Id="rId288"/><Relationship Type="http://schemas.openxmlformats.org/officeDocument/2006/relationships/hyperlink" Target="#'Vers&#245;es'!A5" TargetMode="External" Id="rId289"/><Relationship Type="http://schemas.openxmlformats.org/officeDocument/2006/relationships/hyperlink" Target="#'Sprints'!A15" TargetMode="External" Id="rId290"/><Relationship Type="http://schemas.openxmlformats.org/officeDocument/2006/relationships/hyperlink" Target="#'Vers&#245;es'!A5" TargetMode="External" Id="rId291"/><Relationship Type="http://schemas.openxmlformats.org/officeDocument/2006/relationships/hyperlink" Target="#'Sprints'!A15" TargetMode="External" Id="rId292"/><Relationship Type="http://schemas.openxmlformats.org/officeDocument/2006/relationships/hyperlink" Target="#'Vers&#245;es'!A5" TargetMode="External" Id="rId293"/><Relationship Type="http://schemas.openxmlformats.org/officeDocument/2006/relationships/hyperlink" Target="#'Sprints'!A15" TargetMode="External" Id="rId294"/><Relationship Type="http://schemas.openxmlformats.org/officeDocument/2006/relationships/hyperlink" Target="#'Vers&#245;es'!A5" TargetMode="External" Id="rId295"/><Relationship Type="http://schemas.openxmlformats.org/officeDocument/2006/relationships/hyperlink" Target="#'Sprints'!A15" TargetMode="External" Id="rId296"/><Relationship Type="http://schemas.openxmlformats.org/officeDocument/2006/relationships/hyperlink" Target="#'Vers&#245;es'!A5" TargetMode="External" Id="rId297"/><Relationship Type="http://schemas.openxmlformats.org/officeDocument/2006/relationships/hyperlink" Target="#'Sprints'!A15" TargetMode="External" Id="rId298"/><Relationship Type="http://schemas.openxmlformats.org/officeDocument/2006/relationships/hyperlink" Target="#'Vers&#245;es'!A5" TargetMode="External" Id="rId299"/><Relationship Type="http://schemas.openxmlformats.org/officeDocument/2006/relationships/hyperlink" Target="#'Sprints'!A15" TargetMode="External" Id="rId300"/><Relationship Type="http://schemas.openxmlformats.org/officeDocument/2006/relationships/hyperlink" Target="#'Vers&#245;es'!A5" TargetMode="External" Id="rId301"/><Relationship Type="http://schemas.openxmlformats.org/officeDocument/2006/relationships/hyperlink" Target="#'Sprints'!A15" TargetMode="External" Id="rId302"/><Relationship Type="http://schemas.openxmlformats.org/officeDocument/2006/relationships/hyperlink" Target="#'Vers&#245;es'!A5" TargetMode="External" Id="rId303"/><Relationship Type="http://schemas.openxmlformats.org/officeDocument/2006/relationships/hyperlink" Target="#'Sprints'!A15" TargetMode="External" Id="rId304"/><Relationship Type="http://schemas.openxmlformats.org/officeDocument/2006/relationships/hyperlink" Target="#'Vers&#245;es'!A5" TargetMode="External" Id="rId305"/><Relationship Type="http://schemas.openxmlformats.org/officeDocument/2006/relationships/hyperlink" Target="#'Sprints'!A15" TargetMode="External" Id="rId306"/><Relationship Type="http://schemas.openxmlformats.org/officeDocument/2006/relationships/hyperlink" Target="#'Vers&#245;es'!A5" TargetMode="External" Id="rId307"/><Relationship Type="http://schemas.openxmlformats.org/officeDocument/2006/relationships/hyperlink" Target="#'Sprints'!A15" TargetMode="External" Id="rId308"/><Relationship Type="http://schemas.openxmlformats.org/officeDocument/2006/relationships/hyperlink" Target="#'Vers&#245;es'!A5" TargetMode="External" Id="rId309"/><Relationship Type="http://schemas.openxmlformats.org/officeDocument/2006/relationships/hyperlink" Target="#'Sprints'!A16" TargetMode="External" Id="rId310"/><Relationship Type="http://schemas.openxmlformats.org/officeDocument/2006/relationships/hyperlink" Target="#'Vers&#245;es'!A5" TargetMode="External" Id="rId311"/><Relationship Type="http://schemas.openxmlformats.org/officeDocument/2006/relationships/hyperlink" Target="#'Sprints'!A16" TargetMode="External" Id="rId312"/><Relationship Type="http://schemas.openxmlformats.org/officeDocument/2006/relationships/hyperlink" Target="#'Vers&#245;es'!A5" TargetMode="External" Id="rId313"/><Relationship Type="http://schemas.openxmlformats.org/officeDocument/2006/relationships/hyperlink" Target="#'Sprints'!A16" TargetMode="External" Id="rId314"/><Relationship Type="http://schemas.openxmlformats.org/officeDocument/2006/relationships/hyperlink" Target="#'Vers&#245;es'!A5" TargetMode="External" Id="rId315"/><Relationship Type="http://schemas.openxmlformats.org/officeDocument/2006/relationships/hyperlink" Target="#'Sprints'!A16" TargetMode="External" Id="rId316"/><Relationship Type="http://schemas.openxmlformats.org/officeDocument/2006/relationships/hyperlink" Target="#'Vers&#245;es'!A5" TargetMode="External" Id="rId317"/><Relationship Type="http://schemas.openxmlformats.org/officeDocument/2006/relationships/hyperlink" Target="#'Sprints'!A16" TargetMode="External" Id="rId318"/><Relationship Type="http://schemas.openxmlformats.org/officeDocument/2006/relationships/hyperlink" Target="#'Vers&#245;es'!A5" TargetMode="External" Id="rId319"/><Relationship Type="http://schemas.openxmlformats.org/officeDocument/2006/relationships/hyperlink" Target="#'Sprints'!A16" TargetMode="External" Id="rId320"/><Relationship Type="http://schemas.openxmlformats.org/officeDocument/2006/relationships/hyperlink" Target="#'Vers&#245;es'!A5" TargetMode="External" Id="rId321"/><Relationship Type="http://schemas.openxmlformats.org/officeDocument/2006/relationships/hyperlink" Target="#'Sprints'!A16" TargetMode="External" Id="rId322"/><Relationship Type="http://schemas.openxmlformats.org/officeDocument/2006/relationships/hyperlink" Target="#'Vers&#245;es'!A5" TargetMode="External" Id="rId323"/><Relationship Type="http://schemas.openxmlformats.org/officeDocument/2006/relationships/hyperlink" Target="#'Sprints'!A16" TargetMode="External" Id="rId324"/><Relationship Type="http://schemas.openxmlformats.org/officeDocument/2006/relationships/hyperlink" Target="#'Vers&#245;es'!A5" TargetMode="External" Id="rId325"/><Relationship Type="http://schemas.openxmlformats.org/officeDocument/2006/relationships/hyperlink" Target="#'Sprints'!A16" TargetMode="External" Id="rId326"/><Relationship Type="http://schemas.openxmlformats.org/officeDocument/2006/relationships/hyperlink" Target="#'Vers&#245;es'!A5" TargetMode="External" Id="rId327"/><Relationship Type="http://schemas.openxmlformats.org/officeDocument/2006/relationships/hyperlink" Target="#'Sprints'!A16" TargetMode="External" Id="rId328"/><Relationship Type="http://schemas.openxmlformats.org/officeDocument/2006/relationships/hyperlink" Target="#'Vers&#245;es'!A5" TargetMode="External" Id="rId329"/><Relationship Type="http://schemas.openxmlformats.org/officeDocument/2006/relationships/hyperlink" Target="#'Sprints'!A16" TargetMode="External" Id="rId330"/><Relationship Type="http://schemas.openxmlformats.org/officeDocument/2006/relationships/hyperlink" Target="#'Vers&#245;es'!A6" TargetMode="External" Id="rId331"/><Relationship Type="http://schemas.openxmlformats.org/officeDocument/2006/relationships/hyperlink" Target="#'Sprints'!A17" TargetMode="External" Id="rId332"/><Relationship Type="http://schemas.openxmlformats.org/officeDocument/2006/relationships/hyperlink" Target="#'Vers&#245;es'!A6" TargetMode="External" Id="rId333"/><Relationship Type="http://schemas.openxmlformats.org/officeDocument/2006/relationships/hyperlink" Target="#'Sprints'!A17" TargetMode="External" Id="rId334"/><Relationship Type="http://schemas.openxmlformats.org/officeDocument/2006/relationships/hyperlink" Target="#'Vers&#245;es'!A6" TargetMode="External" Id="rId335"/><Relationship Type="http://schemas.openxmlformats.org/officeDocument/2006/relationships/hyperlink" Target="#'Sprints'!A17" TargetMode="External" Id="rId336"/><Relationship Type="http://schemas.openxmlformats.org/officeDocument/2006/relationships/hyperlink" Target="#'Vers&#245;es'!A6" TargetMode="External" Id="rId337"/><Relationship Type="http://schemas.openxmlformats.org/officeDocument/2006/relationships/hyperlink" Target="#'Sprints'!A17" TargetMode="External" Id="rId338"/><Relationship Type="http://schemas.openxmlformats.org/officeDocument/2006/relationships/hyperlink" Target="#'Vers&#245;es'!A6" TargetMode="External" Id="rId339"/><Relationship Type="http://schemas.openxmlformats.org/officeDocument/2006/relationships/hyperlink" Target="#'Sprints'!A17" TargetMode="External" Id="rId340"/><Relationship Type="http://schemas.openxmlformats.org/officeDocument/2006/relationships/hyperlink" Target="#'Vers&#245;es'!A6" TargetMode="External" Id="rId341"/><Relationship Type="http://schemas.openxmlformats.org/officeDocument/2006/relationships/hyperlink" Target="#'Sprints'!A17" TargetMode="External" Id="rId342"/><Relationship Type="http://schemas.openxmlformats.org/officeDocument/2006/relationships/hyperlink" Target="#'Vers&#245;es'!A6" TargetMode="External" Id="rId343"/><Relationship Type="http://schemas.openxmlformats.org/officeDocument/2006/relationships/hyperlink" Target="#'Sprints'!A17" TargetMode="External" Id="rId344"/><Relationship Type="http://schemas.openxmlformats.org/officeDocument/2006/relationships/hyperlink" Target="#'Vers&#245;es'!A6" TargetMode="External" Id="rId345"/><Relationship Type="http://schemas.openxmlformats.org/officeDocument/2006/relationships/hyperlink" Target="#'Sprints'!A17" TargetMode="External" Id="rId346"/><Relationship Type="http://schemas.openxmlformats.org/officeDocument/2006/relationships/hyperlink" Target="#'Vers&#245;es'!A6" TargetMode="External" Id="rId347"/><Relationship Type="http://schemas.openxmlformats.org/officeDocument/2006/relationships/hyperlink" Target="#'Sprints'!A17" TargetMode="External" Id="rId348"/><Relationship Type="http://schemas.openxmlformats.org/officeDocument/2006/relationships/hyperlink" Target="#'Vers&#245;es'!A6" TargetMode="External" Id="rId349"/><Relationship Type="http://schemas.openxmlformats.org/officeDocument/2006/relationships/hyperlink" Target="#'Sprints'!A17" TargetMode="External" Id="rId350"/><Relationship Type="http://schemas.openxmlformats.org/officeDocument/2006/relationships/hyperlink" Target="#'Vers&#245;es'!A6" TargetMode="External" Id="rId351"/><Relationship Type="http://schemas.openxmlformats.org/officeDocument/2006/relationships/hyperlink" Target="#'Sprints'!A17" TargetMode="External" Id="rId352"/><Relationship Type="http://schemas.openxmlformats.org/officeDocument/2006/relationships/hyperlink" Target="#'Vers&#245;es'!A6" TargetMode="External" Id="rId353"/><Relationship Type="http://schemas.openxmlformats.org/officeDocument/2006/relationships/hyperlink" Target="#'Sprints'!A18" TargetMode="External" Id="rId354"/><Relationship Type="http://schemas.openxmlformats.org/officeDocument/2006/relationships/hyperlink" Target="#'Vers&#245;es'!A6" TargetMode="External" Id="rId355"/><Relationship Type="http://schemas.openxmlformats.org/officeDocument/2006/relationships/hyperlink" Target="#'Sprints'!A18" TargetMode="External" Id="rId356"/><Relationship Type="http://schemas.openxmlformats.org/officeDocument/2006/relationships/hyperlink" Target="#'Vers&#245;es'!A6" TargetMode="External" Id="rId357"/><Relationship Type="http://schemas.openxmlformats.org/officeDocument/2006/relationships/hyperlink" Target="#'Sprints'!A18" TargetMode="External" Id="rId358"/><Relationship Type="http://schemas.openxmlformats.org/officeDocument/2006/relationships/hyperlink" Target="#'Vers&#245;es'!A6" TargetMode="External" Id="rId359"/><Relationship Type="http://schemas.openxmlformats.org/officeDocument/2006/relationships/hyperlink" Target="#'Sprints'!A18" TargetMode="External" Id="rId360"/><Relationship Type="http://schemas.openxmlformats.org/officeDocument/2006/relationships/hyperlink" Target="#'Vers&#245;es'!A6" TargetMode="External" Id="rId361"/><Relationship Type="http://schemas.openxmlformats.org/officeDocument/2006/relationships/hyperlink" Target="#'Sprints'!A18" TargetMode="External" Id="rId362"/><Relationship Type="http://schemas.openxmlformats.org/officeDocument/2006/relationships/hyperlink" Target="#'Vers&#245;es'!A6" TargetMode="External" Id="rId363"/><Relationship Type="http://schemas.openxmlformats.org/officeDocument/2006/relationships/hyperlink" Target="#'Sprints'!A18" TargetMode="External" Id="rId364"/><Relationship Type="http://schemas.openxmlformats.org/officeDocument/2006/relationships/hyperlink" Target="#'Vers&#245;es'!A6" TargetMode="External" Id="rId365"/><Relationship Type="http://schemas.openxmlformats.org/officeDocument/2006/relationships/hyperlink" Target="#'Sprints'!A18" TargetMode="External" Id="rId366"/><Relationship Type="http://schemas.openxmlformats.org/officeDocument/2006/relationships/hyperlink" Target="#'Vers&#245;es'!A6" TargetMode="External" Id="rId367"/><Relationship Type="http://schemas.openxmlformats.org/officeDocument/2006/relationships/hyperlink" Target="#'Sprints'!A18" TargetMode="External" Id="rId368"/><Relationship Type="http://schemas.openxmlformats.org/officeDocument/2006/relationships/hyperlink" Target="#'Vers&#245;es'!A6" TargetMode="External" Id="rId369"/><Relationship Type="http://schemas.openxmlformats.org/officeDocument/2006/relationships/hyperlink" Target="#'Sprints'!A18" TargetMode="External" Id="rId370"/><Relationship Type="http://schemas.openxmlformats.org/officeDocument/2006/relationships/hyperlink" Target="#'Vers&#245;es'!A6" TargetMode="External" Id="rId371"/><Relationship Type="http://schemas.openxmlformats.org/officeDocument/2006/relationships/hyperlink" Target="#'Sprints'!A18" TargetMode="External" Id="rId372"/><Relationship Type="http://schemas.openxmlformats.org/officeDocument/2006/relationships/hyperlink" Target="#'Vers&#245;es'!A6" TargetMode="External" Id="rId373"/><Relationship Type="http://schemas.openxmlformats.org/officeDocument/2006/relationships/hyperlink" Target="#'Sprints'!A18" TargetMode="External" Id="rId374"/><Relationship Type="http://schemas.openxmlformats.org/officeDocument/2006/relationships/hyperlink" Target="#'Vers&#245;es'!A6" TargetMode="External" Id="rId375"/><Relationship Type="http://schemas.openxmlformats.org/officeDocument/2006/relationships/hyperlink" Target="#'Sprints'!A19" TargetMode="External" Id="rId376"/><Relationship Type="http://schemas.openxmlformats.org/officeDocument/2006/relationships/hyperlink" Target="#'Vers&#245;es'!A6" TargetMode="External" Id="rId377"/><Relationship Type="http://schemas.openxmlformats.org/officeDocument/2006/relationships/hyperlink" Target="#'Sprints'!A19" TargetMode="External" Id="rId378"/><Relationship Type="http://schemas.openxmlformats.org/officeDocument/2006/relationships/hyperlink" Target="#'Vers&#245;es'!A6" TargetMode="External" Id="rId379"/><Relationship Type="http://schemas.openxmlformats.org/officeDocument/2006/relationships/hyperlink" Target="#'Sprints'!A19" TargetMode="External" Id="rId380"/><Relationship Type="http://schemas.openxmlformats.org/officeDocument/2006/relationships/hyperlink" Target="#'Vers&#245;es'!A6" TargetMode="External" Id="rId381"/><Relationship Type="http://schemas.openxmlformats.org/officeDocument/2006/relationships/hyperlink" Target="#'Sprints'!A19" TargetMode="External" Id="rId382"/><Relationship Type="http://schemas.openxmlformats.org/officeDocument/2006/relationships/hyperlink" Target="#'Vers&#245;es'!A6" TargetMode="External" Id="rId383"/><Relationship Type="http://schemas.openxmlformats.org/officeDocument/2006/relationships/hyperlink" Target="#'Sprints'!A19" TargetMode="External" Id="rId384"/><Relationship Type="http://schemas.openxmlformats.org/officeDocument/2006/relationships/hyperlink" Target="#'Vers&#245;es'!A6" TargetMode="External" Id="rId385"/><Relationship Type="http://schemas.openxmlformats.org/officeDocument/2006/relationships/hyperlink" Target="#'Sprints'!A19" TargetMode="External" Id="rId386"/><Relationship Type="http://schemas.openxmlformats.org/officeDocument/2006/relationships/hyperlink" Target="#'Vers&#245;es'!A6" TargetMode="External" Id="rId387"/><Relationship Type="http://schemas.openxmlformats.org/officeDocument/2006/relationships/hyperlink" Target="#'Sprints'!A19" TargetMode="External" Id="rId388"/><Relationship Type="http://schemas.openxmlformats.org/officeDocument/2006/relationships/hyperlink" Target="#'Vers&#245;es'!A6" TargetMode="External" Id="rId389"/><Relationship Type="http://schemas.openxmlformats.org/officeDocument/2006/relationships/hyperlink" Target="#'Sprints'!A19" TargetMode="External" Id="rId390"/><Relationship Type="http://schemas.openxmlformats.org/officeDocument/2006/relationships/hyperlink" Target="#'Vers&#245;es'!A6" TargetMode="External" Id="rId391"/><Relationship Type="http://schemas.openxmlformats.org/officeDocument/2006/relationships/hyperlink" Target="#'Sprints'!A19" TargetMode="External" Id="rId392"/><Relationship Type="http://schemas.openxmlformats.org/officeDocument/2006/relationships/hyperlink" Target="#'Vers&#245;es'!A6" TargetMode="External" Id="rId393"/><Relationship Type="http://schemas.openxmlformats.org/officeDocument/2006/relationships/hyperlink" Target="#'Sprints'!A19" TargetMode="External" Id="rId394"/><Relationship Type="http://schemas.openxmlformats.org/officeDocument/2006/relationships/hyperlink" Target="#'Vers&#245;es'!A6" TargetMode="External" Id="rId395"/><Relationship Type="http://schemas.openxmlformats.org/officeDocument/2006/relationships/hyperlink" Target="#'Sprints'!A19" TargetMode="External" Id="rId396"/><Relationship Type="http://schemas.openxmlformats.org/officeDocument/2006/relationships/hyperlink" Target="#'Vers&#245;es'!A6" TargetMode="External" Id="rId397"/><Relationship Type="http://schemas.openxmlformats.org/officeDocument/2006/relationships/hyperlink" Target="#'Sprints'!A20" TargetMode="External" Id="rId398"/><Relationship Type="http://schemas.openxmlformats.org/officeDocument/2006/relationships/hyperlink" Target="#'Vers&#245;es'!A6" TargetMode="External" Id="rId399"/><Relationship Type="http://schemas.openxmlformats.org/officeDocument/2006/relationships/hyperlink" Target="#'Sprints'!A20" TargetMode="External" Id="rId400"/><Relationship Type="http://schemas.openxmlformats.org/officeDocument/2006/relationships/hyperlink" Target="#'Vers&#245;es'!A6" TargetMode="External" Id="rId401"/><Relationship Type="http://schemas.openxmlformats.org/officeDocument/2006/relationships/hyperlink" Target="#'Sprints'!A20" TargetMode="External" Id="rId402"/><Relationship Type="http://schemas.openxmlformats.org/officeDocument/2006/relationships/hyperlink" Target="#'Vers&#245;es'!A6" TargetMode="External" Id="rId403"/><Relationship Type="http://schemas.openxmlformats.org/officeDocument/2006/relationships/hyperlink" Target="#'Sprints'!A20" TargetMode="External" Id="rId404"/><Relationship Type="http://schemas.openxmlformats.org/officeDocument/2006/relationships/hyperlink" Target="#'Vers&#245;es'!A6" TargetMode="External" Id="rId405"/><Relationship Type="http://schemas.openxmlformats.org/officeDocument/2006/relationships/hyperlink" Target="#'Sprints'!A20" TargetMode="External" Id="rId406"/><Relationship Type="http://schemas.openxmlformats.org/officeDocument/2006/relationships/hyperlink" Target="#'Vers&#245;es'!A6" TargetMode="External" Id="rId407"/><Relationship Type="http://schemas.openxmlformats.org/officeDocument/2006/relationships/hyperlink" Target="#'Sprints'!A20" TargetMode="External" Id="rId408"/><Relationship Type="http://schemas.openxmlformats.org/officeDocument/2006/relationships/hyperlink" Target="#'Vers&#245;es'!A6" TargetMode="External" Id="rId409"/><Relationship Type="http://schemas.openxmlformats.org/officeDocument/2006/relationships/hyperlink" Target="#'Sprints'!A20" TargetMode="External" Id="rId410"/><Relationship Type="http://schemas.openxmlformats.org/officeDocument/2006/relationships/hyperlink" Target="#'Vers&#245;es'!A6" TargetMode="External" Id="rId411"/><Relationship Type="http://schemas.openxmlformats.org/officeDocument/2006/relationships/hyperlink" Target="#'Sprints'!A20" TargetMode="External" Id="rId412"/><Relationship Type="http://schemas.openxmlformats.org/officeDocument/2006/relationships/hyperlink" Target="#'Vers&#245;es'!A6" TargetMode="External" Id="rId413"/><Relationship Type="http://schemas.openxmlformats.org/officeDocument/2006/relationships/hyperlink" Target="#'Sprints'!A20" TargetMode="External" Id="rId414"/><Relationship Type="http://schemas.openxmlformats.org/officeDocument/2006/relationships/hyperlink" Target="#'Vers&#245;es'!A6" TargetMode="External" Id="rId415"/><Relationship Type="http://schemas.openxmlformats.org/officeDocument/2006/relationships/hyperlink" Target="#'Sprints'!A20" TargetMode="External" Id="rId416"/><Relationship Type="http://schemas.openxmlformats.org/officeDocument/2006/relationships/hyperlink" Target="#'Vers&#245;es'!A6" TargetMode="External" Id="rId417"/><Relationship Type="http://schemas.openxmlformats.org/officeDocument/2006/relationships/hyperlink" Target="#'Sprints'!A20" TargetMode="External" Id="rId418"/><Relationship Type="http://schemas.openxmlformats.org/officeDocument/2006/relationships/hyperlink" Target="#'Vers&#245;es'!A7" TargetMode="External" Id="rId419"/><Relationship Type="http://schemas.openxmlformats.org/officeDocument/2006/relationships/hyperlink" Target="#'Sprints'!A21" TargetMode="External" Id="rId420"/><Relationship Type="http://schemas.openxmlformats.org/officeDocument/2006/relationships/hyperlink" Target="#'Vers&#245;es'!A7" TargetMode="External" Id="rId421"/><Relationship Type="http://schemas.openxmlformats.org/officeDocument/2006/relationships/hyperlink" Target="#'Sprints'!A21" TargetMode="External" Id="rId422"/><Relationship Type="http://schemas.openxmlformats.org/officeDocument/2006/relationships/hyperlink" Target="#'Vers&#245;es'!A7" TargetMode="External" Id="rId423"/><Relationship Type="http://schemas.openxmlformats.org/officeDocument/2006/relationships/hyperlink" Target="#'Sprints'!A21" TargetMode="External" Id="rId424"/><Relationship Type="http://schemas.openxmlformats.org/officeDocument/2006/relationships/hyperlink" Target="#'Vers&#245;es'!A7" TargetMode="External" Id="rId425"/><Relationship Type="http://schemas.openxmlformats.org/officeDocument/2006/relationships/hyperlink" Target="#'Sprints'!A21" TargetMode="External" Id="rId426"/><Relationship Type="http://schemas.openxmlformats.org/officeDocument/2006/relationships/hyperlink" Target="#'Vers&#245;es'!A7" TargetMode="External" Id="rId427"/><Relationship Type="http://schemas.openxmlformats.org/officeDocument/2006/relationships/hyperlink" Target="#'Sprints'!A21" TargetMode="External" Id="rId428"/><Relationship Type="http://schemas.openxmlformats.org/officeDocument/2006/relationships/hyperlink" Target="#'Vers&#245;es'!A7" TargetMode="External" Id="rId429"/><Relationship Type="http://schemas.openxmlformats.org/officeDocument/2006/relationships/hyperlink" Target="#'Sprints'!A21" TargetMode="External" Id="rId430"/><Relationship Type="http://schemas.openxmlformats.org/officeDocument/2006/relationships/hyperlink" Target="#'Vers&#245;es'!A7" TargetMode="External" Id="rId431"/><Relationship Type="http://schemas.openxmlformats.org/officeDocument/2006/relationships/hyperlink" Target="#'Sprints'!A21" TargetMode="External" Id="rId432"/><Relationship Type="http://schemas.openxmlformats.org/officeDocument/2006/relationships/hyperlink" Target="#'Vers&#245;es'!A7" TargetMode="External" Id="rId433"/><Relationship Type="http://schemas.openxmlformats.org/officeDocument/2006/relationships/hyperlink" Target="#'Sprints'!A21" TargetMode="External" Id="rId434"/><Relationship Type="http://schemas.openxmlformats.org/officeDocument/2006/relationships/hyperlink" Target="#'Vers&#245;es'!A7" TargetMode="External" Id="rId435"/><Relationship Type="http://schemas.openxmlformats.org/officeDocument/2006/relationships/hyperlink" Target="#'Sprints'!A21" TargetMode="External" Id="rId436"/><Relationship Type="http://schemas.openxmlformats.org/officeDocument/2006/relationships/hyperlink" Target="#'Vers&#245;es'!A7" TargetMode="External" Id="rId437"/><Relationship Type="http://schemas.openxmlformats.org/officeDocument/2006/relationships/hyperlink" Target="#'Sprints'!A21" TargetMode="External" Id="rId438"/><Relationship Type="http://schemas.openxmlformats.org/officeDocument/2006/relationships/hyperlink" Target="#'Vers&#245;es'!A7" TargetMode="External" Id="rId439"/><Relationship Type="http://schemas.openxmlformats.org/officeDocument/2006/relationships/hyperlink" Target="#'Sprints'!A21" TargetMode="External" Id="rId440"/><Relationship Type="http://schemas.openxmlformats.org/officeDocument/2006/relationships/hyperlink" Target="#'Vers&#245;es'!A7" TargetMode="External" Id="rId441"/><Relationship Type="http://schemas.openxmlformats.org/officeDocument/2006/relationships/hyperlink" Target="#'Sprints'!A22" TargetMode="External" Id="rId442"/><Relationship Type="http://schemas.openxmlformats.org/officeDocument/2006/relationships/hyperlink" Target="#'Vers&#245;es'!A7" TargetMode="External" Id="rId443"/><Relationship Type="http://schemas.openxmlformats.org/officeDocument/2006/relationships/hyperlink" Target="#'Sprints'!A22" TargetMode="External" Id="rId444"/><Relationship Type="http://schemas.openxmlformats.org/officeDocument/2006/relationships/hyperlink" Target="#'Vers&#245;es'!A7" TargetMode="External" Id="rId445"/><Relationship Type="http://schemas.openxmlformats.org/officeDocument/2006/relationships/hyperlink" Target="#'Sprints'!A22" TargetMode="External" Id="rId446"/><Relationship Type="http://schemas.openxmlformats.org/officeDocument/2006/relationships/hyperlink" Target="#'Vers&#245;es'!A7" TargetMode="External" Id="rId447"/><Relationship Type="http://schemas.openxmlformats.org/officeDocument/2006/relationships/hyperlink" Target="#'Sprints'!A22" TargetMode="External" Id="rId448"/><Relationship Type="http://schemas.openxmlformats.org/officeDocument/2006/relationships/hyperlink" Target="#'Vers&#245;es'!A7" TargetMode="External" Id="rId449"/><Relationship Type="http://schemas.openxmlformats.org/officeDocument/2006/relationships/hyperlink" Target="#'Sprints'!A22" TargetMode="External" Id="rId450"/><Relationship Type="http://schemas.openxmlformats.org/officeDocument/2006/relationships/hyperlink" Target="#'Vers&#245;es'!A7" TargetMode="External" Id="rId451"/><Relationship Type="http://schemas.openxmlformats.org/officeDocument/2006/relationships/hyperlink" Target="#'Sprints'!A22" TargetMode="External" Id="rId452"/><Relationship Type="http://schemas.openxmlformats.org/officeDocument/2006/relationships/hyperlink" Target="#'Vers&#245;es'!A7" TargetMode="External" Id="rId453"/><Relationship Type="http://schemas.openxmlformats.org/officeDocument/2006/relationships/hyperlink" Target="#'Sprints'!A22" TargetMode="External" Id="rId454"/><Relationship Type="http://schemas.openxmlformats.org/officeDocument/2006/relationships/hyperlink" Target="#'Vers&#245;es'!A7" TargetMode="External" Id="rId455"/><Relationship Type="http://schemas.openxmlformats.org/officeDocument/2006/relationships/hyperlink" Target="#'Sprints'!A22" TargetMode="External" Id="rId456"/><Relationship Type="http://schemas.openxmlformats.org/officeDocument/2006/relationships/hyperlink" Target="#'Vers&#245;es'!A7" TargetMode="External" Id="rId457"/><Relationship Type="http://schemas.openxmlformats.org/officeDocument/2006/relationships/hyperlink" Target="#'Sprints'!A22" TargetMode="External" Id="rId458"/><Relationship Type="http://schemas.openxmlformats.org/officeDocument/2006/relationships/hyperlink" Target="#'Vers&#245;es'!A7" TargetMode="External" Id="rId459"/><Relationship Type="http://schemas.openxmlformats.org/officeDocument/2006/relationships/hyperlink" Target="#'Sprints'!A22" TargetMode="External" Id="rId460"/><Relationship Type="http://schemas.openxmlformats.org/officeDocument/2006/relationships/hyperlink" Target="#'Vers&#245;es'!A7" TargetMode="External" Id="rId461"/><Relationship Type="http://schemas.openxmlformats.org/officeDocument/2006/relationships/hyperlink" Target="#'Sprints'!A22" TargetMode="External" Id="rId462"/><Relationship Type="http://schemas.openxmlformats.org/officeDocument/2006/relationships/hyperlink" Target="#'Vers&#245;es'!A7" TargetMode="External" Id="rId463"/><Relationship Type="http://schemas.openxmlformats.org/officeDocument/2006/relationships/hyperlink" Target="#'Sprints'!A23" TargetMode="External" Id="rId464"/><Relationship Type="http://schemas.openxmlformats.org/officeDocument/2006/relationships/hyperlink" Target="#'Vers&#245;es'!A7" TargetMode="External" Id="rId465"/><Relationship Type="http://schemas.openxmlformats.org/officeDocument/2006/relationships/hyperlink" Target="#'Sprints'!A23" TargetMode="External" Id="rId466"/><Relationship Type="http://schemas.openxmlformats.org/officeDocument/2006/relationships/hyperlink" Target="#'Vers&#245;es'!A7" TargetMode="External" Id="rId467"/><Relationship Type="http://schemas.openxmlformats.org/officeDocument/2006/relationships/hyperlink" Target="#'Sprints'!A23" TargetMode="External" Id="rId468"/><Relationship Type="http://schemas.openxmlformats.org/officeDocument/2006/relationships/hyperlink" Target="#'Vers&#245;es'!A7" TargetMode="External" Id="rId469"/><Relationship Type="http://schemas.openxmlformats.org/officeDocument/2006/relationships/hyperlink" Target="#'Sprints'!A23" TargetMode="External" Id="rId470"/><Relationship Type="http://schemas.openxmlformats.org/officeDocument/2006/relationships/hyperlink" Target="#'Vers&#245;es'!A7" TargetMode="External" Id="rId471"/><Relationship Type="http://schemas.openxmlformats.org/officeDocument/2006/relationships/hyperlink" Target="#'Sprints'!A23" TargetMode="External" Id="rId472"/><Relationship Type="http://schemas.openxmlformats.org/officeDocument/2006/relationships/hyperlink" Target="#'Vers&#245;es'!A7" TargetMode="External" Id="rId473"/><Relationship Type="http://schemas.openxmlformats.org/officeDocument/2006/relationships/hyperlink" Target="#'Sprints'!A23" TargetMode="External" Id="rId474"/><Relationship Type="http://schemas.openxmlformats.org/officeDocument/2006/relationships/hyperlink" Target="#'Vers&#245;es'!A7" TargetMode="External" Id="rId475"/><Relationship Type="http://schemas.openxmlformats.org/officeDocument/2006/relationships/hyperlink" Target="#'Sprints'!A23" TargetMode="External" Id="rId476"/><Relationship Type="http://schemas.openxmlformats.org/officeDocument/2006/relationships/hyperlink" Target="#'Vers&#245;es'!A7" TargetMode="External" Id="rId477"/><Relationship Type="http://schemas.openxmlformats.org/officeDocument/2006/relationships/hyperlink" Target="#'Sprints'!A23" TargetMode="External" Id="rId478"/><Relationship Type="http://schemas.openxmlformats.org/officeDocument/2006/relationships/hyperlink" Target="#'Vers&#245;es'!A7" TargetMode="External" Id="rId479"/><Relationship Type="http://schemas.openxmlformats.org/officeDocument/2006/relationships/hyperlink" Target="#'Sprints'!A23" TargetMode="External" Id="rId480"/><Relationship Type="http://schemas.openxmlformats.org/officeDocument/2006/relationships/hyperlink" Target="#'Vers&#245;es'!A7" TargetMode="External" Id="rId481"/><Relationship Type="http://schemas.openxmlformats.org/officeDocument/2006/relationships/hyperlink" Target="#'Sprints'!A23" TargetMode="External" Id="rId482"/><Relationship Type="http://schemas.openxmlformats.org/officeDocument/2006/relationships/hyperlink" Target="#'Vers&#245;es'!A7" TargetMode="External" Id="rId483"/><Relationship Type="http://schemas.openxmlformats.org/officeDocument/2006/relationships/hyperlink" Target="#'Sprints'!A23" TargetMode="External" Id="rId484"/><Relationship Type="http://schemas.openxmlformats.org/officeDocument/2006/relationships/hyperlink" Target="#'Vers&#245;es'!A8" TargetMode="External" Id="rId485"/><Relationship Type="http://schemas.openxmlformats.org/officeDocument/2006/relationships/hyperlink" Target="#'Sprints'!A24" TargetMode="External" Id="rId486"/><Relationship Type="http://schemas.openxmlformats.org/officeDocument/2006/relationships/hyperlink" Target="#'Vers&#245;es'!A8" TargetMode="External" Id="rId487"/><Relationship Type="http://schemas.openxmlformats.org/officeDocument/2006/relationships/hyperlink" Target="#'Sprints'!A24" TargetMode="External" Id="rId488"/><Relationship Type="http://schemas.openxmlformats.org/officeDocument/2006/relationships/hyperlink" Target="#'Vers&#245;es'!A8" TargetMode="External" Id="rId489"/><Relationship Type="http://schemas.openxmlformats.org/officeDocument/2006/relationships/hyperlink" Target="#'Sprints'!A24" TargetMode="External" Id="rId490"/><Relationship Type="http://schemas.openxmlformats.org/officeDocument/2006/relationships/hyperlink" Target="#'Vers&#245;es'!A8" TargetMode="External" Id="rId491"/><Relationship Type="http://schemas.openxmlformats.org/officeDocument/2006/relationships/hyperlink" Target="#'Sprints'!A24" TargetMode="External" Id="rId492"/><Relationship Type="http://schemas.openxmlformats.org/officeDocument/2006/relationships/hyperlink" Target="#'Vers&#245;es'!A8" TargetMode="External" Id="rId493"/><Relationship Type="http://schemas.openxmlformats.org/officeDocument/2006/relationships/hyperlink" Target="#'Sprints'!A24" TargetMode="External" Id="rId494"/><Relationship Type="http://schemas.openxmlformats.org/officeDocument/2006/relationships/hyperlink" Target="#'Vers&#245;es'!A8" TargetMode="External" Id="rId495"/><Relationship Type="http://schemas.openxmlformats.org/officeDocument/2006/relationships/hyperlink" Target="#'Sprints'!A24" TargetMode="External" Id="rId496"/><Relationship Type="http://schemas.openxmlformats.org/officeDocument/2006/relationships/hyperlink" Target="#'Vers&#245;es'!A8" TargetMode="External" Id="rId497"/><Relationship Type="http://schemas.openxmlformats.org/officeDocument/2006/relationships/hyperlink" Target="#'Sprints'!A24" TargetMode="External" Id="rId498"/><Relationship Type="http://schemas.openxmlformats.org/officeDocument/2006/relationships/hyperlink" Target="#'Vers&#245;es'!A8" TargetMode="External" Id="rId499"/><Relationship Type="http://schemas.openxmlformats.org/officeDocument/2006/relationships/hyperlink" Target="#'Sprints'!A24" TargetMode="External" Id="rId500"/><Relationship Type="http://schemas.openxmlformats.org/officeDocument/2006/relationships/hyperlink" Target="#'Vers&#245;es'!A8" TargetMode="External" Id="rId501"/><Relationship Type="http://schemas.openxmlformats.org/officeDocument/2006/relationships/hyperlink" Target="#'Sprints'!A24" TargetMode="External" Id="rId502"/><Relationship Type="http://schemas.openxmlformats.org/officeDocument/2006/relationships/hyperlink" Target="#'Vers&#245;es'!A8" TargetMode="External" Id="rId503"/><Relationship Type="http://schemas.openxmlformats.org/officeDocument/2006/relationships/hyperlink" Target="#'Sprints'!A24" TargetMode="External" Id="rId504"/><Relationship Type="http://schemas.openxmlformats.org/officeDocument/2006/relationships/hyperlink" Target="#'Vers&#245;es'!A8" TargetMode="External" Id="rId505"/><Relationship Type="http://schemas.openxmlformats.org/officeDocument/2006/relationships/hyperlink" Target="#'Sprints'!A24" TargetMode="External" Id="rId506"/><Relationship Type="http://schemas.openxmlformats.org/officeDocument/2006/relationships/hyperlink" Target="#'Vers&#245;es'!A8" TargetMode="External" Id="rId507"/><Relationship Type="http://schemas.openxmlformats.org/officeDocument/2006/relationships/hyperlink" Target="#'Sprints'!A25" TargetMode="External" Id="rId508"/><Relationship Type="http://schemas.openxmlformats.org/officeDocument/2006/relationships/hyperlink" Target="#'Vers&#245;es'!A8" TargetMode="External" Id="rId509"/><Relationship Type="http://schemas.openxmlformats.org/officeDocument/2006/relationships/hyperlink" Target="#'Sprints'!A25" TargetMode="External" Id="rId510"/><Relationship Type="http://schemas.openxmlformats.org/officeDocument/2006/relationships/hyperlink" Target="#'Vers&#245;es'!A8" TargetMode="External" Id="rId511"/><Relationship Type="http://schemas.openxmlformats.org/officeDocument/2006/relationships/hyperlink" Target="#'Sprints'!A25" TargetMode="External" Id="rId512"/><Relationship Type="http://schemas.openxmlformats.org/officeDocument/2006/relationships/hyperlink" Target="#'Vers&#245;es'!A8" TargetMode="External" Id="rId513"/><Relationship Type="http://schemas.openxmlformats.org/officeDocument/2006/relationships/hyperlink" Target="#'Sprints'!A25" TargetMode="External" Id="rId514"/><Relationship Type="http://schemas.openxmlformats.org/officeDocument/2006/relationships/hyperlink" Target="#'Vers&#245;es'!A8" TargetMode="External" Id="rId515"/><Relationship Type="http://schemas.openxmlformats.org/officeDocument/2006/relationships/hyperlink" Target="#'Sprints'!A25" TargetMode="External" Id="rId516"/><Relationship Type="http://schemas.openxmlformats.org/officeDocument/2006/relationships/hyperlink" Target="#'Vers&#245;es'!A8" TargetMode="External" Id="rId517"/><Relationship Type="http://schemas.openxmlformats.org/officeDocument/2006/relationships/hyperlink" Target="#'Sprints'!A25" TargetMode="External" Id="rId518"/><Relationship Type="http://schemas.openxmlformats.org/officeDocument/2006/relationships/hyperlink" Target="#'Vers&#245;es'!A8" TargetMode="External" Id="rId519"/><Relationship Type="http://schemas.openxmlformats.org/officeDocument/2006/relationships/hyperlink" Target="#'Sprints'!A25" TargetMode="External" Id="rId520"/><Relationship Type="http://schemas.openxmlformats.org/officeDocument/2006/relationships/hyperlink" Target="#'Vers&#245;es'!A8" TargetMode="External" Id="rId521"/><Relationship Type="http://schemas.openxmlformats.org/officeDocument/2006/relationships/hyperlink" Target="#'Sprints'!A25" TargetMode="External" Id="rId522"/><Relationship Type="http://schemas.openxmlformats.org/officeDocument/2006/relationships/hyperlink" Target="#'Vers&#245;es'!A8" TargetMode="External" Id="rId523"/><Relationship Type="http://schemas.openxmlformats.org/officeDocument/2006/relationships/hyperlink" Target="#'Sprints'!A25" TargetMode="External" Id="rId524"/><Relationship Type="http://schemas.openxmlformats.org/officeDocument/2006/relationships/hyperlink" Target="#'Vers&#245;es'!A8" TargetMode="External" Id="rId525"/><Relationship Type="http://schemas.openxmlformats.org/officeDocument/2006/relationships/hyperlink" Target="#'Sprints'!A25" TargetMode="External" Id="rId526"/><Relationship Type="http://schemas.openxmlformats.org/officeDocument/2006/relationships/hyperlink" Target="#'Vers&#245;es'!A8" TargetMode="External" Id="rId527"/><Relationship Type="http://schemas.openxmlformats.org/officeDocument/2006/relationships/hyperlink" Target="#'Sprints'!A25" TargetMode="External" Id="rId528"/><Relationship Type="http://schemas.openxmlformats.org/officeDocument/2006/relationships/hyperlink" Target="#'Vers&#245;es'!A8" TargetMode="External" Id="rId529"/><Relationship Type="http://schemas.openxmlformats.org/officeDocument/2006/relationships/hyperlink" Target="#'Sprints'!A26" TargetMode="External" Id="rId530"/><Relationship Type="http://schemas.openxmlformats.org/officeDocument/2006/relationships/hyperlink" Target="#'Vers&#245;es'!A8" TargetMode="External" Id="rId531"/><Relationship Type="http://schemas.openxmlformats.org/officeDocument/2006/relationships/hyperlink" Target="#'Sprints'!A26" TargetMode="External" Id="rId532"/><Relationship Type="http://schemas.openxmlformats.org/officeDocument/2006/relationships/hyperlink" Target="#'Vers&#245;es'!A8" TargetMode="External" Id="rId533"/><Relationship Type="http://schemas.openxmlformats.org/officeDocument/2006/relationships/hyperlink" Target="#'Sprints'!A26" TargetMode="External" Id="rId534"/><Relationship Type="http://schemas.openxmlformats.org/officeDocument/2006/relationships/hyperlink" Target="#'Vers&#245;es'!A8" TargetMode="External" Id="rId535"/><Relationship Type="http://schemas.openxmlformats.org/officeDocument/2006/relationships/hyperlink" Target="#'Sprints'!A26" TargetMode="External" Id="rId536"/><Relationship Type="http://schemas.openxmlformats.org/officeDocument/2006/relationships/hyperlink" Target="#'Vers&#245;es'!A8" TargetMode="External" Id="rId537"/><Relationship Type="http://schemas.openxmlformats.org/officeDocument/2006/relationships/hyperlink" Target="#'Sprints'!A26" TargetMode="External" Id="rId538"/><Relationship Type="http://schemas.openxmlformats.org/officeDocument/2006/relationships/hyperlink" Target="#'Vers&#245;es'!A8" TargetMode="External" Id="rId539"/><Relationship Type="http://schemas.openxmlformats.org/officeDocument/2006/relationships/hyperlink" Target="#'Sprints'!A26" TargetMode="External" Id="rId540"/><Relationship Type="http://schemas.openxmlformats.org/officeDocument/2006/relationships/hyperlink" Target="#'Vers&#245;es'!A8" TargetMode="External" Id="rId541"/><Relationship Type="http://schemas.openxmlformats.org/officeDocument/2006/relationships/hyperlink" Target="#'Sprints'!A26" TargetMode="External" Id="rId542"/><Relationship Type="http://schemas.openxmlformats.org/officeDocument/2006/relationships/hyperlink" Target="#'Vers&#245;es'!A8" TargetMode="External" Id="rId543"/><Relationship Type="http://schemas.openxmlformats.org/officeDocument/2006/relationships/hyperlink" Target="#'Sprints'!A26" TargetMode="External" Id="rId544"/><Relationship Type="http://schemas.openxmlformats.org/officeDocument/2006/relationships/hyperlink" Target="#'Vers&#245;es'!A8" TargetMode="External" Id="rId545"/><Relationship Type="http://schemas.openxmlformats.org/officeDocument/2006/relationships/hyperlink" Target="#'Sprints'!A26" TargetMode="External" Id="rId546"/><Relationship Type="http://schemas.openxmlformats.org/officeDocument/2006/relationships/hyperlink" Target="#'Vers&#245;es'!A8" TargetMode="External" Id="rId547"/><Relationship Type="http://schemas.openxmlformats.org/officeDocument/2006/relationships/hyperlink" Target="#'Sprints'!A26" TargetMode="External" Id="rId548"/><Relationship Type="http://schemas.openxmlformats.org/officeDocument/2006/relationships/hyperlink" Target="#'Vers&#245;es'!A8" TargetMode="External" Id="rId549"/><Relationship Type="http://schemas.openxmlformats.org/officeDocument/2006/relationships/hyperlink" Target="#'Sprints'!A26" TargetMode="External" Id="rId550"/><Relationship Type="http://schemas.openxmlformats.org/officeDocument/2006/relationships/hyperlink" Target="#'Vers&#245;es'!A8" TargetMode="External" Id="rId551"/><Relationship Type="http://schemas.openxmlformats.org/officeDocument/2006/relationships/hyperlink" Target="#'Sprints'!A27" TargetMode="External" Id="rId552"/><Relationship Type="http://schemas.openxmlformats.org/officeDocument/2006/relationships/hyperlink" Target="#'Vers&#245;es'!A8" TargetMode="External" Id="rId553"/><Relationship Type="http://schemas.openxmlformats.org/officeDocument/2006/relationships/hyperlink" Target="#'Sprints'!A27" TargetMode="External" Id="rId554"/><Relationship Type="http://schemas.openxmlformats.org/officeDocument/2006/relationships/hyperlink" Target="#'Vers&#245;es'!A8" TargetMode="External" Id="rId555"/><Relationship Type="http://schemas.openxmlformats.org/officeDocument/2006/relationships/hyperlink" Target="#'Sprints'!A27" TargetMode="External" Id="rId556"/><Relationship Type="http://schemas.openxmlformats.org/officeDocument/2006/relationships/hyperlink" Target="#'Vers&#245;es'!A8" TargetMode="External" Id="rId557"/><Relationship Type="http://schemas.openxmlformats.org/officeDocument/2006/relationships/hyperlink" Target="#'Sprints'!A27" TargetMode="External" Id="rId558"/><Relationship Type="http://schemas.openxmlformats.org/officeDocument/2006/relationships/hyperlink" Target="#'Vers&#245;es'!A8" TargetMode="External" Id="rId559"/><Relationship Type="http://schemas.openxmlformats.org/officeDocument/2006/relationships/hyperlink" Target="#'Sprints'!A27" TargetMode="External" Id="rId560"/><Relationship Type="http://schemas.openxmlformats.org/officeDocument/2006/relationships/hyperlink" Target="#'Vers&#245;es'!A8" TargetMode="External" Id="rId561"/><Relationship Type="http://schemas.openxmlformats.org/officeDocument/2006/relationships/hyperlink" Target="#'Sprints'!A27" TargetMode="External" Id="rId562"/><Relationship Type="http://schemas.openxmlformats.org/officeDocument/2006/relationships/hyperlink" Target="#'Vers&#245;es'!A8" TargetMode="External" Id="rId563"/><Relationship Type="http://schemas.openxmlformats.org/officeDocument/2006/relationships/hyperlink" Target="#'Sprints'!A27" TargetMode="External" Id="rId564"/><Relationship Type="http://schemas.openxmlformats.org/officeDocument/2006/relationships/hyperlink" Target="#'Vers&#245;es'!A8" TargetMode="External" Id="rId565"/><Relationship Type="http://schemas.openxmlformats.org/officeDocument/2006/relationships/hyperlink" Target="#'Sprints'!A27" TargetMode="External" Id="rId566"/><Relationship Type="http://schemas.openxmlformats.org/officeDocument/2006/relationships/hyperlink" Target="#'Vers&#245;es'!A8" TargetMode="External" Id="rId567"/><Relationship Type="http://schemas.openxmlformats.org/officeDocument/2006/relationships/hyperlink" Target="#'Sprints'!A27" TargetMode="External" Id="rId568"/><Relationship Type="http://schemas.openxmlformats.org/officeDocument/2006/relationships/hyperlink" Target="#'Vers&#245;es'!A8" TargetMode="External" Id="rId569"/><Relationship Type="http://schemas.openxmlformats.org/officeDocument/2006/relationships/hyperlink" Target="#'Sprints'!A27" TargetMode="External" Id="rId570"/><Relationship Type="http://schemas.openxmlformats.org/officeDocument/2006/relationships/hyperlink" Target="#'Vers&#245;es'!A8" TargetMode="External" Id="rId571"/><Relationship Type="http://schemas.openxmlformats.org/officeDocument/2006/relationships/hyperlink" Target="#'Sprints'!A27" TargetMode="External" Id="rId572"/><Relationship Type="http://schemas.openxmlformats.org/officeDocument/2006/relationships/hyperlink" Target="#'Vers&#245;es'!A8" TargetMode="External" Id="rId573"/><Relationship Type="http://schemas.openxmlformats.org/officeDocument/2006/relationships/hyperlink" Target="#'Sprints'!A28" TargetMode="External" Id="rId574"/><Relationship Type="http://schemas.openxmlformats.org/officeDocument/2006/relationships/hyperlink" Target="#'Vers&#245;es'!A8" TargetMode="External" Id="rId575"/><Relationship Type="http://schemas.openxmlformats.org/officeDocument/2006/relationships/hyperlink" Target="#'Sprints'!A28" TargetMode="External" Id="rId576"/><Relationship Type="http://schemas.openxmlformats.org/officeDocument/2006/relationships/hyperlink" Target="#'Vers&#245;es'!A8" TargetMode="External" Id="rId577"/><Relationship Type="http://schemas.openxmlformats.org/officeDocument/2006/relationships/hyperlink" Target="#'Sprints'!A28" TargetMode="External" Id="rId578"/><Relationship Type="http://schemas.openxmlformats.org/officeDocument/2006/relationships/hyperlink" Target="#'Vers&#245;es'!A8" TargetMode="External" Id="rId579"/><Relationship Type="http://schemas.openxmlformats.org/officeDocument/2006/relationships/hyperlink" Target="#'Sprints'!A28" TargetMode="External" Id="rId580"/><Relationship Type="http://schemas.openxmlformats.org/officeDocument/2006/relationships/hyperlink" Target="#'Vers&#245;es'!A8" TargetMode="External" Id="rId581"/><Relationship Type="http://schemas.openxmlformats.org/officeDocument/2006/relationships/hyperlink" Target="#'Sprints'!A28" TargetMode="External" Id="rId582"/><Relationship Type="http://schemas.openxmlformats.org/officeDocument/2006/relationships/hyperlink" Target="#'Vers&#245;es'!A8" TargetMode="External" Id="rId583"/><Relationship Type="http://schemas.openxmlformats.org/officeDocument/2006/relationships/hyperlink" Target="#'Sprints'!A28" TargetMode="External" Id="rId584"/><Relationship Type="http://schemas.openxmlformats.org/officeDocument/2006/relationships/hyperlink" Target="#'Vers&#245;es'!A8" TargetMode="External" Id="rId585"/><Relationship Type="http://schemas.openxmlformats.org/officeDocument/2006/relationships/hyperlink" Target="#'Sprints'!A28" TargetMode="External" Id="rId586"/><Relationship Type="http://schemas.openxmlformats.org/officeDocument/2006/relationships/hyperlink" Target="#'Vers&#245;es'!A8" TargetMode="External" Id="rId587"/><Relationship Type="http://schemas.openxmlformats.org/officeDocument/2006/relationships/hyperlink" Target="#'Sprints'!A28" TargetMode="External" Id="rId588"/><Relationship Type="http://schemas.openxmlformats.org/officeDocument/2006/relationships/hyperlink" Target="#'Vers&#245;es'!A8" TargetMode="External" Id="rId589"/><Relationship Type="http://schemas.openxmlformats.org/officeDocument/2006/relationships/hyperlink" Target="#'Sprints'!A28" TargetMode="External" Id="rId590"/><Relationship Type="http://schemas.openxmlformats.org/officeDocument/2006/relationships/hyperlink" Target="#'Vers&#245;es'!A8" TargetMode="External" Id="rId591"/><Relationship Type="http://schemas.openxmlformats.org/officeDocument/2006/relationships/hyperlink" Target="#'Sprints'!A28" TargetMode="External" Id="rId592"/><Relationship Type="http://schemas.openxmlformats.org/officeDocument/2006/relationships/hyperlink" Target="#'Vers&#245;es'!A8" TargetMode="External" Id="rId593"/><Relationship Type="http://schemas.openxmlformats.org/officeDocument/2006/relationships/hyperlink" Target="#'Sprints'!A28" TargetMode="External" Id="rId594"/><Relationship Type="http://schemas.openxmlformats.org/officeDocument/2006/relationships/hyperlink" Target="#'Vers&#245;es'!A8" TargetMode="External" Id="rId595"/><Relationship Type="http://schemas.openxmlformats.org/officeDocument/2006/relationships/hyperlink" Target="#'Sprints'!A29" TargetMode="External" Id="rId596"/><Relationship Type="http://schemas.openxmlformats.org/officeDocument/2006/relationships/hyperlink" Target="#'Vers&#245;es'!A8" TargetMode="External" Id="rId597"/><Relationship Type="http://schemas.openxmlformats.org/officeDocument/2006/relationships/hyperlink" Target="#'Sprints'!A29" TargetMode="External" Id="rId598"/><Relationship Type="http://schemas.openxmlformats.org/officeDocument/2006/relationships/hyperlink" Target="#'Vers&#245;es'!A8" TargetMode="External" Id="rId599"/><Relationship Type="http://schemas.openxmlformats.org/officeDocument/2006/relationships/hyperlink" Target="#'Sprints'!A29" TargetMode="External" Id="rId600"/><Relationship Type="http://schemas.openxmlformats.org/officeDocument/2006/relationships/hyperlink" Target="#'Vers&#245;es'!A8" TargetMode="External" Id="rId601"/><Relationship Type="http://schemas.openxmlformats.org/officeDocument/2006/relationships/hyperlink" Target="#'Sprints'!A29" TargetMode="External" Id="rId602"/><Relationship Type="http://schemas.openxmlformats.org/officeDocument/2006/relationships/hyperlink" Target="#'Vers&#245;es'!A8" TargetMode="External" Id="rId603"/><Relationship Type="http://schemas.openxmlformats.org/officeDocument/2006/relationships/hyperlink" Target="#'Sprints'!A29" TargetMode="External" Id="rId604"/><Relationship Type="http://schemas.openxmlformats.org/officeDocument/2006/relationships/hyperlink" Target="#'Vers&#245;es'!A8" TargetMode="External" Id="rId605"/><Relationship Type="http://schemas.openxmlformats.org/officeDocument/2006/relationships/hyperlink" Target="#'Sprints'!A29" TargetMode="External" Id="rId606"/><Relationship Type="http://schemas.openxmlformats.org/officeDocument/2006/relationships/hyperlink" Target="#'Vers&#245;es'!A8" TargetMode="External" Id="rId607"/><Relationship Type="http://schemas.openxmlformats.org/officeDocument/2006/relationships/hyperlink" Target="#'Sprints'!A29" TargetMode="External" Id="rId608"/><Relationship Type="http://schemas.openxmlformats.org/officeDocument/2006/relationships/hyperlink" Target="#'Vers&#245;es'!A8" TargetMode="External" Id="rId609"/><Relationship Type="http://schemas.openxmlformats.org/officeDocument/2006/relationships/hyperlink" Target="#'Sprints'!A29" TargetMode="External" Id="rId610"/><Relationship Type="http://schemas.openxmlformats.org/officeDocument/2006/relationships/hyperlink" Target="#'Vers&#245;es'!A8" TargetMode="External" Id="rId611"/><Relationship Type="http://schemas.openxmlformats.org/officeDocument/2006/relationships/hyperlink" Target="#'Sprints'!A29" TargetMode="External" Id="rId612"/><Relationship Type="http://schemas.openxmlformats.org/officeDocument/2006/relationships/hyperlink" Target="#'Vers&#245;es'!A8" TargetMode="External" Id="rId613"/><Relationship Type="http://schemas.openxmlformats.org/officeDocument/2006/relationships/hyperlink" Target="#'Sprints'!A29" TargetMode="External" Id="rId614"/><Relationship Type="http://schemas.openxmlformats.org/officeDocument/2006/relationships/hyperlink" Target="#'Vers&#245;es'!A8" TargetMode="External" Id="rId615"/><Relationship Type="http://schemas.openxmlformats.org/officeDocument/2006/relationships/hyperlink" Target="#'Sprints'!A29" TargetMode="External" Id="rId616"/><Relationship Type="http://schemas.openxmlformats.org/officeDocument/2006/relationships/hyperlink" Target="#'Vers&#245;es'!A8" TargetMode="External" Id="rId617"/><Relationship Type="http://schemas.openxmlformats.org/officeDocument/2006/relationships/hyperlink" Target="#'Sprints'!A30" TargetMode="External" Id="rId618"/><Relationship Type="http://schemas.openxmlformats.org/officeDocument/2006/relationships/hyperlink" Target="#'Vers&#245;es'!A8" TargetMode="External" Id="rId619"/><Relationship Type="http://schemas.openxmlformats.org/officeDocument/2006/relationships/hyperlink" Target="#'Sprints'!A30" TargetMode="External" Id="rId620"/><Relationship Type="http://schemas.openxmlformats.org/officeDocument/2006/relationships/hyperlink" Target="#'Vers&#245;es'!A8" TargetMode="External" Id="rId621"/><Relationship Type="http://schemas.openxmlformats.org/officeDocument/2006/relationships/hyperlink" Target="#'Sprints'!A30" TargetMode="External" Id="rId622"/><Relationship Type="http://schemas.openxmlformats.org/officeDocument/2006/relationships/hyperlink" Target="#'Vers&#245;es'!A8" TargetMode="External" Id="rId623"/><Relationship Type="http://schemas.openxmlformats.org/officeDocument/2006/relationships/hyperlink" Target="#'Sprints'!A30" TargetMode="External" Id="rId624"/><Relationship Type="http://schemas.openxmlformats.org/officeDocument/2006/relationships/hyperlink" Target="#'Vers&#245;es'!A8" TargetMode="External" Id="rId625"/><Relationship Type="http://schemas.openxmlformats.org/officeDocument/2006/relationships/hyperlink" Target="#'Sprints'!A30" TargetMode="External" Id="rId626"/><Relationship Type="http://schemas.openxmlformats.org/officeDocument/2006/relationships/hyperlink" Target="#'Vers&#245;es'!A8" TargetMode="External" Id="rId627"/><Relationship Type="http://schemas.openxmlformats.org/officeDocument/2006/relationships/hyperlink" Target="#'Sprints'!A30" TargetMode="External" Id="rId628"/><Relationship Type="http://schemas.openxmlformats.org/officeDocument/2006/relationships/hyperlink" Target="#'Vers&#245;es'!A8" TargetMode="External" Id="rId629"/><Relationship Type="http://schemas.openxmlformats.org/officeDocument/2006/relationships/hyperlink" Target="#'Sprints'!A30" TargetMode="External" Id="rId630"/><Relationship Type="http://schemas.openxmlformats.org/officeDocument/2006/relationships/hyperlink" Target="#'Vers&#245;es'!A8" TargetMode="External" Id="rId631"/><Relationship Type="http://schemas.openxmlformats.org/officeDocument/2006/relationships/hyperlink" Target="#'Sprints'!A30" TargetMode="External" Id="rId632"/><Relationship Type="http://schemas.openxmlformats.org/officeDocument/2006/relationships/hyperlink" Target="#'Vers&#245;es'!A8" TargetMode="External" Id="rId633"/><Relationship Type="http://schemas.openxmlformats.org/officeDocument/2006/relationships/hyperlink" Target="#'Sprints'!A30" TargetMode="External" Id="rId634"/><Relationship Type="http://schemas.openxmlformats.org/officeDocument/2006/relationships/hyperlink" Target="#'Vers&#245;es'!A8" TargetMode="External" Id="rId635"/><Relationship Type="http://schemas.openxmlformats.org/officeDocument/2006/relationships/hyperlink" Target="#'Sprints'!A30" TargetMode="External" Id="rId636"/><Relationship Type="http://schemas.openxmlformats.org/officeDocument/2006/relationships/hyperlink" Target="#'Vers&#245;es'!A8" TargetMode="External" Id="rId637"/><Relationship Type="http://schemas.openxmlformats.org/officeDocument/2006/relationships/hyperlink" Target="#'Sprints'!A30" TargetMode="External" Id="rId638"/><Relationship Type="http://schemas.openxmlformats.org/officeDocument/2006/relationships/hyperlink" Target="#'Vers&#245;es'!A8" TargetMode="External" Id="rId639"/><Relationship Type="http://schemas.openxmlformats.org/officeDocument/2006/relationships/hyperlink" Target="#'Sprints'!A31" TargetMode="External" Id="rId640"/><Relationship Type="http://schemas.openxmlformats.org/officeDocument/2006/relationships/hyperlink" Target="#'Vers&#245;es'!A8" TargetMode="External" Id="rId641"/><Relationship Type="http://schemas.openxmlformats.org/officeDocument/2006/relationships/hyperlink" Target="#'Sprints'!A31" TargetMode="External" Id="rId642"/><Relationship Type="http://schemas.openxmlformats.org/officeDocument/2006/relationships/hyperlink" Target="#'Vers&#245;es'!A8" TargetMode="External" Id="rId643"/><Relationship Type="http://schemas.openxmlformats.org/officeDocument/2006/relationships/hyperlink" Target="#'Sprints'!A31" TargetMode="External" Id="rId644"/><Relationship Type="http://schemas.openxmlformats.org/officeDocument/2006/relationships/hyperlink" Target="#'Vers&#245;es'!A8" TargetMode="External" Id="rId645"/><Relationship Type="http://schemas.openxmlformats.org/officeDocument/2006/relationships/hyperlink" Target="#'Sprints'!A31" TargetMode="External" Id="rId646"/><Relationship Type="http://schemas.openxmlformats.org/officeDocument/2006/relationships/hyperlink" Target="#'Vers&#245;es'!A8" TargetMode="External" Id="rId647"/><Relationship Type="http://schemas.openxmlformats.org/officeDocument/2006/relationships/hyperlink" Target="#'Sprints'!A31" TargetMode="External" Id="rId648"/><Relationship Type="http://schemas.openxmlformats.org/officeDocument/2006/relationships/hyperlink" Target="#'Vers&#245;es'!A8" TargetMode="External" Id="rId649"/><Relationship Type="http://schemas.openxmlformats.org/officeDocument/2006/relationships/hyperlink" Target="#'Sprints'!A31" TargetMode="External" Id="rId650"/><Relationship Type="http://schemas.openxmlformats.org/officeDocument/2006/relationships/hyperlink" Target="#'Vers&#245;es'!A8" TargetMode="External" Id="rId651"/><Relationship Type="http://schemas.openxmlformats.org/officeDocument/2006/relationships/hyperlink" Target="#'Sprints'!A31" TargetMode="External" Id="rId652"/><Relationship Type="http://schemas.openxmlformats.org/officeDocument/2006/relationships/hyperlink" Target="#'Vers&#245;es'!A8" TargetMode="External" Id="rId653"/><Relationship Type="http://schemas.openxmlformats.org/officeDocument/2006/relationships/hyperlink" Target="#'Sprints'!A31" TargetMode="External" Id="rId654"/><Relationship Type="http://schemas.openxmlformats.org/officeDocument/2006/relationships/hyperlink" Target="#'Vers&#245;es'!A8" TargetMode="External" Id="rId655"/><Relationship Type="http://schemas.openxmlformats.org/officeDocument/2006/relationships/hyperlink" Target="#'Sprints'!A31" TargetMode="External" Id="rId656"/><Relationship Type="http://schemas.openxmlformats.org/officeDocument/2006/relationships/hyperlink" Target="#'Vers&#245;es'!A8" TargetMode="External" Id="rId657"/><Relationship Type="http://schemas.openxmlformats.org/officeDocument/2006/relationships/hyperlink" Target="#'Sprints'!A31" TargetMode="External" Id="rId658"/><Relationship Type="http://schemas.openxmlformats.org/officeDocument/2006/relationships/hyperlink" Target="#'Vers&#245;es'!A8" TargetMode="External" Id="rId659"/><Relationship Type="http://schemas.openxmlformats.org/officeDocument/2006/relationships/hyperlink" Target="#'Sprints'!A31" TargetMode="External" Id="rId660"/><Relationship Type="http://schemas.openxmlformats.org/officeDocument/2006/relationships/hyperlink" Target="#'Vers&#245;es'!A9" TargetMode="External" Id="rId661"/><Relationship Type="http://schemas.openxmlformats.org/officeDocument/2006/relationships/hyperlink" Target="#'Sprints'!A32" TargetMode="External" Id="rId662"/><Relationship Type="http://schemas.openxmlformats.org/officeDocument/2006/relationships/hyperlink" Target="#'Vers&#245;es'!A9" TargetMode="External" Id="rId663"/><Relationship Type="http://schemas.openxmlformats.org/officeDocument/2006/relationships/hyperlink" Target="#'Sprints'!A32" TargetMode="External" Id="rId664"/><Relationship Type="http://schemas.openxmlformats.org/officeDocument/2006/relationships/hyperlink" Target="#'Vers&#245;es'!A9" TargetMode="External" Id="rId665"/><Relationship Type="http://schemas.openxmlformats.org/officeDocument/2006/relationships/hyperlink" Target="#'Sprints'!A32" TargetMode="External" Id="rId666"/><Relationship Type="http://schemas.openxmlformats.org/officeDocument/2006/relationships/hyperlink" Target="#'Vers&#245;es'!A9" TargetMode="External" Id="rId667"/><Relationship Type="http://schemas.openxmlformats.org/officeDocument/2006/relationships/hyperlink" Target="#'Sprints'!A32" TargetMode="External" Id="rId668"/><Relationship Type="http://schemas.openxmlformats.org/officeDocument/2006/relationships/hyperlink" Target="#'Vers&#245;es'!A9" TargetMode="External" Id="rId669"/><Relationship Type="http://schemas.openxmlformats.org/officeDocument/2006/relationships/hyperlink" Target="#'Sprints'!A32" TargetMode="External" Id="rId670"/><Relationship Type="http://schemas.openxmlformats.org/officeDocument/2006/relationships/hyperlink" Target="#'Vers&#245;es'!A9" TargetMode="External" Id="rId671"/><Relationship Type="http://schemas.openxmlformats.org/officeDocument/2006/relationships/hyperlink" Target="#'Sprints'!A32" TargetMode="External" Id="rId672"/><Relationship Type="http://schemas.openxmlformats.org/officeDocument/2006/relationships/hyperlink" Target="#'Vers&#245;es'!A9" TargetMode="External" Id="rId673"/><Relationship Type="http://schemas.openxmlformats.org/officeDocument/2006/relationships/hyperlink" Target="#'Sprints'!A32" TargetMode="External" Id="rId674"/><Relationship Type="http://schemas.openxmlformats.org/officeDocument/2006/relationships/hyperlink" Target="#'Vers&#245;es'!A9" TargetMode="External" Id="rId675"/><Relationship Type="http://schemas.openxmlformats.org/officeDocument/2006/relationships/hyperlink" Target="#'Sprints'!A32" TargetMode="External" Id="rId676"/><Relationship Type="http://schemas.openxmlformats.org/officeDocument/2006/relationships/hyperlink" Target="#'Vers&#245;es'!A9" TargetMode="External" Id="rId677"/><Relationship Type="http://schemas.openxmlformats.org/officeDocument/2006/relationships/hyperlink" Target="#'Sprints'!A32" TargetMode="External" Id="rId678"/><Relationship Type="http://schemas.openxmlformats.org/officeDocument/2006/relationships/hyperlink" Target="#'Vers&#245;es'!A9" TargetMode="External" Id="rId679"/><Relationship Type="http://schemas.openxmlformats.org/officeDocument/2006/relationships/hyperlink" Target="#'Sprints'!A32" TargetMode="External" Id="rId680"/><Relationship Type="http://schemas.openxmlformats.org/officeDocument/2006/relationships/hyperlink" Target="#'Vers&#245;es'!A9" TargetMode="External" Id="rId681"/><Relationship Type="http://schemas.openxmlformats.org/officeDocument/2006/relationships/hyperlink" Target="#'Sprints'!A32" TargetMode="External" Id="rId682"/><Relationship Type="http://schemas.openxmlformats.org/officeDocument/2006/relationships/hyperlink" Target="#'Vers&#245;es'!A9" TargetMode="External" Id="rId683"/><Relationship Type="http://schemas.openxmlformats.org/officeDocument/2006/relationships/hyperlink" Target="#'Sprints'!A33" TargetMode="External" Id="rId684"/><Relationship Type="http://schemas.openxmlformats.org/officeDocument/2006/relationships/hyperlink" Target="#'Vers&#245;es'!A9" TargetMode="External" Id="rId685"/><Relationship Type="http://schemas.openxmlformats.org/officeDocument/2006/relationships/hyperlink" Target="#'Sprints'!A33" TargetMode="External" Id="rId686"/><Relationship Type="http://schemas.openxmlformats.org/officeDocument/2006/relationships/hyperlink" Target="#'Vers&#245;es'!A9" TargetMode="External" Id="rId687"/><Relationship Type="http://schemas.openxmlformats.org/officeDocument/2006/relationships/hyperlink" Target="#'Sprints'!A33" TargetMode="External" Id="rId688"/><Relationship Type="http://schemas.openxmlformats.org/officeDocument/2006/relationships/hyperlink" Target="#'Vers&#245;es'!A9" TargetMode="External" Id="rId689"/><Relationship Type="http://schemas.openxmlformats.org/officeDocument/2006/relationships/hyperlink" Target="#'Sprints'!A33" TargetMode="External" Id="rId690"/><Relationship Type="http://schemas.openxmlformats.org/officeDocument/2006/relationships/hyperlink" Target="#'Vers&#245;es'!A9" TargetMode="External" Id="rId691"/><Relationship Type="http://schemas.openxmlformats.org/officeDocument/2006/relationships/hyperlink" Target="#'Sprints'!A33" TargetMode="External" Id="rId692"/><Relationship Type="http://schemas.openxmlformats.org/officeDocument/2006/relationships/hyperlink" Target="#'Vers&#245;es'!A9" TargetMode="External" Id="rId693"/><Relationship Type="http://schemas.openxmlformats.org/officeDocument/2006/relationships/hyperlink" Target="#'Sprints'!A33" TargetMode="External" Id="rId694"/><Relationship Type="http://schemas.openxmlformats.org/officeDocument/2006/relationships/hyperlink" Target="#'Vers&#245;es'!A9" TargetMode="External" Id="rId695"/><Relationship Type="http://schemas.openxmlformats.org/officeDocument/2006/relationships/hyperlink" Target="#'Sprints'!A33" TargetMode="External" Id="rId696"/><Relationship Type="http://schemas.openxmlformats.org/officeDocument/2006/relationships/hyperlink" Target="#'Vers&#245;es'!A9" TargetMode="External" Id="rId697"/><Relationship Type="http://schemas.openxmlformats.org/officeDocument/2006/relationships/hyperlink" Target="#'Sprints'!A33" TargetMode="External" Id="rId698"/><Relationship Type="http://schemas.openxmlformats.org/officeDocument/2006/relationships/hyperlink" Target="#'Vers&#245;es'!A9" TargetMode="External" Id="rId699"/><Relationship Type="http://schemas.openxmlformats.org/officeDocument/2006/relationships/hyperlink" Target="#'Sprints'!A33" TargetMode="External" Id="rId700"/><Relationship Type="http://schemas.openxmlformats.org/officeDocument/2006/relationships/hyperlink" Target="#'Vers&#245;es'!A9" TargetMode="External" Id="rId701"/><Relationship Type="http://schemas.openxmlformats.org/officeDocument/2006/relationships/hyperlink" Target="#'Sprints'!A33" TargetMode="External" Id="rId702"/><Relationship Type="http://schemas.openxmlformats.org/officeDocument/2006/relationships/hyperlink" Target="#'Vers&#245;es'!A9" TargetMode="External" Id="rId703"/><Relationship Type="http://schemas.openxmlformats.org/officeDocument/2006/relationships/hyperlink" Target="#'Sprints'!A33" TargetMode="External" Id="rId704"/><Relationship Type="http://schemas.openxmlformats.org/officeDocument/2006/relationships/hyperlink" Target="#'Vers&#245;es'!A9" TargetMode="External" Id="rId705"/><Relationship Type="http://schemas.openxmlformats.org/officeDocument/2006/relationships/hyperlink" Target="#'Sprints'!A34" TargetMode="External" Id="rId706"/><Relationship Type="http://schemas.openxmlformats.org/officeDocument/2006/relationships/hyperlink" Target="#'Vers&#245;es'!A9" TargetMode="External" Id="rId707"/><Relationship Type="http://schemas.openxmlformats.org/officeDocument/2006/relationships/hyperlink" Target="#'Sprints'!A34" TargetMode="External" Id="rId708"/><Relationship Type="http://schemas.openxmlformats.org/officeDocument/2006/relationships/hyperlink" Target="#'Vers&#245;es'!A9" TargetMode="External" Id="rId709"/><Relationship Type="http://schemas.openxmlformats.org/officeDocument/2006/relationships/hyperlink" Target="#'Sprints'!A34" TargetMode="External" Id="rId710"/><Relationship Type="http://schemas.openxmlformats.org/officeDocument/2006/relationships/hyperlink" Target="#'Vers&#245;es'!A9" TargetMode="External" Id="rId711"/><Relationship Type="http://schemas.openxmlformats.org/officeDocument/2006/relationships/hyperlink" Target="#'Sprints'!A34" TargetMode="External" Id="rId712"/><Relationship Type="http://schemas.openxmlformats.org/officeDocument/2006/relationships/hyperlink" Target="#'Vers&#245;es'!A9" TargetMode="External" Id="rId713"/><Relationship Type="http://schemas.openxmlformats.org/officeDocument/2006/relationships/hyperlink" Target="#'Sprints'!A34" TargetMode="External" Id="rId714"/><Relationship Type="http://schemas.openxmlformats.org/officeDocument/2006/relationships/hyperlink" Target="#'Vers&#245;es'!A9" TargetMode="External" Id="rId715"/><Relationship Type="http://schemas.openxmlformats.org/officeDocument/2006/relationships/hyperlink" Target="#'Sprints'!A34" TargetMode="External" Id="rId716"/><Relationship Type="http://schemas.openxmlformats.org/officeDocument/2006/relationships/hyperlink" Target="#'Vers&#245;es'!A9" TargetMode="External" Id="rId717"/><Relationship Type="http://schemas.openxmlformats.org/officeDocument/2006/relationships/hyperlink" Target="#'Sprints'!A34" TargetMode="External" Id="rId718"/><Relationship Type="http://schemas.openxmlformats.org/officeDocument/2006/relationships/hyperlink" Target="#'Vers&#245;es'!A9" TargetMode="External" Id="rId719"/><Relationship Type="http://schemas.openxmlformats.org/officeDocument/2006/relationships/hyperlink" Target="#'Sprints'!A34" TargetMode="External" Id="rId720"/><Relationship Type="http://schemas.openxmlformats.org/officeDocument/2006/relationships/hyperlink" Target="#'Vers&#245;es'!A9" TargetMode="External" Id="rId721"/><Relationship Type="http://schemas.openxmlformats.org/officeDocument/2006/relationships/hyperlink" Target="#'Sprints'!A34" TargetMode="External" Id="rId722"/><Relationship Type="http://schemas.openxmlformats.org/officeDocument/2006/relationships/hyperlink" Target="#'Vers&#245;es'!A9" TargetMode="External" Id="rId723"/><Relationship Type="http://schemas.openxmlformats.org/officeDocument/2006/relationships/hyperlink" Target="#'Sprints'!A34" TargetMode="External" Id="rId724"/><Relationship Type="http://schemas.openxmlformats.org/officeDocument/2006/relationships/hyperlink" Target="#'Vers&#245;es'!A9" TargetMode="External" Id="rId725"/><Relationship Type="http://schemas.openxmlformats.org/officeDocument/2006/relationships/hyperlink" Target="#'Sprints'!A34" TargetMode="External" Id="rId726"/><Relationship Type="http://schemas.openxmlformats.org/officeDocument/2006/relationships/hyperlink" Target="#'Vers&#245;es'!A9" TargetMode="External" Id="rId727"/><Relationship Type="http://schemas.openxmlformats.org/officeDocument/2006/relationships/hyperlink" Target="#'Sprints'!A35" TargetMode="External" Id="rId728"/><Relationship Type="http://schemas.openxmlformats.org/officeDocument/2006/relationships/hyperlink" Target="#'Vers&#245;es'!A9" TargetMode="External" Id="rId729"/><Relationship Type="http://schemas.openxmlformats.org/officeDocument/2006/relationships/hyperlink" Target="#'Sprints'!A35" TargetMode="External" Id="rId730"/><Relationship Type="http://schemas.openxmlformats.org/officeDocument/2006/relationships/hyperlink" Target="#'Vers&#245;es'!A9" TargetMode="External" Id="rId731"/><Relationship Type="http://schemas.openxmlformats.org/officeDocument/2006/relationships/hyperlink" Target="#'Sprints'!A35" TargetMode="External" Id="rId732"/><Relationship Type="http://schemas.openxmlformats.org/officeDocument/2006/relationships/hyperlink" Target="#'Vers&#245;es'!A9" TargetMode="External" Id="rId733"/><Relationship Type="http://schemas.openxmlformats.org/officeDocument/2006/relationships/hyperlink" Target="#'Sprints'!A35" TargetMode="External" Id="rId734"/><Relationship Type="http://schemas.openxmlformats.org/officeDocument/2006/relationships/hyperlink" Target="#'Vers&#245;es'!A9" TargetMode="External" Id="rId735"/><Relationship Type="http://schemas.openxmlformats.org/officeDocument/2006/relationships/hyperlink" Target="#'Sprints'!A35" TargetMode="External" Id="rId736"/><Relationship Type="http://schemas.openxmlformats.org/officeDocument/2006/relationships/hyperlink" Target="#'Vers&#245;es'!A9" TargetMode="External" Id="rId737"/><Relationship Type="http://schemas.openxmlformats.org/officeDocument/2006/relationships/hyperlink" Target="#'Sprints'!A35" TargetMode="External" Id="rId738"/><Relationship Type="http://schemas.openxmlformats.org/officeDocument/2006/relationships/hyperlink" Target="#'Vers&#245;es'!A9" TargetMode="External" Id="rId739"/><Relationship Type="http://schemas.openxmlformats.org/officeDocument/2006/relationships/hyperlink" Target="#'Sprints'!A35" TargetMode="External" Id="rId740"/><Relationship Type="http://schemas.openxmlformats.org/officeDocument/2006/relationships/hyperlink" Target="#'Vers&#245;es'!A9" TargetMode="External" Id="rId741"/><Relationship Type="http://schemas.openxmlformats.org/officeDocument/2006/relationships/hyperlink" Target="#'Sprints'!A35" TargetMode="External" Id="rId742"/><Relationship Type="http://schemas.openxmlformats.org/officeDocument/2006/relationships/hyperlink" Target="#'Vers&#245;es'!A9" TargetMode="External" Id="rId743"/><Relationship Type="http://schemas.openxmlformats.org/officeDocument/2006/relationships/hyperlink" Target="#'Sprints'!A35" TargetMode="External" Id="rId744"/><Relationship Type="http://schemas.openxmlformats.org/officeDocument/2006/relationships/hyperlink" Target="#'Vers&#245;es'!A9" TargetMode="External" Id="rId745"/><Relationship Type="http://schemas.openxmlformats.org/officeDocument/2006/relationships/hyperlink" Target="#'Sprints'!A35" TargetMode="External" Id="rId746"/><Relationship Type="http://schemas.openxmlformats.org/officeDocument/2006/relationships/hyperlink" Target="#'Vers&#245;es'!A9" TargetMode="External" Id="rId747"/><Relationship Type="http://schemas.openxmlformats.org/officeDocument/2006/relationships/hyperlink" Target="#'Sprints'!A35" TargetMode="External" Id="rId748"/><Relationship Type="http://schemas.openxmlformats.org/officeDocument/2006/relationships/hyperlink" Target="#'Vers&#245;es'!A9" TargetMode="External" Id="rId749"/><Relationship Type="http://schemas.openxmlformats.org/officeDocument/2006/relationships/hyperlink" Target="#'Sprints'!A36" TargetMode="External" Id="rId750"/><Relationship Type="http://schemas.openxmlformats.org/officeDocument/2006/relationships/hyperlink" Target="#'Vers&#245;es'!A9" TargetMode="External" Id="rId751"/><Relationship Type="http://schemas.openxmlformats.org/officeDocument/2006/relationships/hyperlink" Target="#'Sprints'!A36" TargetMode="External" Id="rId752"/><Relationship Type="http://schemas.openxmlformats.org/officeDocument/2006/relationships/hyperlink" Target="#'Vers&#245;es'!A9" TargetMode="External" Id="rId753"/><Relationship Type="http://schemas.openxmlformats.org/officeDocument/2006/relationships/hyperlink" Target="#'Sprints'!A36" TargetMode="External" Id="rId754"/><Relationship Type="http://schemas.openxmlformats.org/officeDocument/2006/relationships/hyperlink" Target="#'Vers&#245;es'!A9" TargetMode="External" Id="rId755"/><Relationship Type="http://schemas.openxmlformats.org/officeDocument/2006/relationships/hyperlink" Target="#'Sprints'!A36" TargetMode="External" Id="rId756"/><Relationship Type="http://schemas.openxmlformats.org/officeDocument/2006/relationships/hyperlink" Target="#'Vers&#245;es'!A9" TargetMode="External" Id="rId757"/><Relationship Type="http://schemas.openxmlformats.org/officeDocument/2006/relationships/hyperlink" Target="#'Sprints'!A36" TargetMode="External" Id="rId758"/><Relationship Type="http://schemas.openxmlformats.org/officeDocument/2006/relationships/hyperlink" Target="#'Vers&#245;es'!A9" TargetMode="External" Id="rId759"/><Relationship Type="http://schemas.openxmlformats.org/officeDocument/2006/relationships/hyperlink" Target="#'Sprints'!A36" TargetMode="External" Id="rId760"/><Relationship Type="http://schemas.openxmlformats.org/officeDocument/2006/relationships/hyperlink" Target="#'Vers&#245;es'!A9" TargetMode="External" Id="rId761"/><Relationship Type="http://schemas.openxmlformats.org/officeDocument/2006/relationships/hyperlink" Target="#'Sprints'!A36" TargetMode="External" Id="rId762"/><Relationship Type="http://schemas.openxmlformats.org/officeDocument/2006/relationships/hyperlink" Target="#'Vers&#245;es'!A9" TargetMode="External" Id="rId763"/><Relationship Type="http://schemas.openxmlformats.org/officeDocument/2006/relationships/hyperlink" Target="#'Sprints'!A36" TargetMode="External" Id="rId764"/><Relationship Type="http://schemas.openxmlformats.org/officeDocument/2006/relationships/hyperlink" Target="#'Vers&#245;es'!A9" TargetMode="External" Id="rId765"/><Relationship Type="http://schemas.openxmlformats.org/officeDocument/2006/relationships/hyperlink" Target="#'Sprints'!A36" TargetMode="External" Id="rId766"/><Relationship Type="http://schemas.openxmlformats.org/officeDocument/2006/relationships/hyperlink" Target="#'Vers&#245;es'!A9" TargetMode="External" Id="rId767"/><Relationship Type="http://schemas.openxmlformats.org/officeDocument/2006/relationships/hyperlink" Target="#'Sprints'!A36" TargetMode="External" Id="rId768"/><Relationship Type="http://schemas.openxmlformats.org/officeDocument/2006/relationships/hyperlink" Target="#'Vers&#245;es'!A9" TargetMode="External" Id="rId769"/><Relationship Type="http://schemas.openxmlformats.org/officeDocument/2006/relationships/hyperlink" Target="#'Sprints'!A36" TargetMode="External" Id="rId770"/><Relationship Type="http://schemas.openxmlformats.org/officeDocument/2006/relationships/hyperlink" Target="#'Vers&#245;es'!A9" TargetMode="External" Id="rId771"/><Relationship Type="http://schemas.openxmlformats.org/officeDocument/2006/relationships/hyperlink" Target="#'Sprints'!A37" TargetMode="External" Id="rId772"/><Relationship Type="http://schemas.openxmlformats.org/officeDocument/2006/relationships/hyperlink" Target="#'Vers&#245;es'!A9" TargetMode="External" Id="rId773"/><Relationship Type="http://schemas.openxmlformats.org/officeDocument/2006/relationships/hyperlink" Target="#'Sprints'!A37" TargetMode="External" Id="rId774"/><Relationship Type="http://schemas.openxmlformats.org/officeDocument/2006/relationships/hyperlink" Target="#'Vers&#245;es'!A9" TargetMode="External" Id="rId775"/><Relationship Type="http://schemas.openxmlformats.org/officeDocument/2006/relationships/hyperlink" Target="#'Sprints'!A37" TargetMode="External" Id="rId776"/><Relationship Type="http://schemas.openxmlformats.org/officeDocument/2006/relationships/hyperlink" Target="#'Vers&#245;es'!A9" TargetMode="External" Id="rId777"/><Relationship Type="http://schemas.openxmlformats.org/officeDocument/2006/relationships/hyperlink" Target="#'Sprints'!A37" TargetMode="External" Id="rId778"/><Relationship Type="http://schemas.openxmlformats.org/officeDocument/2006/relationships/hyperlink" Target="#'Vers&#245;es'!A9" TargetMode="External" Id="rId779"/><Relationship Type="http://schemas.openxmlformats.org/officeDocument/2006/relationships/hyperlink" Target="#'Sprints'!A37" TargetMode="External" Id="rId780"/><Relationship Type="http://schemas.openxmlformats.org/officeDocument/2006/relationships/hyperlink" Target="#'Vers&#245;es'!A9" TargetMode="External" Id="rId781"/><Relationship Type="http://schemas.openxmlformats.org/officeDocument/2006/relationships/hyperlink" Target="#'Sprints'!A37" TargetMode="External" Id="rId782"/><Relationship Type="http://schemas.openxmlformats.org/officeDocument/2006/relationships/hyperlink" Target="#'Vers&#245;es'!A9" TargetMode="External" Id="rId783"/><Relationship Type="http://schemas.openxmlformats.org/officeDocument/2006/relationships/hyperlink" Target="#'Sprints'!A37" TargetMode="External" Id="rId784"/><Relationship Type="http://schemas.openxmlformats.org/officeDocument/2006/relationships/hyperlink" Target="#'Vers&#245;es'!A9" TargetMode="External" Id="rId785"/><Relationship Type="http://schemas.openxmlformats.org/officeDocument/2006/relationships/hyperlink" Target="#'Sprints'!A37" TargetMode="External" Id="rId786"/><Relationship Type="http://schemas.openxmlformats.org/officeDocument/2006/relationships/hyperlink" Target="#'Vers&#245;es'!A9" TargetMode="External" Id="rId787"/><Relationship Type="http://schemas.openxmlformats.org/officeDocument/2006/relationships/hyperlink" Target="#'Sprints'!A37" TargetMode="External" Id="rId788"/><Relationship Type="http://schemas.openxmlformats.org/officeDocument/2006/relationships/hyperlink" Target="#'Vers&#245;es'!A9" TargetMode="External" Id="rId789"/><Relationship Type="http://schemas.openxmlformats.org/officeDocument/2006/relationships/hyperlink" Target="#'Sprints'!A37" TargetMode="External" Id="rId790"/><Relationship Type="http://schemas.openxmlformats.org/officeDocument/2006/relationships/hyperlink" Target="#'Vers&#245;es'!A9" TargetMode="External" Id="rId791"/><Relationship Type="http://schemas.openxmlformats.org/officeDocument/2006/relationships/hyperlink" Target="#'Sprints'!A37" TargetMode="External" Id="rId792"/><Relationship Type="http://schemas.openxmlformats.org/officeDocument/2006/relationships/hyperlink" Target="#'Vers&#245;es'!A10" TargetMode="External" Id="rId793"/><Relationship Type="http://schemas.openxmlformats.org/officeDocument/2006/relationships/hyperlink" Target="#'Sprints'!A38" TargetMode="External" Id="rId794"/><Relationship Type="http://schemas.openxmlformats.org/officeDocument/2006/relationships/hyperlink" Target="#'Vers&#245;es'!A10" TargetMode="External" Id="rId795"/><Relationship Type="http://schemas.openxmlformats.org/officeDocument/2006/relationships/hyperlink" Target="#'Sprints'!A38" TargetMode="External" Id="rId796"/><Relationship Type="http://schemas.openxmlformats.org/officeDocument/2006/relationships/hyperlink" Target="#'Vers&#245;es'!A10" TargetMode="External" Id="rId797"/><Relationship Type="http://schemas.openxmlformats.org/officeDocument/2006/relationships/hyperlink" Target="#'Sprints'!A38" TargetMode="External" Id="rId798"/><Relationship Type="http://schemas.openxmlformats.org/officeDocument/2006/relationships/hyperlink" Target="#'Vers&#245;es'!A10" TargetMode="External" Id="rId799"/><Relationship Type="http://schemas.openxmlformats.org/officeDocument/2006/relationships/hyperlink" Target="#'Sprints'!A38" TargetMode="External" Id="rId800"/><Relationship Type="http://schemas.openxmlformats.org/officeDocument/2006/relationships/hyperlink" Target="#'Vers&#245;es'!A10" TargetMode="External" Id="rId801"/><Relationship Type="http://schemas.openxmlformats.org/officeDocument/2006/relationships/hyperlink" Target="#'Sprints'!A38" TargetMode="External" Id="rId802"/><Relationship Type="http://schemas.openxmlformats.org/officeDocument/2006/relationships/hyperlink" Target="#'Vers&#245;es'!A10" TargetMode="External" Id="rId803"/><Relationship Type="http://schemas.openxmlformats.org/officeDocument/2006/relationships/hyperlink" Target="#'Sprints'!A38" TargetMode="External" Id="rId804"/><Relationship Type="http://schemas.openxmlformats.org/officeDocument/2006/relationships/hyperlink" Target="#'Vers&#245;es'!A10" TargetMode="External" Id="rId805"/><Relationship Type="http://schemas.openxmlformats.org/officeDocument/2006/relationships/hyperlink" Target="#'Sprints'!A38" TargetMode="External" Id="rId806"/><Relationship Type="http://schemas.openxmlformats.org/officeDocument/2006/relationships/hyperlink" Target="#'Vers&#245;es'!A10" TargetMode="External" Id="rId807"/><Relationship Type="http://schemas.openxmlformats.org/officeDocument/2006/relationships/hyperlink" Target="#'Sprints'!A38" TargetMode="External" Id="rId808"/><Relationship Type="http://schemas.openxmlformats.org/officeDocument/2006/relationships/hyperlink" Target="#'Vers&#245;es'!A10" TargetMode="External" Id="rId809"/><Relationship Type="http://schemas.openxmlformats.org/officeDocument/2006/relationships/hyperlink" Target="#'Sprints'!A38" TargetMode="External" Id="rId810"/><Relationship Type="http://schemas.openxmlformats.org/officeDocument/2006/relationships/hyperlink" Target="#'Vers&#245;es'!A10" TargetMode="External" Id="rId811"/><Relationship Type="http://schemas.openxmlformats.org/officeDocument/2006/relationships/hyperlink" Target="#'Sprints'!A38" TargetMode="External" Id="rId812"/><Relationship Type="http://schemas.openxmlformats.org/officeDocument/2006/relationships/hyperlink" Target="#'Vers&#245;es'!A10" TargetMode="External" Id="rId813"/><Relationship Type="http://schemas.openxmlformats.org/officeDocument/2006/relationships/hyperlink" Target="#'Sprints'!A38" TargetMode="External" Id="rId814"/><Relationship Type="http://schemas.openxmlformats.org/officeDocument/2006/relationships/hyperlink" Target="#'Vers&#245;es'!A10" TargetMode="External" Id="rId815"/><Relationship Type="http://schemas.openxmlformats.org/officeDocument/2006/relationships/hyperlink" Target="#'Sprints'!A39" TargetMode="External" Id="rId816"/><Relationship Type="http://schemas.openxmlformats.org/officeDocument/2006/relationships/hyperlink" Target="#'Vers&#245;es'!A10" TargetMode="External" Id="rId817"/><Relationship Type="http://schemas.openxmlformats.org/officeDocument/2006/relationships/hyperlink" Target="#'Sprints'!A39" TargetMode="External" Id="rId818"/><Relationship Type="http://schemas.openxmlformats.org/officeDocument/2006/relationships/hyperlink" Target="#'Vers&#245;es'!A10" TargetMode="External" Id="rId819"/><Relationship Type="http://schemas.openxmlformats.org/officeDocument/2006/relationships/hyperlink" Target="#'Sprints'!A39" TargetMode="External" Id="rId820"/><Relationship Type="http://schemas.openxmlformats.org/officeDocument/2006/relationships/hyperlink" Target="#'Vers&#245;es'!A10" TargetMode="External" Id="rId821"/><Relationship Type="http://schemas.openxmlformats.org/officeDocument/2006/relationships/hyperlink" Target="#'Sprints'!A39" TargetMode="External" Id="rId822"/><Relationship Type="http://schemas.openxmlformats.org/officeDocument/2006/relationships/hyperlink" Target="#'Vers&#245;es'!A10" TargetMode="External" Id="rId823"/><Relationship Type="http://schemas.openxmlformats.org/officeDocument/2006/relationships/hyperlink" Target="#'Sprints'!A39" TargetMode="External" Id="rId824"/><Relationship Type="http://schemas.openxmlformats.org/officeDocument/2006/relationships/hyperlink" Target="#'Vers&#245;es'!A10" TargetMode="External" Id="rId825"/><Relationship Type="http://schemas.openxmlformats.org/officeDocument/2006/relationships/hyperlink" Target="#'Sprints'!A39" TargetMode="External" Id="rId826"/><Relationship Type="http://schemas.openxmlformats.org/officeDocument/2006/relationships/hyperlink" Target="#'Vers&#245;es'!A10" TargetMode="External" Id="rId827"/><Relationship Type="http://schemas.openxmlformats.org/officeDocument/2006/relationships/hyperlink" Target="#'Sprints'!A39" TargetMode="External" Id="rId828"/><Relationship Type="http://schemas.openxmlformats.org/officeDocument/2006/relationships/hyperlink" Target="#'Vers&#245;es'!A10" TargetMode="External" Id="rId829"/><Relationship Type="http://schemas.openxmlformats.org/officeDocument/2006/relationships/hyperlink" Target="#'Sprints'!A39" TargetMode="External" Id="rId830"/><Relationship Type="http://schemas.openxmlformats.org/officeDocument/2006/relationships/hyperlink" Target="#'Vers&#245;es'!A10" TargetMode="External" Id="rId831"/><Relationship Type="http://schemas.openxmlformats.org/officeDocument/2006/relationships/hyperlink" Target="#'Sprints'!A39" TargetMode="External" Id="rId832"/><Relationship Type="http://schemas.openxmlformats.org/officeDocument/2006/relationships/hyperlink" Target="#'Vers&#245;es'!A10" TargetMode="External" Id="rId833"/><Relationship Type="http://schemas.openxmlformats.org/officeDocument/2006/relationships/hyperlink" Target="#'Sprints'!A39" TargetMode="External" Id="rId834"/><Relationship Type="http://schemas.openxmlformats.org/officeDocument/2006/relationships/hyperlink" Target="#'Vers&#245;es'!A10" TargetMode="External" Id="rId835"/><Relationship Type="http://schemas.openxmlformats.org/officeDocument/2006/relationships/hyperlink" Target="#'Sprints'!A39" TargetMode="External" Id="rId836"/><Relationship Type="http://schemas.openxmlformats.org/officeDocument/2006/relationships/hyperlink" Target="#'Vers&#245;es'!A10" TargetMode="External" Id="rId837"/><Relationship Type="http://schemas.openxmlformats.org/officeDocument/2006/relationships/hyperlink" Target="#'Sprints'!A40" TargetMode="External" Id="rId838"/><Relationship Type="http://schemas.openxmlformats.org/officeDocument/2006/relationships/hyperlink" Target="#'Vers&#245;es'!A10" TargetMode="External" Id="rId839"/><Relationship Type="http://schemas.openxmlformats.org/officeDocument/2006/relationships/hyperlink" Target="#'Sprints'!A40" TargetMode="External" Id="rId840"/><Relationship Type="http://schemas.openxmlformats.org/officeDocument/2006/relationships/hyperlink" Target="#'Vers&#245;es'!A10" TargetMode="External" Id="rId841"/><Relationship Type="http://schemas.openxmlformats.org/officeDocument/2006/relationships/hyperlink" Target="#'Sprints'!A40" TargetMode="External" Id="rId842"/><Relationship Type="http://schemas.openxmlformats.org/officeDocument/2006/relationships/hyperlink" Target="#'Vers&#245;es'!A10" TargetMode="External" Id="rId843"/><Relationship Type="http://schemas.openxmlformats.org/officeDocument/2006/relationships/hyperlink" Target="#'Sprints'!A40" TargetMode="External" Id="rId844"/><Relationship Type="http://schemas.openxmlformats.org/officeDocument/2006/relationships/hyperlink" Target="#'Vers&#245;es'!A10" TargetMode="External" Id="rId845"/><Relationship Type="http://schemas.openxmlformats.org/officeDocument/2006/relationships/hyperlink" Target="#'Sprints'!A40" TargetMode="External" Id="rId846"/><Relationship Type="http://schemas.openxmlformats.org/officeDocument/2006/relationships/hyperlink" Target="#'Vers&#245;es'!A10" TargetMode="External" Id="rId847"/><Relationship Type="http://schemas.openxmlformats.org/officeDocument/2006/relationships/hyperlink" Target="#'Sprints'!A40" TargetMode="External" Id="rId848"/><Relationship Type="http://schemas.openxmlformats.org/officeDocument/2006/relationships/hyperlink" Target="#'Vers&#245;es'!A10" TargetMode="External" Id="rId849"/><Relationship Type="http://schemas.openxmlformats.org/officeDocument/2006/relationships/hyperlink" Target="#'Sprints'!A40" TargetMode="External" Id="rId850"/><Relationship Type="http://schemas.openxmlformats.org/officeDocument/2006/relationships/hyperlink" Target="#'Vers&#245;es'!A10" TargetMode="External" Id="rId851"/><Relationship Type="http://schemas.openxmlformats.org/officeDocument/2006/relationships/hyperlink" Target="#'Sprints'!A40" TargetMode="External" Id="rId852"/><Relationship Type="http://schemas.openxmlformats.org/officeDocument/2006/relationships/hyperlink" Target="#'Vers&#245;es'!A10" TargetMode="External" Id="rId853"/><Relationship Type="http://schemas.openxmlformats.org/officeDocument/2006/relationships/hyperlink" Target="#'Sprints'!A40" TargetMode="External" Id="rId854"/><Relationship Type="http://schemas.openxmlformats.org/officeDocument/2006/relationships/hyperlink" Target="#'Vers&#245;es'!A10" TargetMode="External" Id="rId855"/><Relationship Type="http://schemas.openxmlformats.org/officeDocument/2006/relationships/hyperlink" Target="#'Sprints'!A40" TargetMode="External" Id="rId856"/><Relationship Type="http://schemas.openxmlformats.org/officeDocument/2006/relationships/hyperlink" Target="#'Vers&#245;es'!A10" TargetMode="External" Id="rId857"/><Relationship Type="http://schemas.openxmlformats.org/officeDocument/2006/relationships/hyperlink" Target="#'Sprints'!A40" TargetMode="External" Id="rId858"/><Relationship Type="http://schemas.openxmlformats.org/officeDocument/2006/relationships/hyperlink" Target="#'Vers&#245;es'!A10" TargetMode="External" Id="rId859"/><Relationship Type="http://schemas.openxmlformats.org/officeDocument/2006/relationships/hyperlink" Target="#'Sprints'!A41" TargetMode="External" Id="rId860"/><Relationship Type="http://schemas.openxmlformats.org/officeDocument/2006/relationships/hyperlink" Target="#'Vers&#245;es'!A10" TargetMode="External" Id="rId861"/><Relationship Type="http://schemas.openxmlformats.org/officeDocument/2006/relationships/hyperlink" Target="#'Sprints'!A41" TargetMode="External" Id="rId862"/><Relationship Type="http://schemas.openxmlformats.org/officeDocument/2006/relationships/hyperlink" Target="#'Vers&#245;es'!A10" TargetMode="External" Id="rId863"/><Relationship Type="http://schemas.openxmlformats.org/officeDocument/2006/relationships/hyperlink" Target="#'Sprints'!A41" TargetMode="External" Id="rId864"/><Relationship Type="http://schemas.openxmlformats.org/officeDocument/2006/relationships/hyperlink" Target="#'Vers&#245;es'!A10" TargetMode="External" Id="rId865"/><Relationship Type="http://schemas.openxmlformats.org/officeDocument/2006/relationships/hyperlink" Target="#'Sprints'!A41" TargetMode="External" Id="rId866"/><Relationship Type="http://schemas.openxmlformats.org/officeDocument/2006/relationships/hyperlink" Target="#'Vers&#245;es'!A10" TargetMode="External" Id="rId867"/><Relationship Type="http://schemas.openxmlformats.org/officeDocument/2006/relationships/hyperlink" Target="#'Sprints'!A41" TargetMode="External" Id="rId868"/><Relationship Type="http://schemas.openxmlformats.org/officeDocument/2006/relationships/hyperlink" Target="#'Vers&#245;es'!A10" TargetMode="External" Id="rId869"/><Relationship Type="http://schemas.openxmlformats.org/officeDocument/2006/relationships/hyperlink" Target="#'Sprints'!A41" TargetMode="External" Id="rId870"/><Relationship Type="http://schemas.openxmlformats.org/officeDocument/2006/relationships/hyperlink" Target="#'Vers&#245;es'!A10" TargetMode="External" Id="rId871"/><Relationship Type="http://schemas.openxmlformats.org/officeDocument/2006/relationships/hyperlink" Target="#'Sprints'!A41" TargetMode="External" Id="rId872"/><Relationship Type="http://schemas.openxmlformats.org/officeDocument/2006/relationships/hyperlink" Target="#'Vers&#245;es'!A10" TargetMode="External" Id="rId873"/><Relationship Type="http://schemas.openxmlformats.org/officeDocument/2006/relationships/hyperlink" Target="#'Sprints'!A41" TargetMode="External" Id="rId874"/><Relationship Type="http://schemas.openxmlformats.org/officeDocument/2006/relationships/hyperlink" Target="#'Vers&#245;es'!A10" TargetMode="External" Id="rId875"/><Relationship Type="http://schemas.openxmlformats.org/officeDocument/2006/relationships/hyperlink" Target="#'Sprints'!A41" TargetMode="External" Id="rId876"/><Relationship Type="http://schemas.openxmlformats.org/officeDocument/2006/relationships/hyperlink" Target="#'Vers&#245;es'!A10" TargetMode="External" Id="rId877"/><Relationship Type="http://schemas.openxmlformats.org/officeDocument/2006/relationships/hyperlink" Target="#'Sprints'!A41" TargetMode="External" Id="rId878"/><Relationship Type="http://schemas.openxmlformats.org/officeDocument/2006/relationships/hyperlink" Target="#'Vers&#245;es'!A10" TargetMode="External" Id="rId879"/><Relationship Type="http://schemas.openxmlformats.org/officeDocument/2006/relationships/hyperlink" Target="#'Sprints'!A41" TargetMode="External" Id="rId880"/><Relationship Type="http://schemas.openxmlformats.org/officeDocument/2006/relationships/hyperlink" Target="#'Vers&#245;es'!A10" TargetMode="External" Id="rId881"/><Relationship Type="http://schemas.openxmlformats.org/officeDocument/2006/relationships/hyperlink" Target="#'Sprints'!A42" TargetMode="External" Id="rId882"/><Relationship Type="http://schemas.openxmlformats.org/officeDocument/2006/relationships/hyperlink" Target="#'Vers&#245;es'!A10" TargetMode="External" Id="rId883"/><Relationship Type="http://schemas.openxmlformats.org/officeDocument/2006/relationships/hyperlink" Target="#'Sprints'!A42" TargetMode="External" Id="rId884"/><Relationship Type="http://schemas.openxmlformats.org/officeDocument/2006/relationships/hyperlink" Target="#'Vers&#245;es'!A10" TargetMode="External" Id="rId885"/><Relationship Type="http://schemas.openxmlformats.org/officeDocument/2006/relationships/hyperlink" Target="#'Sprints'!A42" TargetMode="External" Id="rId886"/><Relationship Type="http://schemas.openxmlformats.org/officeDocument/2006/relationships/hyperlink" Target="#'Vers&#245;es'!A10" TargetMode="External" Id="rId887"/><Relationship Type="http://schemas.openxmlformats.org/officeDocument/2006/relationships/hyperlink" Target="#'Sprints'!A42" TargetMode="External" Id="rId888"/><Relationship Type="http://schemas.openxmlformats.org/officeDocument/2006/relationships/hyperlink" Target="#'Vers&#245;es'!A10" TargetMode="External" Id="rId889"/><Relationship Type="http://schemas.openxmlformats.org/officeDocument/2006/relationships/hyperlink" Target="#'Sprints'!A42" TargetMode="External" Id="rId890"/><Relationship Type="http://schemas.openxmlformats.org/officeDocument/2006/relationships/hyperlink" Target="#'Vers&#245;es'!A10" TargetMode="External" Id="rId891"/><Relationship Type="http://schemas.openxmlformats.org/officeDocument/2006/relationships/hyperlink" Target="#'Sprints'!A42" TargetMode="External" Id="rId892"/><Relationship Type="http://schemas.openxmlformats.org/officeDocument/2006/relationships/hyperlink" Target="#'Vers&#245;es'!A10" TargetMode="External" Id="rId893"/><Relationship Type="http://schemas.openxmlformats.org/officeDocument/2006/relationships/hyperlink" Target="#'Sprints'!A42" TargetMode="External" Id="rId894"/><Relationship Type="http://schemas.openxmlformats.org/officeDocument/2006/relationships/hyperlink" Target="#'Vers&#245;es'!A10" TargetMode="External" Id="rId895"/><Relationship Type="http://schemas.openxmlformats.org/officeDocument/2006/relationships/hyperlink" Target="#'Sprints'!A42" TargetMode="External" Id="rId896"/><Relationship Type="http://schemas.openxmlformats.org/officeDocument/2006/relationships/hyperlink" Target="#'Vers&#245;es'!A10" TargetMode="External" Id="rId897"/><Relationship Type="http://schemas.openxmlformats.org/officeDocument/2006/relationships/hyperlink" Target="#'Sprints'!A42" TargetMode="External" Id="rId898"/><Relationship Type="http://schemas.openxmlformats.org/officeDocument/2006/relationships/hyperlink" Target="#'Vers&#245;es'!A10" TargetMode="External" Id="rId899"/><Relationship Type="http://schemas.openxmlformats.org/officeDocument/2006/relationships/hyperlink" Target="#'Sprints'!A42" TargetMode="External" Id="rId900"/><Relationship Type="http://schemas.openxmlformats.org/officeDocument/2006/relationships/hyperlink" Target="#'Vers&#245;es'!A10" TargetMode="External" Id="rId901"/><Relationship Type="http://schemas.openxmlformats.org/officeDocument/2006/relationships/hyperlink" Target="#'Sprints'!A42" TargetMode="External" Id="rId902"/><Relationship Type="http://schemas.openxmlformats.org/officeDocument/2006/relationships/hyperlink" Target="#'Vers&#245;es'!A11" TargetMode="External" Id="rId903"/><Relationship Type="http://schemas.openxmlformats.org/officeDocument/2006/relationships/hyperlink" Target="#'Sprints'!A43" TargetMode="External" Id="rId904"/><Relationship Type="http://schemas.openxmlformats.org/officeDocument/2006/relationships/hyperlink" Target="#'Vers&#245;es'!A11" TargetMode="External" Id="rId905"/><Relationship Type="http://schemas.openxmlformats.org/officeDocument/2006/relationships/hyperlink" Target="#'Sprints'!A43" TargetMode="External" Id="rId906"/><Relationship Type="http://schemas.openxmlformats.org/officeDocument/2006/relationships/hyperlink" Target="#'Vers&#245;es'!A11" TargetMode="External" Id="rId907"/><Relationship Type="http://schemas.openxmlformats.org/officeDocument/2006/relationships/hyperlink" Target="#'Sprints'!A43" TargetMode="External" Id="rId908"/><Relationship Type="http://schemas.openxmlformats.org/officeDocument/2006/relationships/hyperlink" Target="#'Vers&#245;es'!A11" TargetMode="External" Id="rId909"/><Relationship Type="http://schemas.openxmlformats.org/officeDocument/2006/relationships/hyperlink" Target="#'Sprints'!A43" TargetMode="External" Id="rId910"/><Relationship Type="http://schemas.openxmlformats.org/officeDocument/2006/relationships/hyperlink" Target="#'Vers&#245;es'!A11" TargetMode="External" Id="rId911"/><Relationship Type="http://schemas.openxmlformats.org/officeDocument/2006/relationships/hyperlink" Target="#'Sprints'!A43" TargetMode="External" Id="rId912"/><Relationship Type="http://schemas.openxmlformats.org/officeDocument/2006/relationships/hyperlink" Target="#'Vers&#245;es'!A11" TargetMode="External" Id="rId913"/><Relationship Type="http://schemas.openxmlformats.org/officeDocument/2006/relationships/hyperlink" Target="#'Sprints'!A43" TargetMode="External" Id="rId914"/><Relationship Type="http://schemas.openxmlformats.org/officeDocument/2006/relationships/hyperlink" Target="#'Vers&#245;es'!A11" TargetMode="External" Id="rId915"/><Relationship Type="http://schemas.openxmlformats.org/officeDocument/2006/relationships/hyperlink" Target="#'Sprints'!A43" TargetMode="External" Id="rId916"/><Relationship Type="http://schemas.openxmlformats.org/officeDocument/2006/relationships/hyperlink" Target="#'Vers&#245;es'!A11" TargetMode="External" Id="rId917"/><Relationship Type="http://schemas.openxmlformats.org/officeDocument/2006/relationships/hyperlink" Target="#'Sprints'!A43" TargetMode="External" Id="rId918"/><Relationship Type="http://schemas.openxmlformats.org/officeDocument/2006/relationships/hyperlink" Target="#'Vers&#245;es'!A11" TargetMode="External" Id="rId919"/><Relationship Type="http://schemas.openxmlformats.org/officeDocument/2006/relationships/hyperlink" Target="#'Sprints'!A43" TargetMode="External" Id="rId920"/><Relationship Type="http://schemas.openxmlformats.org/officeDocument/2006/relationships/hyperlink" Target="#'Vers&#245;es'!A11" TargetMode="External" Id="rId921"/><Relationship Type="http://schemas.openxmlformats.org/officeDocument/2006/relationships/hyperlink" Target="#'Sprints'!A43" TargetMode="External" Id="rId922"/><Relationship Type="http://schemas.openxmlformats.org/officeDocument/2006/relationships/hyperlink" Target="#'Vers&#245;es'!A11" TargetMode="External" Id="rId923"/><Relationship Type="http://schemas.openxmlformats.org/officeDocument/2006/relationships/hyperlink" Target="#'Sprints'!A43" TargetMode="External" Id="rId924"/><Relationship Type="http://schemas.openxmlformats.org/officeDocument/2006/relationships/hyperlink" Target="#'Vers&#245;es'!A11" TargetMode="External" Id="rId925"/><Relationship Type="http://schemas.openxmlformats.org/officeDocument/2006/relationships/hyperlink" Target="#'Sprints'!A44" TargetMode="External" Id="rId926"/><Relationship Type="http://schemas.openxmlformats.org/officeDocument/2006/relationships/hyperlink" Target="#'Vers&#245;es'!A11" TargetMode="External" Id="rId927"/><Relationship Type="http://schemas.openxmlformats.org/officeDocument/2006/relationships/hyperlink" Target="#'Sprints'!A44" TargetMode="External" Id="rId928"/><Relationship Type="http://schemas.openxmlformats.org/officeDocument/2006/relationships/hyperlink" Target="#'Vers&#245;es'!A11" TargetMode="External" Id="rId929"/><Relationship Type="http://schemas.openxmlformats.org/officeDocument/2006/relationships/hyperlink" Target="#'Sprints'!A44" TargetMode="External" Id="rId930"/><Relationship Type="http://schemas.openxmlformats.org/officeDocument/2006/relationships/hyperlink" Target="#'Vers&#245;es'!A11" TargetMode="External" Id="rId931"/><Relationship Type="http://schemas.openxmlformats.org/officeDocument/2006/relationships/hyperlink" Target="#'Sprints'!A44" TargetMode="External" Id="rId932"/><Relationship Type="http://schemas.openxmlformats.org/officeDocument/2006/relationships/hyperlink" Target="#'Vers&#245;es'!A11" TargetMode="External" Id="rId933"/><Relationship Type="http://schemas.openxmlformats.org/officeDocument/2006/relationships/hyperlink" Target="#'Sprints'!A44" TargetMode="External" Id="rId934"/><Relationship Type="http://schemas.openxmlformats.org/officeDocument/2006/relationships/hyperlink" Target="#'Vers&#245;es'!A11" TargetMode="External" Id="rId935"/><Relationship Type="http://schemas.openxmlformats.org/officeDocument/2006/relationships/hyperlink" Target="#'Sprints'!A44" TargetMode="External" Id="rId936"/><Relationship Type="http://schemas.openxmlformats.org/officeDocument/2006/relationships/hyperlink" Target="#'Vers&#245;es'!A11" TargetMode="External" Id="rId937"/><Relationship Type="http://schemas.openxmlformats.org/officeDocument/2006/relationships/hyperlink" Target="#'Sprints'!A44" TargetMode="External" Id="rId938"/><Relationship Type="http://schemas.openxmlformats.org/officeDocument/2006/relationships/hyperlink" Target="#'Vers&#245;es'!A11" TargetMode="External" Id="rId939"/><Relationship Type="http://schemas.openxmlformats.org/officeDocument/2006/relationships/hyperlink" Target="#'Sprints'!A44" TargetMode="External" Id="rId940"/><Relationship Type="http://schemas.openxmlformats.org/officeDocument/2006/relationships/hyperlink" Target="#'Vers&#245;es'!A11" TargetMode="External" Id="rId941"/><Relationship Type="http://schemas.openxmlformats.org/officeDocument/2006/relationships/hyperlink" Target="#'Sprints'!A44" TargetMode="External" Id="rId942"/><Relationship Type="http://schemas.openxmlformats.org/officeDocument/2006/relationships/hyperlink" Target="#'Vers&#245;es'!A11" TargetMode="External" Id="rId943"/><Relationship Type="http://schemas.openxmlformats.org/officeDocument/2006/relationships/hyperlink" Target="#'Sprints'!A44" TargetMode="External" Id="rId944"/><Relationship Type="http://schemas.openxmlformats.org/officeDocument/2006/relationships/hyperlink" Target="#'Vers&#245;es'!A11" TargetMode="External" Id="rId945"/><Relationship Type="http://schemas.openxmlformats.org/officeDocument/2006/relationships/hyperlink" Target="#'Sprints'!A44" TargetMode="External" Id="rId946"/><Relationship Type="http://schemas.openxmlformats.org/officeDocument/2006/relationships/hyperlink" Target="#'Vers&#245;es'!A11" TargetMode="External" Id="rId947"/><Relationship Type="http://schemas.openxmlformats.org/officeDocument/2006/relationships/hyperlink" Target="#'Sprints'!A45" TargetMode="External" Id="rId948"/><Relationship Type="http://schemas.openxmlformats.org/officeDocument/2006/relationships/hyperlink" Target="#'Vers&#245;es'!A11" TargetMode="External" Id="rId949"/><Relationship Type="http://schemas.openxmlformats.org/officeDocument/2006/relationships/hyperlink" Target="#'Sprints'!A45" TargetMode="External" Id="rId950"/><Relationship Type="http://schemas.openxmlformats.org/officeDocument/2006/relationships/hyperlink" Target="#'Vers&#245;es'!A11" TargetMode="External" Id="rId951"/><Relationship Type="http://schemas.openxmlformats.org/officeDocument/2006/relationships/hyperlink" Target="#'Sprints'!A45" TargetMode="External" Id="rId952"/><Relationship Type="http://schemas.openxmlformats.org/officeDocument/2006/relationships/hyperlink" Target="#'Vers&#245;es'!A11" TargetMode="External" Id="rId953"/><Relationship Type="http://schemas.openxmlformats.org/officeDocument/2006/relationships/hyperlink" Target="#'Sprints'!A45" TargetMode="External" Id="rId954"/><Relationship Type="http://schemas.openxmlformats.org/officeDocument/2006/relationships/hyperlink" Target="#'Vers&#245;es'!A11" TargetMode="External" Id="rId955"/><Relationship Type="http://schemas.openxmlformats.org/officeDocument/2006/relationships/hyperlink" Target="#'Sprints'!A45" TargetMode="External" Id="rId956"/><Relationship Type="http://schemas.openxmlformats.org/officeDocument/2006/relationships/hyperlink" Target="#'Vers&#245;es'!A11" TargetMode="External" Id="rId957"/><Relationship Type="http://schemas.openxmlformats.org/officeDocument/2006/relationships/hyperlink" Target="#'Sprints'!A45" TargetMode="External" Id="rId958"/><Relationship Type="http://schemas.openxmlformats.org/officeDocument/2006/relationships/hyperlink" Target="#'Vers&#245;es'!A11" TargetMode="External" Id="rId959"/><Relationship Type="http://schemas.openxmlformats.org/officeDocument/2006/relationships/hyperlink" Target="#'Sprints'!A45" TargetMode="External" Id="rId960"/><Relationship Type="http://schemas.openxmlformats.org/officeDocument/2006/relationships/hyperlink" Target="#'Vers&#245;es'!A11" TargetMode="External" Id="rId961"/><Relationship Type="http://schemas.openxmlformats.org/officeDocument/2006/relationships/hyperlink" Target="#'Sprints'!A45" TargetMode="External" Id="rId962"/><Relationship Type="http://schemas.openxmlformats.org/officeDocument/2006/relationships/hyperlink" Target="#'Vers&#245;es'!A11" TargetMode="External" Id="rId963"/><Relationship Type="http://schemas.openxmlformats.org/officeDocument/2006/relationships/hyperlink" Target="#'Sprints'!A45" TargetMode="External" Id="rId964"/><Relationship Type="http://schemas.openxmlformats.org/officeDocument/2006/relationships/hyperlink" Target="#'Vers&#245;es'!A11" TargetMode="External" Id="rId965"/><Relationship Type="http://schemas.openxmlformats.org/officeDocument/2006/relationships/hyperlink" Target="#'Sprints'!A45" TargetMode="External" Id="rId966"/><Relationship Type="http://schemas.openxmlformats.org/officeDocument/2006/relationships/hyperlink" Target="#'Vers&#245;es'!A11" TargetMode="External" Id="rId967"/><Relationship Type="http://schemas.openxmlformats.org/officeDocument/2006/relationships/hyperlink" Target="#'Sprints'!A45" TargetMode="External" Id="rId968"/><Relationship Type="http://schemas.openxmlformats.org/officeDocument/2006/relationships/hyperlink" Target="#'Vers&#245;es'!A11" TargetMode="External" Id="rId969"/><Relationship Type="http://schemas.openxmlformats.org/officeDocument/2006/relationships/hyperlink" Target="#'Sprints'!A46" TargetMode="External" Id="rId970"/><Relationship Type="http://schemas.openxmlformats.org/officeDocument/2006/relationships/hyperlink" Target="#'Vers&#245;es'!A11" TargetMode="External" Id="rId971"/><Relationship Type="http://schemas.openxmlformats.org/officeDocument/2006/relationships/hyperlink" Target="#'Sprints'!A46" TargetMode="External" Id="rId972"/><Relationship Type="http://schemas.openxmlformats.org/officeDocument/2006/relationships/hyperlink" Target="#'Vers&#245;es'!A11" TargetMode="External" Id="rId973"/><Relationship Type="http://schemas.openxmlformats.org/officeDocument/2006/relationships/hyperlink" Target="#'Sprints'!A46" TargetMode="External" Id="rId974"/><Relationship Type="http://schemas.openxmlformats.org/officeDocument/2006/relationships/hyperlink" Target="#'Vers&#245;es'!A11" TargetMode="External" Id="rId975"/><Relationship Type="http://schemas.openxmlformats.org/officeDocument/2006/relationships/hyperlink" Target="#'Sprints'!A46" TargetMode="External" Id="rId976"/><Relationship Type="http://schemas.openxmlformats.org/officeDocument/2006/relationships/hyperlink" Target="#'Vers&#245;es'!A11" TargetMode="External" Id="rId977"/><Relationship Type="http://schemas.openxmlformats.org/officeDocument/2006/relationships/hyperlink" Target="#'Sprints'!A46" TargetMode="External" Id="rId978"/><Relationship Type="http://schemas.openxmlformats.org/officeDocument/2006/relationships/hyperlink" Target="#'Vers&#245;es'!A11" TargetMode="External" Id="rId979"/><Relationship Type="http://schemas.openxmlformats.org/officeDocument/2006/relationships/hyperlink" Target="#'Sprints'!A46" TargetMode="External" Id="rId980"/><Relationship Type="http://schemas.openxmlformats.org/officeDocument/2006/relationships/hyperlink" Target="#'Vers&#245;es'!A11" TargetMode="External" Id="rId981"/><Relationship Type="http://schemas.openxmlformats.org/officeDocument/2006/relationships/hyperlink" Target="#'Sprints'!A46" TargetMode="External" Id="rId982"/><Relationship Type="http://schemas.openxmlformats.org/officeDocument/2006/relationships/hyperlink" Target="#'Vers&#245;es'!A11" TargetMode="External" Id="rId983"/><Relationship Type="http://schemas.openxmlformats.org/officeDocument/2006/relationships/hyperlink" Target="#'Sprints'!A46" TargetMode="External" Id="rId984"/><Relationship Type="http://schemas.openxmlformats.org/officeDocument/2006/relationships/hyperlink" Target="#'Vers&#245;es'!A11" TargetMode="External" Id="rId985"/><Relationship Type="http://schemas.openxmlformats.org/officeDocument/2006/relationships/hyperlink" Target="#'Sprints'!A46" TargetMode="External" Id="rId986"/><Relationship Type="http://schemas.openxmlformats.org/officeDocument/2006/relationships/hyperlink" Target="#'Vers&#245;es'!A11" TargetMode="External" Id="rId987"/><Relationship Type="http://schemas.openxmlformats.org/officeDocument/2006/relationships/hyperlink" Target="#'Sprints'!A46" TargetMode="External" Id="rId988"/><Relationship Type="http://schemas.openxmlformats.org/officeDocument/2006/relationships/hyperlink" Target="#'Vers&#245;es'!A11" TargetMode="External" Id="rId989"/><Relationship Type="http://schemas.openxmlformats.org/officeDocument/2006/relationships/hyperlink" Target="#'Sprints'!A46" TargetMode="External" Id="rId990"/><Relationship Type="http://schemas.openxmlformats.org/officeDocument/2006/relationships/hyperlink" Target="#'Vers&#245;es'!A11" TargetMode="External" Id="rId991"/><Relationship Type="http://schemas.openxmlformats.org/officeDocument/2006/relationships/hyperlink" Target="#'Sprints'!A47" TargetMode="External" Id="rId992"/><Relationship Type="http://schemas.openxmlformats.org/officeDocument/2006/relationships/hyperlink" Target="#'Vers&#245;es'!A11" TargetMode="External" Id="rId993"/><Relationship Type="http://schemas.openxmlformats.org/officeDocument/2006/relationships/hyperlink" Target="#'Sprints'!A47" TargetMode="External" Id="rId994"/><Relationship Type="http://schemas.openxmlformats.org/officeDocument/2006/relationships/hyperlink" Target="#'Vers&#245;es'!A11" TargetMode="External" Id="rId995"/><Relationship Type="http://schemas.openxmlformats.org/officeDocument/2006/relationships/hyperlink" Target="#'Sprints'!A47" TargetMode="External" Id="rId996"/><Relationship Type="http://schemas.openxmlformats.org/officeDocument/2006/relationships/hyperlink" Target="#'Vers&#245;es'!A11" TargetMode="External" Id="rId997"/><Relationship Type="http://schemas.openxmlformats.org/officeDocument/2006/relationships/hyperlink" Target="#'Sprints'!A47" TargetMode="External" Id="rId998"/><Relationship Type="http://schemas.openxmlformats.org/officeDocument/2006/relationships/hyperlink" Target="#'Vers&#245;es'!A11" TargetMode="External" Id="rId999"/><Relationship Type="http://schemas.openxmlformats.org/officeDocument/2006/relationships/hyperlink" Target="#'Sprints'!A47" TargetMode="External" Id="rId1000"/><Relationship Type="http://schemas.openxmlformats.org/officeDocument/2006/relationships/hyperlink" Target="#'Vers&#245;es'!A11" TargetMode="External" Id="rId1001"/><Relationship Type="http://schemas.openxmlformats.org/officeDocument/2006/relationships/hyperlink" Target="#'Sprints'!A47" TargetMode="External" Id="rId1002"/><Relationship Type="http://schemas.openxmlformats.org/officeDocument/2006/relationships/hyperlink" Target="#'Vers&#245;es'!A11" TargetMode="External" Id="rId1003"/><Relationship Type="http://schemas.openxmlformats.org/officeDocument/2006/relationships/hyperlink" Target="#'Sprints'!A47" TargetMode="External" Id="rId1004"/><Relationship Type="http://schemas.openxmlformats.org/officeDocument/2006/relationships/hyperlink" Target="#'Vers&#245;es'!A11" TargetMode="External" Id="rId1005"/><Relationship Type="http://schemas.openxmlformats.org/officeDocument/2006/relationships/hyperlink" Target="#'Sprints'!A47" TargetMode="External" Id="rId1006"/><Relationship Type="http://schemas.openxmlformats.org/officeDocument/2006/relationships/hyperlink" Target="#'Vers&#245;es'!A11" TargetMode="External" Id="rId1007"/><Relationship Type="http://schemas.openxmlformats.org/officeDocument/2006/relationships/hyperlink" Target="#'Sprints'!A47" TargetMode="External" Id="rId1008"/><Relationship Type="http://schemas.openxmlformats.org/officeDocument/2006/relationships/hyperlink" Target="#'Vers&#245;es'!A11" TargetMode="External" Id="rId1009"/><Relationship Type="http://schemas.openxmlformats.org/officeDocument/2006/relationships/hyperlink" Target="#'Sprints'!A47" TargetMode="External" Id="rId1010"/><Relationship Type="http://schemas.openxmlformats.org/officeDocument/2006/relationships/hyperlink" Target="#'Vers&#245;es'!A11" TargetMode="External" Id="rId1011"/><Relationship Type="http://schemas.openxmlformats.org/officeDocument/2006/relationships/hyperlink" Target="#'Sprints'!A47" TargetMode="External" Id="rId1012"/><Relationship Type="http://schemas.openxmlformats.org/officeDocument/2006/relationships/hyperlink" Target="#'Vers&#245;es'!A12" TargetMode="External" Id="rId1013"/><Relationship Type="http://schemas.openxmlformats.org/officeDocument/2006/relationships/hyperlink" Target="#'Sprints'!A48" TargetMode="External" Id="rId1014"/><Relationship Type="http://schemas.openxmlformats.org/officeDocument/2006/relationships/hyperlink" Target="#'Vers&#245;es'!A12" TargetMode="External" Id="rId1015"/><Relationship Type="http://schemas.openxmlformats.org/officeDocument/2006/relationships/hyperlink" Target="#'Sprints'!A48" TargetMode="External" Id="rId1016"/><Relationship Type="http://schemas.openxmlformats.org/officeDocument/2006/relationships/hyperlink" Target="#'Vers&#245;es'!A12" TargetMode="External" Id="rId1017"/><Relationship Type="http://schemas.openxmlformats.org/officeDocument/2006/relationships/hyperlink" Target="#'Sprints'!A48" TargetMode="External" Id="rId1018"/><Relationship Type="http://schemas.openxmlformats.org/officeDocument/2006/relationships/hyperlink" Target="#'Vers&#245;es'!A12" TargetMode="External" Id="rId1019"/><Relationship Type="http://schemas.openxmlformats.org/officeDocument/2006/relationships/hyperlink" Target="#'Sprints'!A48" TargetMode="External" Id="rId1020"/><Relationship Type="http://schemas.openxmlformats.org/officeDocument/2006/relationships/hyperlink" Target="#'Vers&#245;es'!A12" TargetMode="External" Id="rId1021"/><Relationship Type="http://schemas.openxmlformats.org/officeDocument/2006/relationships/hyperlink" Target="#'Sprints'!A48" TargetMode="External" Id="rId1022"/><Relationship Type="http://schemas.openxmlformats.org/officeDocument/2006/relationships/hyperlink" Target="#'Vers&#245;es'!A12" TargetMode="External" Id="rId1023"/><Relationship Type="http://schemas.openxmlformats.org/officeDocument/2006/relationships/hyperlink" Target="#'Sprints'!A48" TargetMode="External" Id="rId1024"/><Relationship Type="http://schemas.openxmlformats.org/officeDocument/2006/relationships/hyperlink" Target="#'Vers&#245;es'!A12" TargetMode="External" Id="rId1025"/><Relationship Type="http://schemas.openxmlformats.org/officeDocument/2006/relationships/hyperlink" Target="#'Sprints'!A48" TargetMode="External" Id="rId1026"/><Relationship Type="http://schemas.openxmlformats.org/officeDocument/2006/relationships/hyperlink" Target="#'Vers&#245;es'!A12" TargetMode="External" Id="rId1027"/><Relationship Type="http://schemas.openxmlformats.org/officeDocument/2006/relationships/hyperlink" Target="#'Sprints'!A48" TargetMode="External" Id="rId1028"/><Relationship Type="http://schemas.openxmlformats.org/officeDocument/2006/relationships/hyperlink" Target="#'Vers&#245;es'!A12" TargetMode="External" Id="rId1029"/><Relationship Type="http://schemas.openxmlformats.org/officeDocument/2006/relationships/hyperlink" Target="#'Sprints'!A48" TargetMode="External" Id="rId1030"/><Relationship Type="http://schemas.openxmlformats.org/officeDocument/2006/relationships/hyperlink" Target="#'Vers&#245;es'!A12" TargetMode="External" Id="rId1031"/><Relationship Type="http://schemas.openxmlformats.org/officeDocument/2006/relationships/hyperlink" Target="#'Sprints'!A48" TargetMode="External" Id="rId1032"/><Relationship Type="http://schemas.openxmlformats.org/officeDocument/2006/relationships/hyperlink" Target="#'Vers&#245;es'!A12" TargetMode="External" Id="rId1033"/><Relationship Type="http://schemas.openxmlformats.org/officeDocument/2006/relationships/hyperlink" Target="#'Sprints'!A48" TargetMode="External" Id="rId1034"/><Relationship Type="http://schemas.openxmlformats.org/officeDocument/2006/relationships/hyperlink" Target="#'Vers&#245;es'!A12" TargetMode="External" Id="rId1035"/><Relationship Type="http://schemas.openxmlformats.org/officeDocument/2006/relationships/hyperlink" Target="#'Sprints'!A49" TargetMode="External" Id="rId1036"/><Relationship Type="http://schemas.openxmlformats.org/officeDocument/2006/relationships/hyperlink" Target="#'Vers&#245;es'!A12" TargetMode="External" Id="rId1037"/><Relationship Type="http://schemas.openxmlformats.org/officeDocument/2006/relationships/hyperlink" Target="#'Sprints'!A49" TargetMode="External" Id="rId1038"/><Relationship Type="http://schemas.openxmlformats.org/officeDocument/2006/relationships/hyperlink" Target="#'Vers&#245;es'!A12" TargetMode="External" Id="rId1039"/><Relationship Type="http://schemas.openxmlformats.org/officeDocument/2006/relationships/hyperlink" Target="#'Sprints'!A49" TargetMode="External" Id="rId1040"/><Relationship Type="http://schemas.openxmlformats.org/officeDocument/2006/relationships/hyperlink" Target="#'Vers&#245;es'!A12" TargetMode="External" Id="rId1041"/><Relationship Type="http://schemas.openxmlformats.org/officeDocument/2006/relationships/hyperlink" Target="#'Sprints'!A49" TargetMode="External" Id="rId1042"/><Relationship Type="http://schemas.openxmlformats.org/officeDocument/2006/relationships/hyperlink" Target="#'Vers&#245;es'!A12" TargetMode="External" Id="rId1043"/><Relationship Type="http://schemas.openxmlformats.org/officeDocument/2006/relationships/hyperlink" Target="#'Sprints'!A49" TargetMode="External" Id="rId1044"/><Relationship Type="http://schemas.openxmlformats.org/officeDocument/2006/relationships/hyperlink" Target="#'Vers&#245;es'!A12" TargetMode="External" Id="rId1045"/><Relationship Type="http://schemas.openxmlformats.org/officeDocument/2006/relationships/hyperlink" Target="#'Sprints'!A49" TargetMode="External" Id="rId1046"/><Relationship Type="http://schemas.openxmlformats.org/officeDocument/2006/relationships/hyperlink" Target="#'Vers&#245;es'!A12" TargetMode="External" Id="rId1047"/><Relationship Type="http://schemas.openxmlformats.org/officeDocument/2006/relationships/hyperlink" Target="#'Sprints'!A49" TargetMode="External" Id="rId1048"/><Relationship Type="http://schemas.openxmlformats.org/officeDocument/2006/relationships/hyperlink" Target="#'Vers&#245;es'!A12" TargetMode="External" Id="rId1049"/><Relationship Type="http://schemas.openxmlformats.org/officeDocument/2006/relationships/hyperlink" Target="#'Sprints'!A49" TargetMode="External" Id="rId1050"/><Relationship Type="http://schemas.openxmlformats.org/officeDocument/2006/relationships/hyperlink" Target="#'Vers&#245;es'!A12" TargetMode="External" Id="rId1051"/><Relationship Type="http://schemas.openxmlformats.org/officeDocument/2006/relationships/hyperlink" Target="#'Sprints'!A49" TargetMode="External" Id="rId1052"/><Relationship Type="http://schemas.openxmlformats.org/officeDocument/2006/relationships/hyperlink" Target="#'Vers&#245;es'!A12" TargetMode="External" Id="rId1053"/><Relationship Type="http://schemas.openxmlformats.org/officeDocument/2006/relationships/hyperlink" Target="#'Sprints'!A49" TargetMode="External" Id="rId1054"/><Relationship Type="http://schemas.openxmlformats.org/officeDocument/2006/relationships/hyperlink" Target="#'Vers&#245;es'!A12" TargetMode="External" Id="rId1055"/><Relationship Type="http://schemas.openxmlformats.org/officeDocument/2006/relationships/hyperlink" Target="#'Sprints'!A49" TargetMode="External" Id="rId1056"/><Relationship Type="http://schemas.openxmlformats.org/officeDocument/2006/relationships/hyperlink" Target="#'Vers&#245;es'!A12" TargetMode="External" Id="rId1057"/><Relationship Type="http://schemas.openxmlformats.org/officeDocument/2006/relationships/hyperlink" Target="#'Sprints'!A50" TargetMode="External" Id="rId1058"/><Relationship Type="http://schemas.openxmlformats.org/officeDocument/2006/relationships/hyperlink" Target="#'Vers&#245;es'!A12" TargetMode="External" Id="rId1059"/><Relationship Type="http://schemas.openxmlformats.org/officeDocument/2006/relationships/hyperlink" Target="#'Sprints'!A50" TargetMode="External" Id="rId1060"/><Relationship Type="http://schemas.openxmlformats.org/officeDocument/2006/relationships/hyperlink" Target="#'Vers&#245;es'!A12" TargetMode="External" Id="rId1061"/><Relationship Type="http://schemas.openxmlformats.org/officeDocument/2006/relationships/hyperlink" Target="#'Sprints'!A50" TargetMode="External" Id="rId1062"/><Relationship Type="http://schemas.openxmlformats.org/officeDocument/2006/relationships/hyperlink" Target="#'Vers&#245;es'!A12" TargetMode="External" Id="rId1063"/><Relationship Type="http://schemas.openxmlformats.org/officeDocument/2006/relationships/hyperlink" Target="#'Sprints'!A50" TargetMode="External" Id="rId1064"/><Relationship Type="http://schemas.openxmlformats.org/officeDocument/2006/relationships/hyperlink" Target="#'Vers&#245;es'!A12" TargetMode="External" Id="rId1065"/><Relationship Type="http://schemas.openxmlformats.org/officeDocument/2006/relationships/hyperlink" Target="#'Sprints'!A50" TargetMode="External" Id="rId1066"/><Relationship Type="http://schemas.openxmlformats.org/officeDocument/2006/relationships/hyperlink" Target="#'Vers&#245;es'!A12" TargetMode="External" Id="rId1067"/><Relationship Type="http://schemas.openxmlformats.org/officeDocument/2006/relationships/hyperlink" Target="#'Sprints'!A50" TargetMode="External" Id="rId1068"/><Relationship Type="http://schemas.openxmlformats.org/officeDocument/2006/relationships/hyperlink" Target="#'Vers&#245;es'!A12" TargetMode="External" Id="rId1069"/><Relationship Type="http://schemas.openxmlformats.org/officeDocument/2006/relationships/hyperlink" Target="#'Sprints'!A50" TargetMode="External" Id="rId1070"/><Relationship Type="http://schemas.openxmlformats.org/officeDocument/2006/relationships/hyperlink" Target="#'Vers&#245;es'!A12" TargetMode="External" Id="rId1071"/><Relationship Type="http://schemas.openxmlformats.org/officeDocument/2006/relationships/hyperlink" Target="#'Sprints'!A50" TargetMode="External" Id="rId1072"/><Relationship Type="http://schemas.openxmlformats.org/officeDocument/2006/relationships/hyperlink" Target="#'Vers&#245;es'!A12" TargetMode="External" Id="rId1073"/><Relationship Type="http://schemas.openxmlformats.org/officeDocument/2006/relationships/hyperlink" Target="#'Sprints'!A50" TargetMode="External" Id="rId1074"/><Relationship Type="http://schemas.openxmlformats.org/officeDocument/2006/relationships/hyperlink" Target="#'Vers&#245;es'!A12" TargetMode="External" Id="rId1075"/><Relationship Type="http://schemas.openxmlformats.org/officeDocument/2006/relationships/hyperlink" Target="#'Sprints'!A50" TargetMode="External" Id="rId1076"/><Relationship Type="http://schemas.openxmlformats.org/officeDocument/2006/relationships/hyperlink" Target="#'Vers&#245;es'!A12" TargetMode="External" Id="rId1077"/><Relationship Type="http://schemas.openxmlformats.org/officeDocument/2006/relationships/hyperlink" Target="#'Sprints'!A50" TargetMode="External" Id="rId1078"/><Relationship Type="http://schemas.openxmlformats.org/officeDocument/2006/relationships/hyperlink" Target="#'Vers&#245;es'!A12" TargetMode="External" Id="rId1079"/><Relationship Type="http://schemas.openxmlformats.org/officeDocument/2006/relationships/hyperlink" Target="#'Sprints'!A51" TargetMode="External" Id="rId1080"/><Relationship Type="http://schemas.openxmlformats.org/officeDocument/2006/relationships/hyperlink" Target="#'Vers&#245;es'!A12" TargetMode="External" Id="rId1081"/><Relationship Type="http://schemas.openxmlformats.org/officeDocument/2006/relationships/hyperlink" Target="#'Sprints'!A51" TargetMode="External" Id="rId1082"/><Relationship Type="http://schemas.openxmlformats.org/officeDocument/2006/relationships/hyperlink" Target="#'Vers&#245;es'!A12" TargetMode="External" Id="rId1083"/><Relationship Type="http://schemas.openxmlformats.org/officeDocument/2006/relationships/hyperlink" Target="#'Sprints'!A51" TargetMode="External" Id="rId1084"/><Relationship Type="http://schemas.openxmlformats.org/officeDocument/2006/relationships/hyperlink" Target="#'Vers&#245;es'!A12" TargetMode="External" Id="rId1085"/><Relationship Type="http://schemas.openxmlformats.org/officeDocument/2006/relationships/hyperlink" Target="#'Sprints'!A51" TargetMode="External" Id="rId1086"/><Relationship Type="http://schemas.openxmlformats.org/officeDocument/2006/relationships/hyperlink" Target="#'Vers&#245;es'!A12" TargetMode="External" Id="rId1087"/><Relationship Type="http://schemas.openxmlformats.org/officeDocument/2006/relationships/hyperlink" Target="#'Sprints'!A51" TargetMode="External" Id="rId1088"/><Relationship Type="http://schemas.openxmlformats.org/officeDocument/2006/relationships/hyperlink" Target="#'Vers&#245;es'!A12" TargetMode="External" Id="rId1089"/><Relationship Type="http://schemas.openxmlformats.org/officeDocument/2006/relationships/hyperlink" Target="#'Sprints'!A51" TargetMode="External" Id="rId1090"/><Relationship Type="http://schemas.openxmlformats.org/officeDocument/2006/relationships/hyperlink" Target="#'Vers&#245;es'!A12" TargetMode="External" Id="rId1091"/><Relationship Type="http://schemas.openxmlformats.org/officeDocument/2006/relationships/hyperlink" Target="#'Sprints'!A51" TargetMode="External" Id="rId1092"/><Relationship Type="http://schemas.openxmlformats.org/officeDocument/2006/relationships/hyperlink" Target="#'Vers&#245;es'!A12" TargetMode="External" Id="rId1093"/><Relationship Type="http://schemas.openxmlformats.org/officeDocument/2006/relationships/hyperlink" Target="#'Sprints'!A51" TargetMode="External" Id="rId1094"/><Relationship Type="http://schemas.openxmlformats.org/officeDocument/2006/relationships/hyperlink" Target="#'Vers&#245;es'!A12" TargetMode="External" Id="rId1095"/><Relationship Type="http://schemas.openxmlformats.org/officeDocument/2006/relationships/hyperlink" Target="#'Sprints'!A51" TargetMode="External" Id="rId1096"/><Relationship Type="http://schemas.openxmlformats.org/officeDocument/2006/relationships/hyperlink" Target="#'Vers&#245;es'!A12" TargetMode="External" Id="rId1097"/><Relationship Type="http://schemas.openxmlformats.org/officeDocument/2006/relationships/hyperlink" Target="#'Sprints'!A51" TargetMode="External" Id="rId1098"/><Relationship Type="http://schemas.openxmlformats.org/officeDocument/2006/relationships/hyperlink" Target="#'Vers&#245;es'!A12" TargetMode="External" Id="rId1099"/><Relationship Type="http://schemas.openxmlformats.org/officeDocument/2006/relationships/hyperlink" Target="#'Sprints'!A51" TargetMode="External" Id="rId1100"/><Relationship Type="http://schemas.openxmlformats.org/officeDocument/2006/relationships/hyperlink" Target="#'Vers&#245;es'!A12" TargetMode="External" Id="rId1101"/><Relationship Type="http://schemas.openxmlformats.org/officeDocument/2006/relationships/hyperlink" Target="#'Sprints'!A52" TargetMode="External" Id="rId1102"/><Relationship Type="http://schemas.openxmlformats.org/officeDocument/2006/relationships/hyperlink" Target="#'Vers&#245;es'!A12" TargetMode="External" Id="rId1103"/><Relationship Type="http://schemas.openxmlformats.org/officeDocument/2006/relationships/hyperlink" Target="#'Sprints'!A52" TargetMode="External" Id="rId1104"/><Relationship Type="http://schemas.openxmlformats.org/officeDocument/2006/relationships/hyperlink" Target="#'Vers&#245;es'!A12" TargetMode="External" Id="rId1105"/><Relationship Type="http://schemas.openxmlformats.org/officeDocument/2006/relationships/hyperlink" Target="#'Sprints'!A52" TargetMode="External" Id="rId1106"/><Relationship Type="http://schemas.openxmlformats.org/officeDocument/2006/relationships/hyperlink" Target="#'Vers&#245;es'!A12" TargetMode="External" Id="rId1107"/><Relationship Type="http://schemas.openxmlformats.org/officeDocument/2006/relationships/hyperlink" Target="#'Sprints'!A52" TargetMode="External" Id="rId1108"/><Relationship Type="http://schemas.openxmlformats.org/officeDocument/2006/relationships/hyperlink" Target="#'Vers&#245;es'!A12" TargetMode="External" Id="rId1109"/><Relationship Type="http://schemas.openxmlformats.org/officeDocument/2006/relationships/hyperlink" Target="#'Sprints'!A52" TargetMode="External" Id="rId1110"/><Relationship Type="http://schemas.openxmlformats.org/officeDocument/2006/relationships/hyperlink" Target="#'Vers&#245;es'!A12" TargetMode="External" Id="rId1111"/><Relationship Type="http://schemas.openxmlformats.org/officeDocument/2006/relationships/hyperlink" Target="#'Sprints'!A52" TargetMode="External" Id="rId1112"/><Relationship Type="http://schemas.openxmlformats.org/officeDocument/2006/relationships/hyperlink" Target="#'Vers&#245;es'!A12" TargetMode="External" Id="rId1113"/><Relationship Type="http://schemas.openxmlformats.org/officeDocument/2006/relationships/hyperlink" Target="#'Sprints'!A52" TargetMode="External" Id="rId1114"/><Relationship Type="http://schemas.openxmlformats.org/officeDocument/2006/relationships/hyperlink" Target="#'Vers&#245;es'!A12" TargetMode="External" Id="rId1115"/><Relationship Type="http://schemas.openxmlformats.org/officeDocument/2006/relationships/hyperlink" Target="#'Sprints'!A52" TargetMode="External" Id="rId1116"/><Relationship Type="http://schemas.openxmlformats.org/officeDocument/2006/relationships/hyperlink" Target="#'Vers&#245;es'!A12" TargetMode="External" Id="rId1117"/><Relationship Type="http://schemas.openxmlformats.org/officeDocument/2006/relationships/hyperlink" Target="#'Sprints'!A52" TargetMode="External" Id="rId1118"/><Relationship Type="http://schemas.openxmlformats.org/officeDocument/2006/relationships/hyperlink" Target="#'Vers&#245;es'!A12" TargetMode="External" Id="rId1119"/><Relationship Type="http://schemas.openxmlformats.org/officeDocument/2006/relationships/hyperlink" Target="#'Sprints'!A52" TargetMode="External" Id="rId1120"/><Relationship Type="http://schemas.openxmlformats.org/officeDocument/2006/relationships/hyperlink" Target="#'Vers&#245;es'!A12" TargetMode="External" Id="rId1121"/><Relationship Type="http://schemas.openxmlformats.org/officeDocument/2006/relationships/hyperlink" Target="#'Sprints'!A52" TargetMode="External" Id="rId1122"/><Relationship Type="http://schemas.openxmlformats.org/officeDocument/2006/relationships/hyperlink" Target="#'Vers&#245;es'!A12" TargetMode="External" Id="rId1123"/><Relationship Type="http://schemas.openxmlformats.org/officeDocument/2006/relationships/hyperlink" Target="#'Sprints'!A53" TargetMode="External" Id="rId1124"/><Relationship Type="http://schemas.openxmlformats.org/officeDocument/2006/relationships/hyperlink" Target="#'Vers&#245;es'!A12" TargetMode="External" Id="rId1125"/><Relationship Type="http://schemas.openxmlformats.org/officeDocument/2006/relationships/hyperlink" Target="#'Sprints'!A53" TargetMode="External" Id="rId1126"/><Relationship Type="http://schemas.openxmlformats.org/officeDocument/2006/relationships/hyperlink" Target="#'Vers&#245;es'!A12" TargetMode="External" Id="rId1127"/><Relationship Type="http://schemas.openxmlformats.org/officeDocument/2006/relationships/hyperlink" Target="#'Sprints'!A53" TargetMode="External" Id="rId1128"/><Relationship Type="http://schemas.openxmlformats.org/officeDocument/2006/relationships/hyperlink" Target="#'Vers&#245;es'!A12" TargetMode="External" Id="rId1129"/><Relationship Type="http://schemas.openxmlformats.org/officeDocument/2006/relationships/hyperlink" Target="#'Sprints'!A53" TargetMode="External" Id="rId1130"/><Relationship Type="http://schemas.openxmlformats.org/officeDocument/2006/relationships/hyperlink" Target="#'Vers&#245;es'!A12" TargetMode="External" Id="rId1131"/><Relationship Type="http://schemas.openxmlformats.org/officeDocument/2006/relationships/hyperlink" Target="#'Sprints'!A53" TargetMode="External" Id="rId1132"/><Relationship Type="http://schemas.openxmlformats.org/officeDocument/2006/relationships/hyperlink" Target="#'Vers&#245;es'!A12" TargetMode="External" Id="rId1133"/><Relationship Type="http://schemas.openxmlformats.org/officeDocument/2006/relationships/hyperlink" Target="#'Sprints'!A53" TargetMode="External" Id="rId1134"/><Relationship Type="http://schemas.openxmlformats.org/officeDocument/2006/relationships/hyperlink" Target="#'Vers&#245;es'!A12" TargetMode="External" Id="rId1135"/><Relationship Type="http://schemas.openxmlformats.org/officeDocument/2006/relationships/hyperlink" Target="#'Sprints'!A53" TargetMode="External" Id="rId1136"/><Relationship Type="http://schemas.openxmlformats.org/officeDocument/2006/relationships/hyperlink" Target="#'Vers&#245;es'!A12" TargetMode="External" Id="rId1137"/><Relationship Type="http://schemas.openxmlformats.org/officeDocument/2006/relationships/hyperlink" Target="#'Sprints'!A53" TargetMode="External" Id="rId1138"/><Relationship Type="http://schemas.openxmlformats.org/officeDocument/2006/relationships/hyperlink" Target="#'Vers&#245;es'!A12" TargetMode="External" Id="rId1139"/><Relationship Type="http://schemas.openxmlformats.org/officeDocument/2006/relationships/hyperlink" Target="#'Sprints'!A53" TargetMode="External" Id="rId1140"/><Relationship Type="http://schemas.openxmlformats.org/officeDocument/2006/relationships/hyperlink" Target="#'Vers&#245;es'!A12" TargetMode="External" Id="rId1141"/><Relationship Type="http://schemas.openxmlformats.org/officeDocument/2006/relationships/hyperlink" Target="#'Sprints'!A53" TargetMode="External" Id="rId1142"/><Relationship Type="http://schemas.openxmlformats.org/officeDocument/2006/relationships/hyperlink" Target="#'Vers&#245;es'!A12" TargetMode="External" Id="rId1143"/><Relationship Type="http://schemas.openxmlformats.org/officeDocument/2006/relationships/hyperlink" Target="#'Sprints'!A53" TargetMode="External" Id="rId1144"/><Relationship Type="http://schemas.openxmlformats.org/officeDocument/2006/relationships/hyperlink" Target="#'Vers&#245;es'!A12" TargetMode="External" Id="rId1145"/><Relationship Type="http://schemas.openxmlformats.org/officeDocument/2006/relationships/hyperlink" Target="#'Sprints'!A54" TargetMode="External" Id="rId1146"/><Relationship Type="http://schemas.openxmlformats.org/officeDocument/2006/relationships/hyperlink" Target="#'Vers&#245;es'!A12" TargetMode="External" Id="rId1147"/><Relationship Type="http://schemas.openxmlformats.org/officeDocument/2006/relationships/hyperlink" Target="#'Sprints'!A54" TargetMode="External" Id="rId1148"/><Relationship Type="http://schemas.openxmlformats.org/officeDocument/2006/relationships/hyperlink" Target="#'Vers&#245;es'!A12" TargetMode="External" Id="rId1149"/><Relationship Type="http://schemas.openxmlformats.org/officeDocument/2006/relationships/hyperlink" Target="#'Sprints'!A54" TargetMode="External" Id="rId1150"/><Relationship Type="http://schemas.openxmlformats.org/officeDocument/2006/relationships/hyperlink" Target="#'Vers&#245;es'!A12" TargetMode="External" Id="rId1151"/><Relationship Type="http://schemas.openxmlformats.org/officeDocument/2006/relationships/hyperlink" Target="#'Sprints'!A54" TargetMode="External" Id="rId1152"/><Relationship Type="http://schemas.openxmlformats.org/officeDocument/2006/relationships/hyperlink" Target="#'Vers&#245;es'!A12" TargetMode="External" Id="rId1153"/><Relationship Type="http://schemas.openxmlformats.org/officeDocument/2006/relationships/hyperlink" Target="#'Sprints'!A54" TargetMode="External" Id="rId1154"/><Relationship Type="http://schemas.openxmlformats.org/officeDocument/2006/relationships/hyperlink" Target="#'Vers&#245;es'!A12" TargetMode="External" Id="rId1155"/><Relationship Type="http://schemas.openxmlformats.org/officeDocument/2006/relationships/hyperlink" Target="#'Sprints'!A54" TargetMode="External" Id="rId1156"/><Relationship Type="http://schemas.openxmlformats.org/officeDocument/2006/relationships/hyperlink" Target="#'Vers&#245;es'!A12" TargetMode="External" Id="rId1157"/><Relationship Type="http://schemas.openxmlformats.org/officeDocument/2006/relationships/hyperlink" Target="#'Sprints'!A54" TargetMode="External" Id="rId1158"/><Relationship Type="http://schemas.openxmlformats.org/officeDocument/2006/relationships/hyperlink" Target="#'Vers&#245;es'!A12" TargetMode="External" Id="rId1159"/><Relationship Type="http://schemas.openxmlformats.org/officeDocument/2006/relationships/hyperlink" Target="#'Sprints'!A54" TargetMode="External" Id="rId1160"/><Relationship Type="http://schemas.openxmlformats.org/officeDocument/2006/relationships/hyperlink" Target="#'Vers&#245;es'!A12" TargetMode="External" Id="rId1161"/><Relationship Type="http://schemas.openxmlformats.org/officeDocument/2006/relationships/hyperlink" Target="#'Sprints'!A54" TargetMode="External" Id="rId1162"/><Relationship Type="http://schemas.openxmlformats.org/officeDocument/2006/relationships/hyperlink" Target="#'Vers&#245;es'!A12" TargetMode="External" Id="rId1163"/><Relationship Type="http://schemas.openxmlformats.org/officeDocument/2006/relationships/hyperlink" Target="#'Sprints'!A54" TargetMode="External" Id="rId1164"/><Relationship Type="http://schemas.openxmlformats.org/officeDocument/2006/relationships/hyperlink" Target="#'Vers&#245;es'!A12" TargetMode="External" Id="rId1165"/><Relationship Type="http://schemas.openxmlformats.org/officeDocument/2006/relationships/hyperlink" Target="#'Sprints'!A54" TargetMode="External" Id="rId1166"/><Relationship Type="http://schemas.openxmlformats.org/officeDocument/2006/relationships/hyperlink" Target="#'Vers&#245;es'!A13" TargetMode="External" Id="rId1167"/><Relationship Type="http://schemas.openxmlformats.org/officeDocument/2006/relationships/hyperlink" Target="#'Sprints'!A55" TargetMode="External" Id="rId1168"/><Relationship Type="http://schemas.openxmlformats.org/officeDocument/2006/relationships/hyperlink" Target="#'Vers&#245;es'!A13" TargetMode="External" Id="rId1169"/><Relationship Type="http://schemas.openxmlformats.org/officeDocument/2006/relationships/hyperlink" Target="#'Sprints'!A55" TargetMode="External" Id="rId1170"/><Relationship Type="http://schemas.openxmlformats.org/officeDocument/2006/relationships/hyperlink" Target="#'Vers&#245;es'!A13" TargetMode="External" Id="rId1171"/><Relationship Type="http://schemas.openxmlformats.org/officeDocument/2006/relationships/hyperlink" Target="#'Sprints'!A55" TargetMode="External" Id="rId1172"/><Relationship Type="http://schemas.openxmlformats.org/officeDocument/2006/relationships/hyperlink" Target="#'Vers&#245;es'!A13" TargetMode="External" Id="rId1173"/><Relationship Type="http://schemas.openxmlformats.org/officeDocument/2006/relationships/hyperlink" Target="#'Sprints'!A55" TargetMode="External" Id="rId1174"/><Relationship Type="http://schemas.openxmlformats.org/officeDocument/2006/relationships/hyperlink" Target="#'Vers&#245;es'!A13" TargetMode="External" Id="rId1175"/><Relationship Type="http://schemas.openxmlformats.org/officeDocument/2006/relationships/hyperlink" Target="#'Sprints'!A55" TargetMode="External" Id="rId1176"/><Relationship Type="http://schemas.openxmlformats.org/officeDocument/2006/relationships/hyperlink" Target="#'Vers&#245;es'!A13" TargetMode="External" Id="rId1177"/><Relationship Type="http://schemas.openxmlformats.org/officeDocument/2006/relationships/hyperlink" Target="#'Sprints'!A55" TargetMode="External" Id="rId1178"/><Relationship Type="http://schemas.openxmlformats.org/officeDocument/2006/relationships/hyperlink" Target="#'Vers&#245;es'!A13" TargetMode="External" Id="rId1179"/><Relationship Type="http://schemas.openxmlformats.org/officeDocument/2006/relationships/hyperlink" Target="#'Sprints'!A55" TargetMode="External" Id="rId1180"/><Relationship Type="http://schemas.openxmlformats.org/officeDocument/2006/relationships/hyperlink" Target="#'Vers&#245;es'!A13" TargetMode="External" Id="rId1181"/><Relationship Type="http://schemas.openxmlformats.org/officeDocument/2006/relationships/hyperlink" Target="#'Sprints'!A55" TargetMode="External" Id="rId1182"/><Relationship Type="http://schemas.openxmlformats.org/officeDocument/2006/relationships/hyperlink" Target="#'Vers&#245;es'!A13" TargetMode="External" Id="rId1183"/><Relationship Type="http://schemas.openxmlformats.org/officeDocument/2006/relationships/hyperlink" Target="#'Sprints'!A55" TargetMode="External" Id="rId1184"/><Relationship Type="http://schemas.openxmlformats.org/officeDocument/2006/relationships/hyperlink" Target="#'Vers&#245;es'!A13" TargetMode="External" Id="rId1185"/><Relationship Type="http://schemas.openxmlformats.org/officeDocument/2006/relationships/hyperlink" Target="#'Sprints'!A55" TargetMode="External" Id="rId1186"/><Relationship Type="http://schemas.openxmlformats.org/officeDocument/2006/relationships/hyperlink" Target="#'Vers&#245;es'!A13" TargetMode="External" Id="rId1187"/><Relationship Type="http://schemas.openxmlformats.org/officeDocument/2006/relationships/hyperlink" Target="#'Sprints'!A55" TargetMode="External" Id="rId1188"/><Relationship Type="http://schemas.openxmlformats.org/officeDocument/2006/relationships/hyperlink" Target="#'Vers&#245;es'!A13" TargetMode="External" Id="rId1189"/><Relationship Type="http://schemas.openxmlformats.org/officeDocument/2006/relationships/hyperlink" Target="#'Sprints'!A56" TargetMode="External" Id="rId1190"/><Relationship Type="http://schemas.openxmlformats.org/officeDocument/2006/relationships/hyperlink" Target="#'Vers&#245;es'!A13" TargetMode="External" Id="rId1191"/><Relationship Type="http://schemas.openxmlformats.org/officeDocument/2006/relationships/hyperlink" Target="#'Sprints'!A56" TargetMode="External" Id="rId1192"/><Relationship Type="http://schemas.openxmlformats.org/officeDocument/2006/relationships/hyperlink" Target="#'Vers&#245;es'!A13" TargetMode="External" Id="rId1193"/><Relationship Type="http://schemas.openxmlformats.org/officeDocument/2006/relationships/hyperlink" Target="#'Sprints'!A56" TargetMode="External" Id="rId1194"/><Relationship Type="http://schemas.openxmlformats.org/officeDocument/2006/relationships/hyperlink" Target="#'Vers&#245;es'!A13" TargetMode="External" Id="rId1195"/><Relationship Type="http://schemas.openxmlformats.org/officeDocument/2006/relationships/hyperlink" Target="#'Sprints'!A56" TargetMode="External" Id="rId1196"/><Relationship Type="http://schemas.openxmlformats.org/officeDocument/2006/relationships/hyperlink" Target="#'Vers&#245;es'!A13" TargetMode="External" Id="rId1197"/><Relationship Type="http://schemas.openxmlformats.org/officeDocument/2006/relationships/hyperlink" Target="#'Sprints'!A56" TargetMode="External" Id="rId1198"/><Relationship Type="http://schemas.openxmlformats.org/officeDocument/2006/relationships/hyperlink" Target="#'Vers&#245;es'!A13" TargetMode="External" Id="rId1199"/><Relationship Type="http://schemas.openxmlformats.org/officeDocument/2006/relationships/hyperlink" Target="#'Sprints'!A56" TargetMode="External" Id="rId1200"/><Relationship Type="http://schemas.openxmlformats.org/officeDocument/2006/relationships/hyperlink" Target="#'Vers&#245;es'!A13" TargetMode="External" Id="rId1201"/><Relationship Type="http://schemas.openxmlformats.org/officeDocument/2006/relationships/hyperlink" Target="#'Sprints'!A56" TargetMode="External" Id="rId1202"/><Relationship Type="http://schemas.openxmlformats.org/officeDocument/2006/relationships/hyperlink" Target="#'Vers&#245;es'!A13" TargetMode="External" Id="rId1203"/><Relationship Type="http://schemas.openxmlformats.org/officeDocument/2006/relationships/hyperlink" Target="#'Sprints'!A56" TargetMode="External" Id="rId1204"/><Relationship Type="http://schemas.openxmlformats.org/officeDocument/2006/relationships/hyperlink" Target="#'Vers&#245;es'!A13" TargetMode="External" Id="rId1205"/><Relationship Type="http://schemas.openxmlformats.org/officeDocument/2006/relationships/hyperlink" Target="#'Sprints'!A56" TargetMode="External" Id="rId1206"/><Relationship Type="http://schemas.openxmlformats.org/officeDocument/2006/relationships/hyperlink" Target="#'Vers&#245;es'!A13" TargetMode="External" Id="rId1207"/><Relationship Type="http://schemas.openxmlformats.org/officeDocument/2006/relationships/hyperlink" Target="#'Sprints'!A56" TargetMode="External" Id="rId1208"/><Relationship Type="http://schemas.openxmlformats.org/officeDocument/2006/relationships/hyperlink" Target="#'Vers&#245;es'!A13" TargetMode="External" Id="rId1209"/><Relationship Type="http://schemas.openxmlformats.org/officeDocument/2006/relationships/hyperlink" Target="#'Sprints'!A56" TargetMode="External" Id="rId1210"/><Relationship Type="http://schemas.openxmlformats.org/officeDocument/2006/relationships/hyperlink" Target="#'Vers&#245;es'!A13" TargetMode="External" Id="rId1211"/><Relationship Type="http://schemas.openxmlformats.org/officeDocument/2006/relationships/hyperlink" Target="#'Sprints'!A57" TargetMode="External" Id="rId1212"/><Relationship Type="http://schemas.openxmlformats.org/officeDocument/2006/relationships/hyperlink" Target="#'Vers&#245;es'!A13" TargetMode="External" Id="rId1213"/><Relationship Type="http://schemas.openxmlformats.org/officeDocument/2006/relationships/hyperlink" Target="#'Sprints'!A57" TargetMode="External" Id="rId1214"/><Relationship Type="http://schemas.openxmlformats.org/officeDocument/2006/relationships/hyperlink" Target="#'Vers&#245;es'!A13" TargetMode="External" Id="rId1215"/><Relationship Type="http://schemas.openxmlformats.org/officeDocument/2006/relationships/hyperlink" Target="#'Sprints'!A57" TargetMode="External" Id="rId1216"/><Relationship Type="http://schemas.openxmlformats.org/officeDocument/2006/relationships/hyperlink" Target="#'Vers&#245;es'!A13" TargetMode="External" Id="rId1217"/><Relationship Type="http://schemas.openxmlformats.org/officeDocument/2006/relationships/hyperlink" Target="#'Sprints'!A57" TargetMode="External" Id="rId1218"/><Relationship Type="http://schemas.openxmlformats.org/officeDocument/2006/relationships/hyperlink" Target="#'Vers&#245;es'!A13" TargetMode="External" Id="rId1219"/><Relationship Type="http://schemas.openxmlformats.org/officeDocument/2006/relationships/hyperlink" Target="#'Sprints'!A57" TargetMode="External" Id="rId1220"/><Relationship Type="http://schemas.openxmlformats.org/officeDocument/2006/relationships/hyperlink" Target="#'Vers&#245;es'!A13" TargetMode="External" Id="rId1221"/><Relationship Type="http://schemas.openxmlformats.org/officeDocument/2006/relationships/hyperlink" Target="#'Sprints'!A57" TargetMode="External" Id="rId1222"/><Relationship Type="http://schemas.openxmlformats.org/officeDocument/2006/relationships/hyperlink" Target="#'Vers&#245;es'!A13" TargetMode="External" Id="rId1223"/><Relationship Type="http://schemas.openxmlformats.org/officeDocument/2006/relationships/hyperlink" Target="#'Sprints'!A57" TargetMode="External" Id="rId1224"/><Relationship Type="http://schemas.openxmlformats.org/officeDocument/2006/relationships/hyperlink" Target="#'Vers&#245;es'!A13" TargetMode="External" Id="rId1225"/><Relationship Type="http://schemas.openxmlformats.org/officeDocument/2006/relationships/hyperlink" Target="#'Sprints'!A57" TargetMode="External" Id="rId1226"/><Relationship Type="http://schemas.openxmlformats.org/officeDocument/2006/relationships/hyperlink" Target="#'Vers&#245;es'!A13" TargetMode="External" Id="rId1227"/><Relationship Type="http://schemas.openxmlformats.org/officeDocument/2006/relationships/hyperlink" Target="#'Sprints'!A57" TargetMode="External" Id="rId1228"/><Relationship Type="http://schemas.openxmlformats.org/officeDocument/2006/relationships/hyperlink" Target="#'Vers&#245;es'!A13" TargetMode="External" Id="rId1229"/><Relationship Type="http://schemas.openxmlformats.org/officeDocument/2006/relationships/hyperlink" Target="#'Sprints'!A57" TargetMode="External" Id="rId1230"/><Relationship Type="http://schemas.openxmlformats.org/officeDocument/2006/relationships/hyperlink" Target="#'Vers&#245;es'!A13" TargetMode="External" Id="rId1231"/><Relationship Type="http://schemas.openxmlformats.org/officeDocument/2006/relationships/hyperlink" Target="#'Sprints'!A57" TargetMode="External" Id="rId1232"/><Relationship Type="http://schemas.openxmlformats.org/officeDocument/2006/relationships/hyperlink" Target="#'Vers&#245;es'!A13" TargetMode="External" Id="rId1233"/><Relationship Type="http://schemas.openxmlformats.org/officeDocument/2006/relationships/hyperlink" Target="#'Sprints'!A58" TargetMode="External" Id="rId1234"/><Relationship Type="http://schemas.openxmlformats.org/officeDocument/2006/relationships/hyperlink" Target="#'Vers&#245;es'!A13" TargetMode="External" Id="rId1235"/><Relationship Type="http://schemas.openxmlformats.org/officeDocument/2006/relationships/hyperlink" Target="#'Sprints'!A58" TargetMode="External" Id="rId1236"/><Relationship Type="http://schemas.openxmlformats.org/officeDocument/2006/relationships/hyperlink" Target="#'Vers&#245;es'!A13" TargetMode="External" Id="rId1237"/><Relationship Type="http://schemas.openxmlformats.org/officeDocument/2006/relationships/hyperlink" Target="#'Sprints'!A58" TargetMode="External" Id="rId1238"/><Relationship Type="http://schemas.openxmlformats.org/officeDocument/2006/relationships/hyperlink" Target="#'Vers&#245;es'!A13" TargetMode="External" Id="rId1239"/><Relationship Type="http://schemas.openxmlformats.org/officeDocument/2006/relationships/hyperlink" Target="#'Sprints'!A58" TargetMode="External" Id="rId1240"/><Relationship Type="http://schemas.openxmlformats.org/officeDocument/2006/relationships/hyperlink" Target="#'Vers&#245;es'!A13" TargetMode="External" Id="rId1241"/><Relationship Type="http://schemas.openxmlformats.org/officeDocument/2006/relationships/hyperlink" Target="#'Sprints'!A58" TargetMode="External" Id="rId1242"/><Relationship Type="http://schemas.openxmlformats.org/officeDocument/2006/relationships/hyperlink" Target="#'Vers&#245;es'!A13" TargetMode="External" Id="rId1243"/><Relationship Type="http://schemas.openxmlformats.org/officeDocument/2006/relationships/hyperlink" Target="#'Sprints'!A58" TargetMode="External" Id="rId1244"/><Relationship Type="http://schemas.openxmlformats.org/officeDocument/2006/relationships/hyperlink" Target="#'Vers&#245;es'!A13" TargetMode="External" Id="rId1245"/><Relationship Type="http://schemas.openxmlformats.org/officeDocument/2006/relationships/hyperlink" Target="#'Sprints'!A58" TargetMode="External" Id="rId1246"/><Relationship Type="http://schemas.openxmlformats.org/officeDocument/2006/relationships/hyperlink" Target="#'Vers&#245;es'!A13" TargetMode="External" Id="rId1247"/><Relationship Type="http://schemas.openxmlformats.org/officeDocument/2006/relationships/hyperlink" Target="#'Sprints'!A58" TargetMode="External" Id="rId1248"/><Relationship Type="http://schemas.openxmlformats.org/officeDocument/2006/relationships/hyperlink" Target="#'Vers&#245;es'!A13" TargetMode="External" Id="rId1249"/><Relationship Type="http://schemas.openxmlformats.org/officeDocument/2006/relationships/hyperlink" Target="#'Sprints'!A58" TargetMode="External" Id="rId1250"/><Relationship Type="http://schemas.openxmlformats.org/officeDocument/2006/relationships/hyperlink" Target="#'Vers&#245;es'!A13" TargetMode="External" Id="rId1251"/><Relationship Type="http://schemas.openxmlformats.org/officeDocument/2006/relationships/hyperlink" Target="#'Sprints'!A58" TargetMode="External" Id="rId1252"/><Relationship Type="http://schemas.openxmlformats.org/officeDocument/2006/relationships/hyperlink" Target="#'Vers&#245;es'!A13" TargetMode="External" Id="rId1253"/><Relationship Type="http://schemas.openxmlformats.org/officeDocument/2006/relationships/hyperlink" Target="#'Sprints'!A58" TargetMode="External" Id="rId1254"/><Relationship Type="http://schemas.openxmlformats.org/officeDocument/2006/relationships/hyperlink" Target="#'Vers&#245;es'!A14" TargetMode="External" Id="rId1255"/><Relationship Type="http://schemas.openxmlformats.org/officeDocument/2006/relationships/hyperlink" Target="#'Sprints'!A59" TargetMode="External" Id="rId1256"/><Relationship Type="http://schemas.openxmlformats.org/officeDocument/2006/relationships/hyperlink" Target="#'Vers&#245;es'!A14" TargetMode="External" Id="rId1257"/><Relationship Type="http://schemas.openxmlformats.org/officeDocument/2006/relationships/hyperlink" Target="#'Sprints'!A59" TargetMode="External" Id="rId1258"/><Relationship Type="http://schemas.openxmlformats.org/officeDocument/2006/relationships/hyperlink" Target="#'Vers&#245;es'!A14" TargetMode="External" Id="rId1259"/><Relationship Type="http://schemas.openxmlformats.org/officeDocument/2006/relationships/hyperlink" Target="#'Sprints'!A59" TargetMode="External" Id="rId1260"/><Relationship Type="http://schemas.openxmlformats.org/officeDocument/2006/relationships/hyperlink" Target="#'Vers&#245;es'!A14" TargetMode="External" Id="rId1261"/><Relationship Type="http://schemas.openxmlformats.org/officeDocument/2006/relationships/hyperlink" Target="#'Sprints'!A59" TargetMode="External" Id="rId1262"/><Relationship Type="http://schemas.openxmlformats.org/officeDocument/2006/relationships/hyperlink" Target="#'Vers&#245;es'!A14" TargetMode="External" Id="rId1263"/><Relationship Type="http://schemas.openxmlformats.org/officeDocument/2006/relationships/hyperlink" Target="#'Sprints'!A59" TargetMode="External" Id="rId1264"/><Relationship Type="http://schemas.openxmlformats.org/officeDocument/2006/relationships/hyperlink" Target="#'Vers&#245;es'!A14" TargetMode="External" Id="rId1265"/><Relationship Type="http://schemas.openxmlformats.org/officeDocument/2006/relationships/hyperlink" Target="#'Sprints'!A59" TargetMode="External" Id="rId1266"/><Relationship Type="http://schemas.openxmlformats.org/officeDocument/2006/relationships/hyperlink" Target="#'Vers&#245;es'!A14" TargetMode="External" Id="rId1267"/><Relationship Type="http://schemas.openxmlformats.org/officeDocument/2006/relationships/hyperlink" Target="#'Sprints'!A59" TargetMode="External" Id="rId1268"/><Relationship Type="http://schemas.openxmlformats.org/officeDocument/2006/relationships/hyperlink" Target="#'Vers&#245;es'!A14" TargetMode="External" Id="rId1269"/><Relationship Type="http://schemas.openxmlformats.org/officeDocument/2006/relationships/hyperlink" Target="#'Sprints'!A59" TargetMode="External" Id="rId1270"/><Relationship Type="http://schemas.openxmlformats.org/officeDocument/2006/relationships/hyperlink" Target="#'Vers&#245;es'!A14" TargetMode="External" Id="rId1271"/><Relationship Type="http://schemas.openxmlformats.org/officeDocument/2006/relationships/hyperlink" Target="#'Sprints'!A59" TargetMode="External" Id="rId1272"/><Relationship Type="http://schemas.openxmlformats.org/officeDocument/2006/relationships/hyperlink" Target="#'Vers&#245;es'!A14" TargetMode="External" Id="rId1273"/><Relationship Type="http://schemas.openxmlformats.org/officeDocument/2006/relationships/hyperlink" Target="#'Sprints'!A59" TargetMode="External" Id="rId1274"/><Relationship Type="http://schemas.openxmlformats.org/officeDocument/2006/relationships/hyperlink" Target="#'Vers&#245;es'!A14" TargetMode="External" Id="rId1275"/><Relationship Type="http://schemas.openxmlformats.org/officeDocument/2006/relationships/hyperlink" Target="#'Sprints'!A59" TargetMode="External" Id="rId1276"/><Relationship Type="http://schemas.openxmlformats.org/officeDocument/2006/relationships/hyperlink" Target="#'Vers&#245;es'!A14" TargetMode="External" Id="rId1277"/><Relationship Type="http://schemas.openxmlformats.org/officeDocument/2006/relationships/hyperlink" Target="#'Sprints'!A60" TargetMode="External" Id="rId1278"/><Relationship Type="http://schemas.openxmlformats.org/officeDocument/2006/relationships/hyperlink" Target="#'Vers&#245;es'!A14" TargetMode="External" Id="rId1279"/><Relationship Type="http://schemas.openxmlformats.org/officeDocument/2006/relationships/hyperlink" Target="#'Sprints'!A60" TargetMode="External" Id="rId1280"/><Relationship Type="http://schemas.openxmlformats.org/officeDocument/2006/relationships/hyperlink" Target="#'Vers&#245;es'!A14" TargetMode="External" Id="rId1281"/><Relationship Type="http://schemas.openxmlformats.org/officeDocument/2006/relationships/hyperlink" Target="#'Sprints'!A60" TargetMode="External" Id="rId1282"/><Relationship Type="http://schemas.openxmlformats.org/officeDocument/2006/relationships/hyperlink" Target="#'Vers&#245;es'!A14" TargetMode="External" Id="rId1283"/><Relationship Type="http://schemas.openxmlformats.org/officeDocument/2006/relationships/hyperlink" Target="#'Sprints'!A60" TargetMode="External" Id="rId1284"/><Relationship Type="http://schemas.openxmlformats.org/officeDocument/2006/relationships/hyperlink" Target="#'Vers&#245;es'!A14" TargetMode="External" Id="rId1285"/><Relationship Type="http://schemas.openxmlformats.org/officeDocument/2006/relationships/hyperlink" Target="#'Sprints'!A60" TargetMode="External" Id="rId1286"/><Relationship Type="http://schemas.openxmlformats.org/officeDocument/2006/relationships/hyperlink" Target="#'Vers&#245;es'!A14" TargetMode="External" Id="rId1287"/><Relationship Type="http://schemas.openxmlformats.org/officeDocument/2006/relationships/hyperlink" Target="#'Sprints'!A60" TargetMode="External" Id="rId1288"/><Relationship Type="http://schemas.openxmlformats.org/officeDocument/2006/relationships/hyperlink" Target="#'Vers&#245;es'!A14" TargetMode="External" Id="rId1289"/><Relationship Type="http://schemas.openxmlformats.org/officeDocument/2006/relationships/hyperlink" Target="#'Sprints'!A60" TargetMode="External" Id="rId1290"/><Relationship Type="http://schemas.openxmlformats.org/officeDocument/2006/relationships/hyperlink" Target="#'Vers&#245;es'!A14" TargetMode="External" Id="rId1291"/><Relationship Type="http://schemas.openxmlformats.org/officeDocument/2006/relationships/hyperlink" Target="#'Sprints'!A60" TargetMode="External" Id="rId1292"/><Relationship Type="http://schemas.openxmlformats.org/officeDocument/2006/relationships/hyperlink" Target="#'Vers&#245;es'!A14" TargetMode="External" Id="rId1293"/><Relationship Type="http://schemas.openxmlformats.org/officeDocument/2006/relationships/hyperlink" Target="#'Sprints'!A60" TargetMode="External" Id="rId1294"/><Relationship Type="http://schemas.openxmlformats.org/officeDocument/2006/relationships/hyperlink" Target="#'Vers&#245;es'!A14" TargetMode="External" Id="rId1295"/><Relationship Type="http://schemas.openxmlformats.org/officeDocument/2006/relationships/hyperlink" Target="#'Sprints'!A60" TargetMode="External" Id="rId1296"/><Relationship Type="http://schemas.openxmlformats.org/officeDocument/2006/relationships/hyperlink" Target="#'Vers&#245;es'!A14" TargetMode="External" Id="rId1297"/><Relationship Type="http://schemas.openxmlformats.org/officeDocument/2006/relationships/hyperlink" Target="#'Sprints'!A60" TargetMode="External" Id="rId1298"/><Relationship Type="http://schemas.openxmlformats.org/officeDocument/2006/relationships/hyperlink" Target="#'Vers&#245;es'!A15" TargetMode="External" Id="rId1299"/><Relationship Type="http://schemas.openxmlformats.org/officeDocument/2006/relationships/hyperlink" Target="#'Sprints'!A61" TargetMode="External" Id="rId1300"/><Relationship Type="http://schemas.openxmlformats.org/officeDocument/2006/relationships/hyperlink" Target="#'Vers&#245;es'!A15" TargetMode="External" Id="rId1301"/><Relationship Type="http://schemas.openxmlformats.org/officeDocument/2006/relationships/hyperlink" Target="#'Sprints'!A61" TargetMode="External" Id="rId1302"/><Relationship Type="http://schemas.openxmlformats.org/officeDocument/2006/relationships/hyperlink" Target="#'Vers&#245;es'!A15" TargetMode="External" Id="rId1303"/><Relationship Type="http://schemas.openxmlformats.org/officeDocument/2006/relationships/hyperlink" Target="#'Sprints'!A61" TargetMode="External" Id="rId1304"/><Relationship Type="http://schemas.openxmlformats.org/officeDocument/2006/relationships/hyperlink" Target="#'Vers&#245;es'!A15" TargetMode="External" Id="rId1305"/><Relationship Type="http://schemas.openxmlformats.org/officeDocument/2006/relationships/hyperlink" Target="#'Sprints'!A61" TargetMode="External" Id="rId1306"/><Relationship Type="http://schemas.openxmlformats.org/officeDocument/2006/relationships/hyperlink" Target="#'Vers&#245;es'!A15" TargetMode="External" Id="rId1307"/><Relationship Type="http://schemas.openxmlformats.org/officeDocument/2006/relationships/hyperlink" Target="#'Sprints'!A61" TargetMode="External" Id="rId1308"/><Relationship Type="http://schemas.openxmlformats.org/officeDocument/2006/relationships/hyperlink" Target="#'Vers&#245;es'!A15" TargetMode="External" Id="rId1309"/><Relationship Type="http://schemas.openxmlformats.org/officeDocument/2006/relationships/hyperlink" Target="#'Sprints'!A61" TargetMode="External" Id="rId1310"/><Relationship Type="http://schemas.openxmlformats.org/officeDocument/2006/relationships/hyperlink" Target="#'Vers&#245;es'!A15" TargetMode="External" Id="rId1311"/><Relationship Type="http://schemas.openxmlformats.org/officeDocument/2006/relationships/hyperlink" Target="#'Sprints'!A61" TargetMode="External" Id="rId1312"/><Relationship Type="http://schemas.openxmlformats.org/officeDocument/2006/relationships/hyperlink" Target="#'Vers&#245;es'!A15" TargetMode="External" Id="rId1313"/><Relationship Type="http://schemas.openxmlformats.org/officeDocument/2006/relationships/hyperlink" Target="#'Sprints'!A61" TargetMode="External" Id="rId1314"/><Relationship Type="http://schemas.openxmlformats.org/officeDocument/2006/relationships/hyperlink" Target="#'Vers&#245;es'!A15" TargetMode="External" Id="rId1315"/><Relationship Type="http://schemas.openxmlformats.org/officeDocument/2006/relationships/hyperlink" Target="#'Sprints'!A61" TargetMode="External" Id="rId1316"/><Relationship Type="http://schemas.openxmlformats.org/officeDocument/2006/relationships/hyperlink" Target="#'Vers&#245;es'!A15" TargetMode="External" Id="rId1317"/><Relationship Type="http://schemas.openxmlformats.org/officeDocument/2006/relationships/hyperlink" Target="#'Sprints'!A61" TargetMode="External" Id="rId1318"/><Relationship Type="http://schemas.openxmlformats.org/officeDocument/2006/relationships/hyperlink" Target="#'Vers&#245;es'!A15" TargetMode="External" Id="rId1319"/><Relationship Type="http://schemas.openxmlformats.org/officeDocument/2006/relationships/hyperlink" Target="#'Sprints'!A61" TargetMode="External" Id="rId1320"/><Relationship Type="http://schemas.openxmlformats.org/officeDocument/2006/relationships/hyperlink" Target="#'Vers&#245;es'!A16" TargetMode="External" Id="rId1321"/><Relationship Type="http://schemas.openxmlformats.org/officeDocument/2006/relationships/hyperlink" Target="#'Sprints'!A62" TargetMode="External" Id="rId1322"/><Relationship Type="http://schemas.openxmlformats.org/officeDocument/2006/relationships/hyperlink" Target="#'Vers&#245;es'!A16" TargetMode="External" Id="rId1323"/><Relationship Type="http://schemas.openxmlformats.org/officeDocument/2006/relationships/hyperlink" Target="#'Sprints'!A62" TargetMode="External" Id="rId1324"/><Relationship Type="http://schemas.openxmlformats.org/officeDocument/2006/relationships/hyperlink" Target="#'Vers&#245;es'!A16" TargetMode="External" Id="rId1325"/><Relationship Type="http://schemas.openxmlformats.org/officeDocument/2006/relationships/hyperlink" Target="#'Sprints'!A62" TargetMode="External" Id="rId1326"/><Relationship Type="http://schemas.openxmlformats.org/officeDocument/2006/relationships/hyperlink" Target="#'Vers&#245;es'!A16" TargetMode="External" Id="rId1327"/><Relationship Type="http://schemas.openxmlformats.org/officeDocument/2006/relationships/hyperlink" Target="#'Sprints'!A62" TargetMode="External" Id="rId1328"/><Relationship Type="http://schemas.openxmlformats.org/officeDocument/2006/relationships/hyperlink" Target="#'Vers&#245;es'!A16" TargetMode="External" Id="rId1329"/><Relationship Type="http://schemas.openxmlformats.org/officeDocument/2006/relationships/hyperlink" Target="#'Sprints'!A62" TargetMode="External" Id="rId1330"/><Relationship Type="http://schemas.openxmlformats.org/officeDocument/2006/relationships/hyperlink" Target="#'Vers&#245;es'!A16" TargetMode="External" Id="rId1331"/><Relationship Type="http://schemas.openxmlformats.org/officeDocument/2006/relationships/hyperlink" Target="#'Sprints'!A62" TargetMode="External" Id="rId1332"/><Relationship Type="http://schemas.openxmlformats.org/officeDocument/2006/relationships/hyperlink" Target="#'Vers&#245;es'!A16" TargetMode="External" Id="rId1333"/><Relationship Type="http://schemas.openxmlformats.org/officeDocument/2006/relationships/hyperlink" Target="#'Sprints'!A62" TargetMode="External" Id="rId1334"/><Relationship Type="http://schemas.openxmlformats.org/officeDocument/2006/relationships/hyperlink" Target="#'Vers&#245;es'!A16" TargetMode="External" Id="rId1335"/><Relationship Type="http://schemas.openxmlformats.org/officeDocument/2006/relationships/hyperlink" Target="#'Sprints'!A62" TargetMode="External" Id="rId1336"/><Relationship Type="http://schemas.openxmlformats.org/officeDocument/2006/relationships/hyperlink" Target="#'Vers&#245;es'!A16" TargetMode="External" Id="rId1337"/><Relationship Type="http://schemas.openxmlformats.org/officeDocument/2006/relationships/hyperlink" Target="#'Sprints'!A62" TargetMode="External" Id="rId1338"/><Relationship Type="http://schemas.openxmlformats.org/officeDocument/2006/relationships/hyperlink" Target="#'Vers&#245;es'!A16" TargetMode="External" Id="rId1339"/><Relationship Type="http://schemas.openxmlformats.org/officeDocument/2006/relationships/hyperlink" Target="#'Sprints'!A62" TargetMode="External" Id="rId1340"/><Relationship Type="http://schemas.openxmlformats.org/officeDocument/2006/relationships/hyperlink" Target="#'Vers&#245;es'!A16" TargetMode="External" Id="rId1341"/><Relationship Type="http://schemas.openxmlformats.org/officeDocument/2006/relationships/hyperlink" Target="#'Sprints'!A62" TargetMode="External" Id="rId1342"/><Relationship Type="http://schemas.openxmlformats.org/officeDocument/2006/relationships/hyperlink" Target="#'Vers&#245;es'!A16" TargetMode="External" Id="rId1343"/><Relationship Type="http://schemas.openxmlformats.org/officeDocument/2006/relationships/hyperlink" Target="#'Sprints'!A63" TargetMode="External" Id="rId1344"/><Relationship Type="http://schemas.openxmlformats.org/officeDocument/2006/relationships/hyperlink" Target="#'Vers&#245;es'!A16" TargetMode="External" Id="rId1345"/><Relationship Type="http://schemas.openxmlformats.org/officeDocument/2006/relationships/hyperlink" Target="#'Sprints'!A63" TargetMode="External" Id="rId1346"/><Relationship Type="http://schemas.openxmlformats.org/officeDocument/2006/relationships/hyperlink" Target="#'Vers&#245;es'!A16" TargetMode="External" Id="rId1347"/><Relationship Type="http://schemas.openxmlformats.org/officeDocument/2006/relationships/hyperlink" Target="#'Sprints'!A63" TargetMode="External" Id="rId1348"/><Relationship Type="http://schemas.openxmlformats.org/officeDocument/2006/relationships/hyperlink" Target="#'Vers&#245;es'!A16" TargetMode="External" Id="rId1349"/><Relationship Type="http://schemas.openxmlformats.org/officeDocument/2006/relationships/hyperlink" Target="#'Sprints'!A63" TargetMode="External" Id="rId1350"/><Relationship Type="http://schemas.openxmlformats.org/officeDocument/2006/relationships/hyperlink" Target="#'Vers&#245;es'!A16" TargetMode="External" Id="rId1351"/><Relationship Type="http://schemas.openxmlformats.org/officeDocument/2006/relationships/hyperlink" Target="#'Sprints'!A63" TargetMode="External" Id="rId1352"/><Relationship Type="http://schemas.openxmlformats.org/officeDocument/2006/relationships/hyperlink" Target="#'Vers&#245;es'!A16" TargetMode="External" Id="rId1353"/><Relationship Type="http://schemas.openxmlformats.org/officeDocument/2006/relationships/hyperlink" Target="#'Sprints'!A63" TargetMode="External" Id="rId1354"/><Relationship Type="http://schemas.openxmlformats.org/officeDocument/2006/relationships/hyperlink" Target="#'Vers&#245;es'!A16" TargetMode="External" Id="rId1355"/><Relationship Type="http://schemas.openxmlformats.org/officeDocument/2006/relationships/hyperlink" Target="#'Sprints'!A63" TargetMode="External" Id="rId1356"/><Relationship Type="http://schemas.openxmlformats.org/officeDocument/2006/relationships/hyperlink" Target="#'Vers&#245;es'!A16" TargetMode="External" Id="rId1357"/><Relationship Type="http://schemas.openxmlformats.org/officeDocument/2006/relationships/hyperlink" Target="#'Sprints'!A63" TargetMode="External" Id="rId1358"/><Relationship Type="http://schemas.openxmlformats.org/officeDocument/2006/relationships/hyperlink" Target="#'Vers&#245;es'!A16" TargetMode="External" Id="rId1359"/><Relationship Type="http://schemas.openxmlformats.org/officeDocument/2006/relationships/hyperlink" Target="#'Sprints'!A63" TargetMode="External" Id="rId1360"/><Relationship Type="http://schemas.openxmlformats.org/officeDocument/2006/relationships/hyperlink" Target="#'Vers&#245;es'!A16" TargetMode="External" Id="rId1361"/><Relationship Type="http://schemas.openxmlformats.org/officeDocument/2006/relationships/hyperlink" Target="#'Sprints'!A63" TargetMode="External" Id="rId1362"/><Relationship Type="http://schemas.openxmlformats.org/officeDocument/2006/relationships/hyperlink" Target="#'Vers&#245;es'!A16" TargetMode="External" Id="rId1363"/><Relationship Type="http://schemas.openxmlformats.org/officeDocument/2006/relationships/hyperlink" Target="#'Sprints'!A63" TargetMode="External" Id="rId1364"/><Relationship Type="http://schemas.openxmlformats.org/officeDocument/2006/relationships/hyperlink" Target="#'Vers&#245;es'!A16" TargetMode="External" Id="rId1365"/><Relationship Type="http://schemas.openxmlformats.org/officeDocument/2006/relationships/hyperlink" Target="#'Sprints'!A64" TargetMode="External" Id="rId1366"/><Relationship Type="http://schemas.openxmlformats.org/officeDocument/2006/relationships/hyperlink" Target="#'Vers&#245;es'!A16" TargetMode="External" Id="rId1367"/><Relationship Type="http://schemas.openxmlformats.org/officeDocument/2006/relationships/hyperlink" Target="#'Sprints'!A64" TargetMode="External" Id="rId1368"/><Relationship Type="http://schemas.openxmlformats.org/officeDocument/2006/relationships/hyperlink" Target="#'Vers&#245;es'!A16" TargetMode="External" Id="rId1369"/><Relationship Type="http://schemas.openxmlformats.org/officeDocument/2006/relationships/hyperlink" Target="#'Sprints'!A64" TargetMode="External" Id="rId1370"/><Relationship Type="http://schemas.openxmlformats.org/officeDocument/2006/relationships/hyperlink" Target="#'Vers&#245;es'!A16" TargetMode="External" Id="rId1371"/><Relationship Type="http://schemas.openxmlformats.org/officeDocument/2006/relationships/hyperlink" Target="#'Sprints'!A64" TargetMode="External" Id="rId1372"/><Relationship Type="http://schemas.openxmlformats.org/officeDocument/2006/relationships/hyperlink" Target="#'Vers&#245;es'!A16" TargetMode="External" Id="rId1373"/><Relationship Type="http://schemas.openxmlformats.org/officeDocument/2006/relationships/hyperlink" Target="#'Sprints'!A64" TargetMode="External" Id="rId1374"/><Relationship Type="http://schemas.openxmlformats.org/officeDocument/2006/relationships/hyperlink" Target="#'Vers&#245;es'!A16" TargetMode="External" Id="rId1375"/><Relationship Type="http://schemas.openxmlformats.org/officeDocument/2006/relationships/hyperlink" Target="#'Sprints'!A64" TargetMode="External" Id="rId1376"/><Relationship Type="http://schemas.openxmlformats.org/officeDocument/2006/relationships/hyperlink" Target="#'Vers&#245;es'!A16" TargetMode="External" Id="rId1377"/><Relationship Type="http://schemas.openxmlformats.org/officeDocument/2006/relationships/hyperlink" Target="#'Sprints'!A64" TargetMode="External" Id="rId1378"/><Relationship Type="http://schemas.openxmlformats.org/officeDocument/2006/relationships/hyperlink" Target="#'Vers&#245;es'!A16" TargetMode="External" Id="rId1379"/><Relationship Type="http://schemas.openxmlformats.org/officeDocument/2006/relationships/hyperlink" Target="#'Sprints'!A64" TargetMode="External" Id="rId1380"/><Relationship Type="http://schemas.openxmlformats.org/officeDocument/2006/relationships/hyperlink" Target="#'Vers&#245;es'!A16" TargetMode="External" Id="rId1381"/><Relationship Type="http://schemas.openxmlformats.org/officeDocument/2006/relationships/hyperlink" Target="#'Sprints'!A64" TargetMode="External" Id="rId1382"/><Relationship Type="http://schemas.openxmlformats.org/officeDocument/2006/relationships/hyperlink" Target="#'Vers&#245;es'!A16" TargetMode="External" Id="rId1383"/><Relationship Type="http://schemas.openxmlformats.org/officeDocument/2006/relationships/hyperlink" Target="#'Sprints'!A64" TargetMode="External" Id="rId1384"/><Relationship Type="http://schemas.openxmlformats.org/officeDocument/2006/relationships/hyperlink" Target="#'Vers&#245;es'!A16" TargetMode="External" Id="rId1385"/><Relationship Type="http://schemas.openxmlformats.org/officeDocument/2006/relationships/hyperlink" Target="#'Sprints'!A64" TargetMode="External" Id="rId1386"/><Relationship Type="http://schemas.openxmlformats.org/officeDocument/2006/relationships/hyperlink" Target="#'Vers&#245;es'!A17" TargetMode="External" Id="rId1387"/><Relationship Type="http://schemas.openxmlformats.org/officeDocument/2006/relationships/hyperlink" Target="#'Sprints'!A65" TargetMode="External" Id="rId1388"/><Relationship Type="http://schemas.openxmlformats.org/officeDocument/2006/relationships/hyperlink" Target="#'Vers&#245;es'!A17" TargetMode="External" Id="rId1389"/><Relationship Type="http://schemas.openxmlformats.org/officeDocument/2006/relationships/hyperlink" Target="#'Sprints'!A65" TargetMode="External" Id="rId1390"/><Relationship Type="http://schemas.openxmlformats.org/officeDocument/2006/relationships/hyperlink" Target="#'Vers&#245;es'!A17" TargetMode="External" Id="rId1391"/><Relationship Type="http://schemas.openxmlformats.org/officeDocument/2006/relationships/hyperlink" Target="#'Sprints'!A65" TargetMode="External" Id="rId1392"/><Relationship Type="http://schemas.openxmlformats.org/officeDocument/2006/relationships/hyperlink" Target="#'Vers&#245;es'!A17" TargetMode="External" Id="rId1393"/><Relationship Type="http://schemas.openxmlformats.org/officeDocument/2006/relationships/hyperlink" Target="#'Sprints'!A65" TargetMode="External" Id="rId1394"/><Relationship Type="http://schemas.openxmlformats.org/officeDocument/2006/relationships/hyperlink" Target="#'Vers&#245;es'!A17" TargetMode="External" Id="rId1395"/><Relationship Type="http://schemas.openxmlformats.org/officeDocument/2006/relationships/hyperlink" Target="#'Sprints'!A65" TargetMode="External" Id="rId1396"/><Relationship Type="http://schemas.openxmlformats.org/officeDocument/2006/relationships/hyperlink" Target="#'Vers&#245;es'!A17" TargetMode="External" Id="rId1397"/><Relationship Type="http://schemas.openxmlformats.org/officeDocument/2006/relationships/hyperlink" Target="#'Sprints'!A65" TargetMode="External" Id="rId1398"/><Relationship Type="http://schemas.openxmlformats.org/officeDocument/2006/relationships/hyperlink" Target="#'Vers&#245;es'!A17" TargetMode="External" Id="rId1399"/><Relationship Type="http://schemas.openxmlformats.org/officeDocument/2006/relationships/hyperlink" Target="#'Sprints'!A65" TargetMode="External" Id="rId1400"/><Relationship Type="http://schemas.openxmlformats.org/officeDocument/2006/relationships/hyperlink" Target="#'Vers&#245;es'!A17" TargetMode="External" Id="rId1401"/><Relationship Type="http://schemas.openxmlformats.org/officeDocument/2006/relationships/hyperlink" Target="#'Sprints'!A65" TargetMode="External" Id="rId1402"/><Relationship Type="http://schemas.openxmlformats.org/officeDocument/2006/relationships/hyperlink" Target="#'Vers&#245;es'!A17" TargetMode="External" Id="rId1403"/><Relationship Type="http://schemas.openxmlformats.org/officeDocument/2006/relationships/hyperlink" Target="#'Sprints'!A65" TargetMode="External" Id="rId1404"/><Relationship Type="http://schemas.openxmlformats.org/officeDocument/2006/relationships/hyperlink" Target="#'Vers&#245;es'!A17" TargetMode="External" Id="rId1405"/><Relationship Type="http://schemas.openxmlformats.org/officeDocument/2006/relationships/hyperlink" Target="#'Sprints'!A65" TargetMode="External" Id="rId1406"/><Relationship Type="http://schemas.openxmlformats.org/officeDocument/2006/relationships/hyperlink" Target="#'Vers&#245;es'!A17" TargetMode="External" Id="rId1407"/><Relationship Type="http://schemas.openxmlformats.org/officeDocument/2006/relationships/hyperlink" Target="#'Sprints'!A65" TargetMode="External" Id="rId1408"/><Relationship Type="http://schemas.openxmlformats.org/officeDocument/2006/relationships/hyperlink" Target="#'Vers&#245;es'!A17" TargetMode="External" Id="rId1409"/><Relationship Type="http://schemas.openxmlformats.org/officeDocument/2006/relationships/hyperlink" Target="#'Sprints'!A66" TargetMode="External" Id="rId1410"/><Relationship Type="http://schemas.openxmlformats.org/officeDocument/2006/relationships/hyperlink" Target="#'Vers&#245;es'!A17" TargetMode="External" Id="rId1411"/><Relationship Type="http://schemas.openxmlformats.org/officeDocument/2006/relationships/hyperlink" Target="#'Sprints'!A66" TargetMode="External" Id="rId1412"/><Relationship Type="http://schemas.openxmlformats.org/officeDocument/2006/relationships/hyperlink" Target="#'Vers&#245;es'!A17" TargetMode="External" Id="rId1413"/><Relationship Type="http://schemas.openxmlformats.org/officeDocument/2006/relationships/hyperlink" Target="#'Sprints'!A66" TargetMode="External" Id="rId1414"/><Relationship Type="http://schemas.openxmlformats.org/officeDocument/2006/relationships/hyperlink" Target="#'Vers&#245;es'!A17" TargetMode="External" Id="rId1415"/><Relationship Type="http://schemas.openxmlformats.org/officeDocument/2006/relationships/hyperlink" Target="#'Sprints'!A66" TargetMode="External" Id="rId1416"/><Relationship Type="http://schemas.openxmlformats.org/officeDocument/2006/relationships/hyperlink" Target="#'Vers&#245;es'!A17" TargetMode="External" Id="rId1417"/><Relationship Type="http://schemas.openxmlformats.org/officeDocument/2006/relationships/hyperlink" Target="#'Sprints'!A66" TargetMode="External" Id="rId1418"/><Relationship Type="http://schemas.openxmlformats.org/officeDocument/2006/relationships/hyperlink" Target="#'Vers&#245;es'!A17" TargetMode="External" Id="rId1419"/><Relationship Type="http://schemas.openxmlformats.org/officeDocument/2006/relationships/hyperlink" Target="#'Sprints'!A66" TargetMode="External" Id="rId1420"/><Relationship Type="http://schemas.openxmlformats.org/officeDocument/2006/relationships/hyperlink" Target="#'Vers&#245;es'!A17" TargetMode="External" Id="rId1421"/><Relationship Type="http://schemas.openxmlformats.org/officeDocument/2006/relationships/hyperlink" Target="#'Sprints'!A66" TargetMode="External" Id="rId1422"/><Relationship Type="http://schemas.openxmlformats.org/officeDocument/2006/relationships/hyperlink" Target="#'Vers&#245;es'!A17" TargetMode="External" Id="rId1423"/><Relationship Type="http://schemas.openxmlformats.org/officeDocument/2006/relationships/hyperlink" Target="#'Sprints'!A66" TargetMode="External" Id="rId1424"/><Relationship Type="http://schemas.openxmlformats.org/officeDocument/2006/relationships/hyperlink" Target="#'Vers&#245;es'!A17" TargetMode="External" Id="rId1425"/><Relationship Type="http://schemas.openxmlformats.org/officeDocument/2006/relationships/hyperlink" Target="#'Sprints'!A66" TargetMode="External" Id="rId1426"/><Relationship Type="http://schemas.openxmlformats.org/officeDocument/2006/relationships/hyperlink" Target="#'Vers&#245;es'!A17" TargetMode="External" Id="rId1427"/><Relationship Type="http://schemas.openxmlformats.org/officeDocument/2006/relationships/hyperlink" Target="#'Sprints'!A66" TargetMode="External" Id="rId1428"/><Relationship Type="http://schemas.openxmlformats.org/officeDocument/2006/relationships/hyperlink" Target="#'Vers&#245;es'!A17" TargetMode="External" Id="rId1429"/><Relationship Type="http://schemas.openxmlformats.org/officeDocument/2006/relationships/hyperlink" Target="#'Sprints'!A66" TargetMode="External" Id="rId1430"/><Relationship Type="http://schemas.openxmlformats.org/officeDocument/2006/relationships/hyperlink" Target="#'Vers&#245;es'!A17" TargetMode="External" Id="rId1431"/><Relationship Type="http://schemas.openxmlformats.org/officeDocument/2006/relationships/hyperlink" Target="#'Sprints'!A67" TargetMode="External" Id="rId1432"/><Relationship Type="http://schemas.openxmlformats.org/officeDocument/2006/relationships/hyperlink" Target="#'Vers&#245;es'!A17" TargetMode="External" Id="rId1433"/><Relationship Type="http://schemas.openxmlformats.org/officeDocument/2006/relationships/hyperlink" Target="#'Sprints'!A67" TargetMode="External" Id="rId1434"/><Relationship Type="http://schemas.openxmlformats.org/officeDocument/2006/relationships/hyperlink" Target="#'Vers&#245;es'!A17" TargetMode="External" Id="rId1435"/><Relationship Type="http://schemas.openxmlformats.org/officeDocument/2006/relationships/hyperlink" Target="#'Sprints'!A67" TargetMode="External" Id="rId1436"/><Relationship Type="http://schemas.openxmlformats.org/officeDocument/2006/relationships/hyperlink" Target="#'Vers&#245;es'!A17" TargetMode="External" Id="rId1437"/><Relationship Type="http://schemas.openxmlformats.org/officeDocument/2006/relationships/hyperlink" Target="#'Sprints'!A67" TargetMode="External" Id="rId1438"/><Relationship Type="http://schemas.openxmlformats.org/officeDocument/2006/relationships/hyperlink" Target="#'Vers&#245;es'!A17" TargetMode="External" Id="rId1439"/><Relationship Type="http://schemas.openxmlformats.org/officeDocument/2006/relationships/hyperlink" Target="#'Sprints'!A67" TargetMode="External" Id="rId1440"/><Relationship Type="http://schemas.openxmlformats.org/officeDocument/2006/relationships/hyperlink" Target="#'Vers&#245;es'!A17" TargetMode="External" Id="rId1441"/><Relationship Type="http://schemas.openxmlformats.org/officeDocument/2006/relationships/hyperlink" Target="#'Sprints'!A67" TargetMode="External" Id="rId1442"/><Relationship Type="http://schemas.openxmlformats.org/officeDocument/2006/relationships/hyperlink" Target="#'Vers&#245;es'!A17" TargetMode="External" Id="rId1443"/><Relationship Type="http://schemas.openxmlformats.org/officeDocument/2006/relationships/hyperlink" Target="#'Sprints'!A67" TargetMode="External" Id="rId1444"/><Relationship Type="http://schemas.openxmlformats.org/officeDocument/2006/relationships/hyperlink" Target="#'Vers&#245;es'!A17" TargetMode="External" Id="rId1445"/><Relationship Type="http://schemas.openxmlformats.org/officeDocument/2006/relationships/hyperlink" Target="#'Sprints'!A67" TargetMode="External" Id="rId1446"/><Relationship Type="http://schemas.openxmlformats.org/officeDocument/2006/relationships/hyperlink" Target="#'Vers&#245;es'!A17" TargetMode="External" Id="rId1447"/><Relationship Type="http://schemas.openxmlformats.org/officeDocument/2006/relationships/hyperlink" Target="#'Sprints'!A67" TargetMode="External" Id="rId1448"/><Relationship Type="http://schemas.openxmlformats.org/officeDocument/2006/relationships/hyperlink" Target="#'Vers&#245;es'!A17" TargetMode="External" Id="rId1449"/><Relationship Type="http://schemas.openxmlformats.org/officeDocument/2006/relationships/hyperlink" Target="#'Sprints'!A67" TargetMode="External" Id="rId1450"/><Relationship Type="http://schemas.openxmlformats.org/officeDocument/2006/relationships/hyperlink" Target="#'Vers&#245;es'!A17" TargetMode="External" Id="rId1451"/><Relationship Type="http://schemas.openxmlformats.org/officeDocument/2006/relationships/hyperlink" Target="#'Sprints'!A67" TargetMode="External" Id="rId1452"/><Relationship Type="http://schemas.openxmlformats.org/officeDocument/2006/relationships/hyperlink" Target="#'Vers&#245;es'!A18" TargetMode="External" Id="rId1453"/><Relationship Type="http://schemas.openxmlformats.org/officeDocument/2006/relationships/hyperlink" Target="#'Sprints'!A68" TargetMode="External" Id="rId1454"/><Relationship Type="http://schemas.openxmlformats.org/officeDocument/2006/relationships/hyperlink" Target="#'Vers&#245;es'!A18" TargetMode="External" Id="rId1455"/><Relationship Type="http://schemas.openxmlformats.org/officeDocument/2006/relationships/hyperlink" Target="#'Sprints'!A68" TargetMode="External" Id="rId1456"/><Relationship Type="http://schemas.openxmlformats.org/officeDocument/2006/relationships/hyperlink" Target="#'Vers&#245;es'!A18" TargetMode="External" Id="rId1457"/><Relationship Type="http://schemas.openxmlformats.org/officeDocument/2006/relationships/hyperlink" Target="#'Sprints'!A68" TargetMode="External" Id="rId1458"/><Relationship Type="http://schemas.openxmlformats.org/officeDocument/2006/relationships/hyperlink" Target="#'Vers&#245;es'!A18" TargetMode="External" Id="rId1459"/><Relationship Type="http://schemas.openxmlformats.org/officeDocument/2006/relationships/hyperlink" Target="#'Sprints'!A68" TargetMode="External" Id="rId1460"/><Relationship Type="http://schemas.openxmlformats.org/officeDocument/2006/relationships/hyperlink" Target="#'Vers&#245;es'!A18" TargetMode="External" Id="rId1461"/><Relationship Type="http://schemas.openxmlformats.org/officeDocument/2006/relationships/hyperlink" Target="#'Sprints'!A68" TargetMode="External" Id="rId1462"/><Relationship Type="http://schemas.openxmlformats.org/officeDocument/2006/relationships/hyperlink" Target="#'Vers&#245;es'!A18" TargetMode="External" Id="rId1463"/><Relationship Type="http://schemas.openxmlformats.org/officeDocument/2006/relationships/hyperlink" Target="#'Sprints'!A68" TargetMode="External" Id="rId1464"/><Relationship Type="http://schemas.openxmlformats.org/officeDocument/2006/relationships/hyperlink" Target="#'Vers&#245;es'!A18" TargetMode="External" Id="rId1465"/><Relationship Type="http://schemas.openxmlformats.org/officeDocument/2006/relationships/hyperlink" Target="#'Sprints'!A68" TargetMode="External" Id="rId1466"/><Relationship Type="http://schemas.openxmlformats.org/officeDocument/2006/relationships/hyperlink" Target="#'Vers&#245;es'!A18" TargetMode="External" Id="rId1467"/><Relationship Type="http://schemas.openxmlformats.org/officeDocument/2006/relationships/hyperlink" Target="#'Sprints'!A68" TargetMode="External" Id="rId1468"/><Relationship Type="http://schemas.openxmlformats.org/officeDocument/2006/relationships/hyperlink" Target="#'Vers&#245;es'!A18" TargetMode="External" Id="rId1469"/><Relationship Type="http://schemas.openxmlformats.org/officeDocument/2006/relationships/hyperlink" Target="#'Sprints'!A68" TargetMode="External" Id="rId1470"/><Relationship Type="http://schemas.openxmlformats.org/officeDocument/2006/relationships/hyperlink" Target="#'Vers&#245;es'!A18" TargetMode="External" Id="rId1471"/><Relationship Type="http://schemas.openxmlformats.org/officeDocument/2006/relationships/hyperlink" Target="#'Sprints'!A68" TargetMode="External" Id="rId1472"/><Relationship Type="http://schemas.openxmlformats.org/officeDocument/2006/relationships/hyperlink" Target="#'Vers&#245;es'!A18" TargetMode="External" Id="rId1473"/><Relationship Type="http://schemas.openxmlformats.org/officeDocument/2006/relationships/hyperlink" Target="#'Sprints'!A68" TargetMode="External" Id="rId1474"/><Relationship Type="http://schemas.openxmlformats.org/officeDocument/2006/relationships/hyperlink" Target="#'Vers&#245;es'!A18" TargetMode="External" Id="rId1475"/><Relationship Type="http://schemas.openxmlformats.org/officeDocument/2006/relationships/hyperlink" Target="#'Sprints'!A69" TargetMode="External" Id="rId1476"/><Relationship Type="http://schemas.openxmlformats.org/officeDocument/2006/relationships/hyperlink" Target="#'Vers&#245;es'!A18" TargetMode="External" Id="rId1477"/><Relationship Type="http://schemas.openxmlformats.org/officeDocument/2006/relationships/hyperlink" Target="#'Sprints'!A69" TargetMode="External" Id="rId1478"/><Relationship Type="http://schemas.openxmlformats.org/officeDocument/2006/relationships/hyperlink" Target="#'Vers&#245;es'!A18" TargetMode="External" Id="rId1479"/><Relationship Type="http://schemas.openxmlformats.org/officeDocument/2006/relationships/hyperlink" Target="#'Sprints'!A69" TargetMode="External" Id="rId1480"/><Relationship Type="http://schemas.openxmlformats.org/officeDocument/2006/relationships/hyperlink" Target="#'Vers&#245;es'!A18" TargetMode="External" Id="rId1481"/><Relationship Type="http://schemas.openxmlformats.org/officeDocument/2006/relationships/hyperlink" Target="#'Sprints'!A69" TargetMode="External" Id="rId1482"/><Relationship Type="http://schemas.openxmlformats.org/officeDocument/2006/relationships/hyperlink" Target="#'Vers&#245;es'!A18" TargetMode="External" Id="rId1483"/><Relationship Type="http://schemas.openxmlformats.org/officeDocument/2006/relationships/hyperlink" Target="#'Sprints'!A69" TargetMode="External" Id="rId1484"/><Relationship Type="http://schemas.openxmlformats.org/officeDocument/2006/relationships/hyperlink" Target="#'Vers&#245;es'!A18" TargetMode="External" Id="rId1485"/><Relationship Type="http://schemas.openxmlformats.org/officeDocument/2006/relationships/hyperlink" Target="#'Sprints'!A69" TargetMode="External" Id="rId1486"/><Relationship Type="http://schemas.openxmlformats.org/officeDocument/2006/relationships/hyperlink" Target="#'Vers&#245;es'!A18" TargetMode="External" Id="rId1487"/><Relationship Type="http://schemas.openxmlformats.org/officeDocument/2006/relationships/hyperlink" Target="#'Sprints'!A69" TargetMode="External" Id="rId1488"/><Relationship Type="http://schemas.openxmlformats.org/officeDocument/2006/relationships/hyperlink" Target="#'Vers&#245;es'!A18" TargetMode="External" Id="rId1489"/><Relationship Type="http://schemas.openxmlformats.org/officeDocument/2006/relationships/hyperlink" Target="#'Sprints'!A69" TargetMode="External" Id="rId1490"/><Relationship Type="http://schemas.openxmlformats.org/officeDocument/2006/relationships/hyperlink" Target="#'Vers&#245;es'!A18" TargetMode="External" Id="rId1491"/><Relationship Type="http://schemas.openxmlformats.org/officeDocument/2006/relationships/hyperlink" Target="#'Sprints'!A69" TargetMode="External" Id="rId1492"/><Relationship Type="http://schemas.openxmlformats.org/officeDocument/2006/relationships/hyperlink" Target="#'Vers&#245;es'!A18" TargetMode="External" Id="rId1493"/><Relationship Type="http://schemas.openxmlformats.org/officeDocument/2006/relationships/hyperlink" Target="#'Sprints'!A69" TargetMode="External" Id="rId1494"/><Relationship Type="http://schemas.openxmlformats.org/officeDocument/2006/relationships/hyperlink" Target="#'Vers&#245;es'!A18" TargetMode="External" Id="rId1495"/><Relationship Type="http://schemas.openxmlformats.org/officeDocument/2006/relationships/hyperlink" Target="#'Sprints'!A69" TargetMode="External" Id="rId1496"/><Relationship Type="http://schemas.openxmlformats.org/officeDocument/2006/relationships/hyperlink" Target="#'Vers&#245;es'!A18" TargetMode="External" Id="rId1497"/><Relationship Type="http://schemas.openxmlformats.org/officeDocument/2006/relationships/hyperlink" Target="#'Sprints'!A70" TargetMode="External" Id="rId1498"/><Relationship Type="http://schemas.openxmlformats.org/officeDocument/2006/relationships/hyperlink" Target="#'Vers&#245;es'!A18" TargetMode="External" Id="rId1499"/><Relationship Type="http://schemas.openxmlformats.org/officeDocument/2006/relationships/hyperlink" Target="#'Sprints'!A70" TargetMode="External" Id="rId1500"/><Relationship Type="http://schemas.openxmlformats.org/officeDocument/2006/relationships/hyperlink" Target="#'Vers&#245;es'!A18" TargetMode="External" Id="rId1501"/><Relationship Type="http://schemas.openxmlformats.org/officeDocument/2006/relationships/hyperlink" Target="#'Sprints'!A70" TargetMode="External" Id="rId1502"/><Relationship Type="http://schemas.openxmlformats.org/officeDocument/2006/relationships/hyperlink" Target="#'Vers&#245;es'!A18" TargetMode="External" Id="rId1503"/><Relationship Type="http://schemas.openxmlformats.org/officeDocument/2006/relationships/hyperlink" Target="#'Sprints'!A70" TargetMode="External" Id="rId1504"/><Relationship Type="http://schemas.openxmlformats.org/officeDocument/2006/relationships/hyperlink" Target="#'Vers&#245;es'!A18" TargetMode="External" Id="rId1505"/><Relationship Type="http://schemas.openxmlformats.org/officeDocument/2006/relationships/hyperlink" Target="#'Sprints'!A70" TargetMode="External" Id="rId1506"/><Relationship Type="http://schemas.openxmlformats.org/officeDocument/2006/relationships/hyperlink" Target="#'Vers&#245;es'!A18" TargetMode="External" Id="rId1507"/><Relationship Type="http://schemas.openxmlformats.org/officeDocument/2006/relationships/hyperlink" Target="#'Sprints'!A70" TargetMode="External" Id="rId1508"/><Relationship Type="http://schemas.openxmlformats.org/officeDocument/2006/relationships/hyperlink" Target="#'Vers&#245;es'!A18" TargetMode="External" Id="rId1509"/><Relationship Type="http://schemas.openxmlformats.org/officeDocument/2006/relationships/hyperlink" Target="#'Sprints'!A70" TargetMode="External" Id="rId1510"/><Relationship Type="http://schemas.openxmlformats.org/officeDocument/2006/relationships/hyperlink" Target="#'Vers&#245;es'!A18" TargetMode="External" Id="rId1511"/><Relationship Type="http://schemas.openxmlformats.org/officeDocument/2006/relationships/hyperlink" Target="#'Sprints'!A70" TargetMode="External" Id="rId1512"/><Relationship Type="http://schemas.openxmlformats.org/officeDocument/2006/relationships/hyperlink" Target="#'Vers&#245;es'!A18" TargetMode="External" Id="rId1513"/><Relationship Type="http://schemas.openxmlformats.org/officeDocument/2006/relationships/hyperlink" Target="#'Sprints'!A70" TargetMode="External" Id="rId1514"/><Relationship Type="http://schemas.openxmlformats.org/officeDocument/2006/relationships/hyperlink" Target="#'Vers&#245;es'!A18" TargetMode="External" Id="rId1515"/><Relationship Type="http://schemas.openxmlformats.org/officeDocument/2006/relationships/hyperlink" Target="#'Sprints'!A70" TargetMode="External" Id="rId1516"/><Relationship Type="http://schemas.openxmlformats.org/officeDocument/2006/relationships/hyperlink" Target="#'Vers&#245;es'!A18" TargetMode="External" Id="rId1517"/><Relationship Type="http://schemas.openxmlformats.org/officeDocument/2006/relationships/hyperlink" Target="#'Sprints'!A70" TargetMode="External" Id="rId1518"/><Relationship Type="http://schemas.openxmlformats.org/officeDocument/2006/relationships/hyperlink" Target="#'Vers&#245;es'!A18" TargetMode="External" Id="rId1519"/><Relationship Type="http://schemas.openxmlformats.org/officeDocument/2006/relationships/hyperlink" Target="#'Sprints'!A71" TargetMode="External" Id="rId1520"/><Relationship Type="http://schemas.openxmlformats.org/officeDocument/2006/relationships/hyperlink" Target="#'Vers&#245;es'!A18" TargetMode="External" Id="rId1521"/><Relationship Type="http://schemas.openxmlformats.org/officeDocument/2006/relationships/hyperlink" Target="#'Sprints'!A71" TargetMode="External" Id="rId1522"/><Relationship Type="http://schemas.openxmlformats.org/officeDocument/2006/relationships/hyperlink" Target="#'Vers&#245;es'!A18" TargetMode="External" Id="rId1523"/><Relationship Type="http://schemas.openxmlformats.org/officeDocument/2006/relationships/hyperlink" Target="#'Sprints'!A71" TargetMode="External" Id="rId1524"/><Relationship Type="http://schemas.openxmlformats.org/officeDocument/2006/relationships/hyperlink" Target="#'Vers&#245;es'!A18" TargetMode="External" Id="rId1525"/><Relationship Type="http://schemas.openxmlformats.org/officeDocument/2006/relationships/hyperlink" Target="#'Sprints'!A71" TargetMode="External" Id="rId1526"/><Relationship Type="http://schemas.openxmlformats.org/officeDocument/2006/relationships/hyperlink" Target="#'Vers&#245;es'!A18" TargetMode="External" Id="rId1527"/><Relationship Type="http://schemas.openxmlformats.org/officeDocument/2006/relationships/hyperlink" Target="#'Sprints'!A71" TargetMode="External" Id="rId1528"/><Relationship Type="http://schemas.openxmlformats.org/officeDocument/2006/relationships/hyperlink" Target="#'Vers&#245;es'!A18" TargetMode="External" Id="rId1529"/><Relationship Type="http://schemas.openxmlformats.org/officeDocument/2006/relationships/hyperlink" Target="#'Sprints'!A71" TargetMode="External" Id="rId1530"/><Relationship Type="http://schemas.openxmlformats.org/officeDocument/2006/relationships/hyperlink" Target="#'Vers&#245;es'!A18" TargetMode="External" Id="rId1531"/><Relationship Type="http://schemas.openxmlformats.org/officeDocument/2006/relationships/hyperlink" Target="#'Sprints'!A71" TargetMode="External" Id="rId1532"/><Relationship Type="http://schemas.openxmlformats.org/officeDocument/2006/relationships/hyperlink" Target="#'Vers&#245;es'!A18" TargetMode="External" Id="rId1533"/><Relationship Type="http://schemas.openxmlformats.org/officeDocument/2006/relationships/hyperlink" Target="#'Sprints'!A71" TargetMode="External" Id="rId1534"/><Relationship Type="http://schemas.openxmlformats.org/officeDocument/2006/relationships/hyperlink" Target="#'Vers&#245;es'!A18" TargetMode="External" Id="rId1535"/><Relationship Type="http://schemas.openxmlformats.org/officeDocument/2006/relationships/hyperlink" Target="#'Sprints'!A71" TargetMode="External" Id="rId1536"/><Relationship Type="http://schemas.openxmlformats.org/officeDocument/2006/relationships/hyperlink" Target="#'Vers&#245;es'!A18" TargetMode="External" Id="rId1537"/><Relationship Type="http://schemas.openxmlformats.org/officeDocument/2006/relationships/hyperlink" Target="#'Sprints'!A71" TargetMode="External" Id="rId1538"/><Relationship Type="http://schemas.openxmlformats.org/officeDocument/2006/relationships/hyperlink" Target="#'Vers&#245;es'!A18" TargetMode="External" Id="rId1539"/><Relationship Type="http://schemas.openxmlformats.org/officeDocument/2006/relationships/hyperlink" Target="#'Sprints'!A71" TargetMode="External" Id="rId1540"/><Relationship Type="http://schemas.openxmlformats.org/officeDocument/2006/relationships/hyperlink" Target="#'Vers&#245;es'!A19" TargetMode="External" Id="rId1541"/><Relationship Type="http://schemas.openxmlformats.org/officeDocument/2006/relationships/hyperlink" Target="#'Sprints'!A72" TargetMode="External" Id="rId1542"/><Relationship Type="http://schemas.openxmlformats.org/officeDocument/2006/relationships/hyperlink" Target="#'Vers&#245;es'!A19" TargetMode="External" Id="rId1543"/><Relationship Type="http://schemas.openxmlformats.org/officeDocument/2006/relationships/hyperlink" Target="#'Sprints'!A72" TargetMode="External" Id="rId1544"/><Relationship Type="http://schemas.openxmlformats.org/officeDocument/2006/relationships/hyperlink" Target="#'Vers&#245;es'!A19" TargetMode="External" Id="rId1545"/><Relationship Type="http://schemas.openxmlformats.org/officeDocument/2006/relationships/hyperlink" Target="#'Sprints'!A72" TargetMode="External" Id="rId1546"/><Relationship Type="http://schemas.openxmlformats.org/officeDocument/2006/relationships/hyperlink" Target="#'Vers&#245;es'!A19" TargetMode="External" Id="rId1547"/><Relationship Type="http://schemas.openxmlformats.org/officeDocument/2006/relationships/hyperlink" Target="#'Sprints'!A72" TargetMode="External" Id="rId1548"/><Relationship Type="http://schemas.openxmlformats.org/officeDocument/2006/relationships/hyperlink" Target="#'Vers&#245;es'!A19" TargetMode="External" Id="rId1549"/><Relationship Type="http://schemas.openxmlformats.org/officeDocument/2006/relationships/hyperlink" Target="#'Sprints'!A72" TargetMode="External" Id="rId1550"/><Relationship Type="http://schemas.openxmlformats.org/officeDocument/2006/relationships/hyperlink" Target="#'Vers&#245;es'!A19" TargetMode="External" Id="rId1551"/><Relationship Type="http://schemas.openxmlformats.org/officeDocument/2006/relationships/hyperlink" Target="#'Sprints'!A72" TargetMode="External" Id="rId1552"/><Relationship Type="http://schemas.openxmlformats.org/officeDocument/2006/relationships/hyperlink" Target="#'Vers&#245;es'!A19" TargetMode="External" Id="rId1553"/><Relationship Type="http://schemas.openxmlformats.org/officeDocument/2006/relationships/hyperlink" Target="#'Sprints'!A72" TargetMode="External" Id="rId1554"/><Relationship Type="http://schemas.openxmlformats.org/officeDocument/2006/relationships/hyperlink" Target="#'Vers&#245;es'!A19" TargetMode="External" Id="rId1555"/><Relationship Type="http://schemas.openxmlformats.org/officeDocument/2006/relationships/hyperlink" Target="#'Sprints'!A72" TargetMode="External" Id="rId1556"/><Relationship Type="http://schemas.openxmlformats.org/officeDocument/2006/relationships/hyperlink" Target="#'Vers&#245;es'!A19" TargetMode="External" Id="rId1557"/><Relationship Type="http://schemas.openxmlformats.org/officeDocument/2006/relationships/hyperlink" Target="#'Sprints'!A72" TargetMode="External" Id="rId1558"/><Relationship Type="http://schemas.openxmlformats.org/officeDocument/2006/relationships/hyperlink" Target="#'Vers&#245;es'!A19" TargetMode="External" Id="rId1559"/><Relationship Type="http://schemas.openxmlformats.org/officeDocument/2006/relationships/hyperlink" Target="#'Sprints'!A72" TargetMode="External" Id="rId1560"/><Relationship Type="http://schemas.openxmlformats.org/officeDocument/2006/relationships/hyperlink" Target="#'Vers&#245;es'!A19" TargetMode="External" Id="rId1561"/><Relationship Type="http://schemas.openxmlformats.org/officeDocument/2006/relationships/hyperlink" Target="#'Sprints'!A72" TargetMode="External" Id="rId1562"/><Relationship Type="http://schemas.openxmlformats.org/officeDocument/2006/relationships/hyperlink" Target="#'Vers&#245;es'!A20" TargetMode="External" Id="rId1563"/><Relationship Type="http://schemas.openxmlformats.org/officeDocument/2006/relationships/hyperlink" Target="#'Sprints'!A73" TargetMode="External" Id="rId1564"/><Relationship Type="http://schemas.openxmlformats.org/officeDocument/2006/relationships/hyperlink" Target="#'Vers&#245;es'!A20" TargetMode="External" Id="rId1565"/><Relationship Type="http://schemas.openxmlformats.org/officeDocument/2006/relationships/hyperlink" Target="#'Sprints'!A73" TargetMode="External" Id="rId1566"/><Relationship Type="http://schemas.openxmlformats.org/officeDocument/2006/relationships/hyperlink" Target="#'Vers&#245;es'!A20" TargetMode="External" Id="rId1567"/><Relationship Type="http://schemas.openxmlformats.org/officeDocument/2006/relationships/hyperlink" Target="#'Sprints'!A73" TargetMode="External" Id="rId1568"/><Relationship Type="http://schemas.openxmlformats.org/officeDocument/2006/relationships/hyperlink" Target="#'Vers&#245;es'!A20" TargetMode="External" Id="rId1569"/><Relationship Type="http://schemas.openxmlformats.org/officeDocument/2006/relationships/hyperlink" Target="#'Sprints'!A73" TargetMode="External" Id="rId1570"/><Relationship Type="http://schemas.openxmlformats.org/officeDocument/2006/relationships/hyperlink" Target="#'Vers&#245;es'!A20" TargetMode="External" Id="rId1571"/><Relationship Type="http://schemas.openxmlformats.org/officeDocument/2006/relationships/hyperlink" Target="#'Sprints'!A73" TargetMode="External" Id="rId1572"/><Relationship Type="http://schemas.openxmlformats.org/officeDocument/2006/relationships/hyperlink" Target="#'Vers&#245;es'!A20" TargetMode="External" Id="rId1573"/><Relationship Type="http://schemas.openxmlformats.org/officeDocument/2006/relationships/hyperlink" Target="#'Sprints'!A73" TargetMode="External" Id="rId1574"/><Relationship Type="http://schemas.openxmlformats.org/officeDocument/2006/relationships/hyperlink" Target="#'Vers&#245;es'!A20" TargetMode="External" Id="rId1575"/><Relationship Type="http://schemas.openxmlformats.org/officeDocument/2006/relationships/hyperlink" Target="#'Sprints'!A73" TargetMode="External" Id="rId1576"/><Relationship Type="http://schemas.openxmlformats.org/officeDocument/2006/relationships/hyperlink" Target="#'Vers&#245;es'!A20" TargetMode="External" Id="rId1577"/><Relationship Type="http://schemas.openxmlformats.org/officeDocument/2006/relationships/hyperlink" Target="#'Sprints'!A73" TargetMode="External" Id="rId1578"/><Relationship Type="http://schemas.openxmlformats.org/officeDocument/2006/relationships/hyperlink" Target="#'Vers&#245;es'!A20" TargetMode="External" Id="rId1579"/><Relationship Type="http://schemas.openxmlformats.org/officeDocument/2006/relationships/hyperlink" Target="#'Sprints'!A73" TargetMode="External" Id="rId1580"/><Relationship Type="http://schemas.openxmlformats.org/officeDocument/2006/relationships/hyperlink" Target="#'Vers&#245;es'!A20" TargetMode="External" Id="rId1581"/><Relationship Type="http://schemas.openxmlformats.org/officeDocument/2006/relationships/hyperlink" Target="#'Sprints'!A73" TargetMode="External" Id="rId1582"/><Relationship Type="http://schemas.openxmlformats.org/officeDocument/2006/relationships/hyperlink" Target="#'Vers&#245;es'!A20" TargetMode="External" Id="rId1583"/><Relationship Type="http://schemas.openxmlformats.org/officeDocument/2006/relationships/hyperlink" Target="#'Sprints'!A73" TargetMode="External" Id="rId1584"/><Relationship Type="http://schemas.openxmlformats.org/officeDocument/2006/relationships/table" Target="/xl/tables/table1.xml" Id="rId1585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Tarefas'!B12" TargetMode="External" Id="rId1"/><Relationship Type="http://schemas.openxmlformats.org/officeDocument/2006/relationships/hyperlink" Target="#'Tarefas'!B23" TargetMode="External" Id="rId2"/><Relationship Type="http://schemas.openxmlformats.org/officeDocument/2006/relationships/hyperlink" Target="#'Tarefas'!B34" TargetMode="External" Id="rId3"/><Relationship Type="http://schemas.openxmlformats.org/officeDocument/2006/relationships/hyperlink" Target="#'Tarefas'!B45" TargetMode="External" Id="rId4"/><Relationship Type="http://schemas.openxmlformats.org/officeDocument/2006/relationships/hyperlink" Target="#'Tarefas'!B56" TargetMode="External" Id="rId5"/><Relationship Type="http://schemas.openxmlformats.org/officeDocument/2006/relationships/hyperlink" Target="#'Tarefas'!B67" TargetMode="External" Id="rId6"/><Relationship Type="http://schemas.openxmlformats.org/officeDocument/2006/relationships/hyperlink" Target="#'Tarefas'!B78" TargetMode="External" Id="rId7"/><Relationship Type="http://schemas.openxmlformats.org/officeDocument/2006/relationships/hyperlink" Target="#'Tarefas'!B89" TargetMode="External" Id="rId8"/><Relationship Type="http://schemas.openxmlformats.org/officeDocument/2006/relationships/hyperlink" Target="#'Tarefas'!B100" TargetMode="External" Id="rId9"/><Relationship Type="http://schemas.openxmlformats.org/officeDocument/2006/relationships/hyperlink" Target="#'Tarefas'!B111" TargetMode="External" Id="rId10"/><Relationship Type="http://schemas.openxmlformats.org/officeDocument/2006/relationships/hyperlink" Target="#'Tarefas'!B122" TargetMode="External" Id="rId11"/><Relationship Type="http://schemas.openxmlformats.org/officeDocument/2006/relationships/hyperlink" Target="#'Tarefas'!B133" TargetMode="External" Id="rId12"/><Relationship Type="http://schemas.openxmlformats.org/officeDocument/2006/relationships/hyperlink" Target="#'Tarefas'!B144" TargetMode="External" Id="rId13"/><Relationship Type="http://schemas.openxmlformats.org/officeDocument/2006/relationships/hyperlink" Target="#'Tarefas'!B155" TargetMode="External" Id="rId14"/><Relationship Type="http://schemas.openxmlformats.org/officeDocument/2006/relationships/hyperlink" Target="#'Tarefas'!B166" TargetMode="External" Id="rId15"/><Relationship Type="http://schemas.openxmlformats.org/officeDocument/2006/relationships/hyperlink" Target="#'Tarefas'!B177" TargetMode="External" Id="rId16"/><Relationship Type="http://schemas.openxmlformats.org/officeDocument/2006/relationships/hyperlink" Target="#'Tarefas'!B188" TargetMode="External" Id="rId17"/><Relationship Type="http://schemas.openxmlformats.org/officeDocument/2006/relationships/hyperlink" Target="#'Tarefas'!B199" TargetMode="External" Id="rId18"/><Relationship Type="http://schemas.openxmlformats.org/officeDocument/2006/relationships/hyperlink" Target="#'Tarefas'!B210" TargetMode="External" Id="rId19"/><Relationship Type="http://schemas.openxmlformats.org/officeDocument/2006/relationships/hyperlink" Target="#'Tarefas'!B221" TargetMode="External" Id="rId20"/><Relationship Type="http://schemas.openxmlformats.org/officeDocument/2006/relationships/hyperlink" Target="#'Tarefas'!B232" TargetMode="External" Id="rId21"/><Relationship Type="http://schemas.openxmlformats.org/officeDocument/2006/relationships/hyperlink" Target="#'Tarefas'!B243" TargetMode="External" Id="rId22"/><Relationship Type="http://schemas.openxmlformats.org/officeDocument/2006/relationships/hyperlink" Target="#'Tarefas'!B254" TargetMode="External" Id="rId23"/><Relationship Type="http://schemas.openxmlformats.org/officeDocument/2006/relationships/hyperlink" Target="#'Tarefas'!B265" TargetMode="External" Id="rId24"/><Relationship Type="http://schemas.openxmlformats.org/officeDocument/2006/relationships/hyperlink" Target="#'Tarefas'!B276" TargetMode="External" Id="rId25"/><Relationship Type="http://schemas.openxmlformats.org/officeDocument/2006/relationships/hyperlink" Target="#'Tarefas'!B287" TargetMode="External" Id="rId26"/><Relationship Type="http://schemas.openxmlformats.org/officeDocument/2006/relationships/hyperlink" Target="#'Tarefas'!B298" TargetMode="External" Id="rId27"/><Relationship Type="http://schemas.openxmlformats.org/officeDocument/2006/relationships/hyperlink" Target="#'Tarefas'!B309" TargetMode="External" Id="rId28"/><Relationship Type="http://schemas.openxmlformats.org/officeDocument/2006/relationships/hyperlink" Target="#'Tarefas'!B320" TargetMode="External" Id="rId29"/><Relationship Type="http://schemas.openxmlformats.org/officeDocument/2006/relationships/hyperlink" Target="#'Tarefas'!B331" TargetMode="External" Id="rId30"/><Relationship Type="http://schemas.openxmlformats.org/officeDocument/2006/relationships/hyperlink" Target="#'Tarefas'!B342" TargetMode="External" Id="rId31"/><Relationship Type="http://schemas.openxmlformats.org/officeDocument/2006/relationships/hyperlink" Target="#'Tarefas'!B353" TargetMode="External" Id="rId32"/><Relationship Type="http://schemas.openxmlformats.org/officeDocument/2006/relationships/hyperlink" Target="#'Tarefas'!B364" TargetMode="External" Id="rId33"/><Relationship Type="http://schemas.openxmlformats.org/officeDocument/2006/relationships/hyperlink" Target="#'Tarefas'!B375" TargetMode="External" Id="rId34"/><Relationship Type="http://schemas.openxmlformats.org/officeDocument/2006/relationships/hyperlink" Target="#'Tarefas'!B386" TargetMode="External" Id="rId35"/><Relationship Type="http://schemas.openxmlformats.org/officeDocument/2006/relationships/hyperlink" Target="#'Tarefas'!B397" TargetMode="External" Id="rId36"/><Relationship Type="http://schemas.openxmlformats.org/officeDocument/2006/relationships/hyperlink" Target="#'Tarefas'!B408" TargetMode="External" Id="rId37"/><Relationship Type="http://schemas.openxmlformats.org/officeDocument/2006/relationships/hyperlink" Target="#'Tarefas'!B419" TargetMode="External" Id="rId38"/><Relationship Type="http://schemas.openxmlformats.org/officeDocument/2006/relationships/hyperlink" Target="#'Tarefas'!B430" TargetMode="External" Id="rId39"/><Relationship Type="http://schemas.openxmlformats.org/officeDocument/2006/relationships/hyperlink" Target="#'Tarefas'!B441" TargetMode="External" Id="rId40"/><Relationship Type="http://schemas.openxmlformats.org/officeDocument/2006/relationships/hyperlink" Target="#'Tarefas'!B452" TargetMode="External" Id="rId41"/><Relationship Type="http://schemas.openxmlformats.org/officeDocument/2006/relationships/hyperlink" Target="#'Tarefas'!B463" TargetMode="External" Id="rId42"/><Relationship Type="http://schemas.openxmlformats.org/officeDocument/2006/relationships/hyperlink" Target="#'Tarefas'!B474" TargetMode="External" Id="rId43"/><Relationship Type="http://schemas.openxmlformats.org/officeDocument/2006/relationships/hyperlink" Target="#'Tarefas'!B485" TargetMode="External" Id="rId44"/><Relationship Type="http://schemas.openxmlformats.org/officeDocument/2006/relationships/hyperlink" Target="#'Tarefas'!B496" TargetMode="External" Id="rId45"/><Relationship Type="http://schemas.openxmlformats.org/officeDocument/2006/relationships/hyperlink" Target="#'Tarefas'!B507" TargetMode="External" Id="rId46"/><Relationship Type="http://schemas.openxmlformats.org/officeDocument/2006/relationships/hyperlink" Target="#'Tarefas'!B518" TargetMode="External" Id="rId47"/><Relationship Type="http://schemas.openxmlformats.org/officeDocument/2006/relationships/hyperlink" Target="#'Tarefas'!B529" TargetMode="External" Id="rId48"/><Relationship Type="http://schemas.openxmlformats.org/officeDocument/2006/relationships/hyperlink" Target="#'Tarefas'!B540" TargetMode="External" Id="rId49"/><Relationship Type="http://schemas.openxmlformats.org/officeDocument/2006/relationships/hyperlink" Target="#'Tarefas'!B551" TargetMode="External" Id="rId50"/><Relationship Type="http://schemas.openxmlformats.org/officeDocument/2006/relationships/hyperlink" Target="#'Tarefas'!B562" TargetMode="External" Id="rId51"/><Relationship Type="http://schemas.openxmlformats.org/officeDocument/2006/relationships/hyperlink" Target="#'Tarefas'!B573" TargetMode="External" Id="rId52"/><Relationship Type="http://schemas.openxmlformats.org/officeDocument/2006/relationships/hyperlink" Target="#'Tarefas'!B584" TargetMode="External" Id="rId53"/><Relationship Type="http://schemas.openxmlformats.org/officeDocument/2006/relationships/hyperlink" Target="#'Tarefas'!B595" TargetMode="External" Id="rId54"/><Relationship Type="http://schemas.openxmlformats.org/officeDocument/2006/relationships/hyperlink" Target="#'Tarefas'!B606" TargetMode="External" Id="rId55"/><Relationship Type="http://schemas.openxmlformats.org/officeDocument/2006/relationships/hyperlink" Target="#'Tarefas'!B617" TargetMode="External" Id="rId56"/><Relationship Type="http://schemas.openxmlformats.org/officeDocument/2006/relationships/hyperlink" Target="#'Tarefas'!B628" TargetMode="External" Id="rId57"/><Relationship Type="http://schemas.openxmlformats.org/officeDocument/2006/relationships/hyperlink" Target="#'Tarefas'!B639" TargetMode="External" Id="rId58"/><Relationship Type="http://schemas.openxmlformats.org/officeDocument/2006/relationships/hyperlink" Target="#'Tarefas'!B650" TargetMode="External" Id="rId59"/><Relationship Type="http://schemas.openxmlformats.org/officeDocument/2006/relationships/hyperlink" Target="#'Tarefas'!B661" TargetMode="External" Id="rId60"/><Relationship Type="http://schemas.openxmlformats.org/officeDocument/2006/relationships/hyperlink" Target="#'Tarefas'!B672" TargetMode="External" Id="rId61"/><Relationship Type="http://schemas.openxmlformats.org/officeDocument/2006/relationships/hyperlink" Target="#'Tarefas'!B683" TargetMode="External" Id="rId62"/><Relationship Type="http://schemas.openxmlformats.org/officeDocument/2006/relationships/hyperlink" Target="#'Tarefas'!B694" TargetMode="External" Id="rId63"/><Relationship Type="http://schemas.openxmlformats.org/officeDocument/2006/relationships/hyperlink" Target="#'Tarefas'!B705" TargetMode="External" Id="rId64"/><Relationship Type="http://schemas.openxmlformats.org/officeDocument/2006/relationships/hyperlink" Target="#'Tarefas'!B716" TargetMode="External" Id="rId65"/><Relationship Type="http://schemas.openxmlformats.org/officeDocument/2006/relationships/hyperlink" Target="#'Tarefas'!B727" TargetMode="External" Id="rId66"/><Relationship Type="http://schemas.openxmlformats.org/officeDocument/2006/relationships/hyperlink" Target="#'Tarefas'!B738" TargetMode="External" Id="rId67"/><Relationship Type="http://schemas.openxmlformats.org/officeDocument/2006/relationships/hyperlink" Target="#'Tarefas'!B749" TargetMode="External" Id="rId68"/><Relationship Type="http://schemas.openxmlformats.org/officeDocument/2006/relationships/hyperlink" Target="#'Tarefas'!B760" TargetMode="External" Id="rId69"/><Relationship Type="http://schemas.openxmlformats.org/officeDocument/2006/relationships/hyperlink" Target="#'Tarefas'!B771" TargetMode="External" Id="rId70"/><Relationship Type="http://schemas.openxmlformats.org/officeDocument/2006/relationships/hyperlink" Target="#'Tarefas'!B782" TargetMode="External" Id="rId71"/><Relationship Type="http://schemas.openxmlformats.org/officeDocument/2006/relationships/hyperlink" Target="#'Tarefas'!B793" TargetMode="External" Id="rId72"/><Relationship Type="http://schemas.openxmlformats.org/officeDocument/2006/relationships/table" Target="/xl/tables/table3.xml" Id="rId7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toeverything/AFFiNE/tree/canary/blocksuite" TargetMode="External" Id="rId1"/><Relationship Type="http://schemas.openxmlformats.org/officeDocument/2006/relationships/hyperlink" Target="https://github.com/VectifyAI/PageIndex" TargetMode="External" Id="rId2"/><Relationship Type="http://schemas.openxmlformats.org/officeDocument/2006/relationships/hyperlink" Target="https://qdrant.tech/documentation/edge/" TargetMode="External" Id="rId3"/><Relationship Type="http://schemas.openxmlformats.org/officeDocument/2006/relationships/hyperlink" Target="https://docs.helix-db.com/database/helix-db/start-here/local-development/embedded-database" TargetMode="External" Id="rId4"/><Relationship Type="http://schemas.openxmlformats.org/officeDocument/2006/relationships/hyperlink" Target="https://docs.typesafe.ai/introduction" TargetMode="External" Id="rId5"/><Relationship Type="http://schemas.openxmlformats.org/officeDocument/2006/relationships/hyperlink" Target="https://github.com/docling-project/docling" TargetMode="External" Id="rId6"/><Relationship Type="http://schemas.openxmlformats.org/officeDocument/2006/relationships/hyperlink" Target="https://github.com/mozilla/readability" TargetMode="External" Id="rId7"/><Relationship Type="http://schemas.openxmlformats.org/officeDocument/2006/relationships/hyperlink" Target="https://github.com/searxng/searxng" TargetMode="External" Id="rId8"/><Relationship Type="http://schemas.openxmlformats.org/officeDocument/2006/relationships/hyperlink" Target="https://github.com/D4Vinci/Scrapling" TargetMode="External" Id="rId9"/><Relationship Type="http://schemas.openxmlformats.org/officeDocument/2006/relationships/hyperlink" Target="https://github.com/mudler/LocalAI" TargetMode="External" Id="rId10"/><Relationship Type="http://schemas.openxmlformats.org/officeDocument/2006/relationships/hyperlink" Target="Sandland-RFC-Integracao-e-Desconstrucao.md" TargetMode="External" Id="rId11"/><Relationship Type="http://schemas.openxmlformats.org/officeDocument/2006/relationships/table" Target="/xl/tables/table6.xml" Id="rId1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SANDLAND / PLANO DE IMPLEMENTAÇÃO</t>
        </is>
      </c>
    </row>
    <row r="2"/>
    <row r="4" ht="30" customHeight="1">
      <c r="A4" s="2" t="inlineStr">
        <is>
          <t>Modelo de trabalho</t>
        </is>
      </c>
      <c r="B4" s="3" t="inlineStr">
        <is>
          <t>Uma pessoa responsável + agentes de IA; WIP principal recomendado = 1.</t>
        </is>
      </c>
    </row>
    <row r="5" ht="30" customHeight="1">
      <c r="A5" s="2" t="inlineStr">
        <is>
          <t>Cadência</t>
        </is>
      </c>
      <c r="B5" s="3" t="inlineStr">
        <is>
          <t>Sprints por aceite, sem duração fixa. Não converter 72 sprints em 144 semanas.</t>
        </is>
      </c>
    </row>
    <row r="6" ht="30" customHeight="1">
      <c r="A6" s="2" t="inlineStr">
        <is>
          <t>Horizonte</t>
        </is>
      </c>
      <c r="B6" s="3" t="inlineStr">
        <is>
          <t>v1.0 completa; v1.1 maturação; v1.2/v2.0 evoluções propostas com ADRs explícitas.</t>
        </is>
      </c>
    </row>
    <row r="7" ht="30" customHeight="1">
      <c r="A7" s="2" t="inlineStr">
        <is>
          <t>Escala do plano</t>
        </is>
      </c>
      <c r="B7" s="3" t="inlineStr">
        <is>
          <t>72 sprints; 720 tarefas; 72 gates; 19 versões; 37 requisitos; 18 ADRs.</t>
        </is>
      </c>
    </row>
    <row r="8" ht="30" customHeight="1">
      <c r="A8" s="2" t="inlineStr">
        <is>
          <t>Estado inicial</t>
        </is>
      </c>
      <c r="B8" s="3" t="inlineStr">
        <is>
          <t>Planejamento. Nenhuma implementação, benchmark ou homologação do app foi realizada nesta entrega.</t>
        </is>
      </c>
    </row>
    <row r="9" ht="30" customHeight="1">
      <c r="A9" s="2" t="inlineStr">
        <is>
          <t>Como começar</t>
        </is>
      </c>
      <c r="B9" s="3" t="inlineStr">
        <is>
          <t>Abra Tarefas, filtre Sprint = S01 e siga SL-S01-01. Feche o gate somente com evidência e revisão humana.</t>
        </is>
      </c>
    </row>
    <row r="10" ht="30" customHeight="1">
      <c r="A10" s="2" t="inlineStr">
        <is>
          <t>Colunas editáveis</t>
        </is>
      </c>
      <c r="B10" s="3" t="inlineStr">
        <is>
          <t>Status, Responsável, Revisor humano, Data de aceite, Evidência obtida, ADR/justificativa e Observações.</t>
        </is>
      </c>
    </row>
    <row r="11" ht="30" customHeight="1">
      <c r="A11" s="2" t="inlineStr">
        <is>
          <t>Fechamento</t>
        </is>
      </c>
      <c r="B11" s="3" t="inlineStr">
        <is>
          <t>OK exige Concluído + revisor + data + evidência + dependências fechadas. PREENCHER CAMPOS NÃO PROVA A EVIDÊNCIA.</t>
        </is>
      </c>
    </row>
    <row r="12" ht="30" customHeight="1">
      <c r="A12" s="2" t="inlineStr">
        <is>
          <t>Dispensas</t>
        </is>
      </c>
      <c r="B12" s="3" t="inlineStr">
        <is>
          <t>Somente itens condicionais podem usar Dispensado (ADR), com justificativa/evidência/revisão. Invariantes essenciais não são dispensáveis.</t>
        </is>
      </c>
    </row>
    <row r="13" ht="30" customHeight="1">
      <c r="A13" s="2" t="inlineStr">
        <is>
          <t>Fórmulas</t>
        </is>
      </c>
      <c r="B13" s="3" t="inlineStr">
        <is>
          <t>Recalculadas ao abrir em Excel/LibreOffice. Previews podem não calcular fórmulas. Use o status inicial como planejado, não como progresso certificado.</t>
        </is>
      </c>
    </row>
    <row r="14" ht="30" customHeight="1">
      <c r="A14" s="2" t="inlineStr">
        <is>
          <t>Dependências</t>
        </is>
      </c>
      <c r="B14" s="3" t="inlineStr">
        <is>
          <t>IDs no nível de tarefa/gate. Ordem numérica é rota solo recomendada; dependências técnicas de sprints estão na aba Sprints.</t>
        </is>
      </c>
    </row>
    <row r="15" ht="30" customHeight="1">
      <c r="A15" s="2" t="inlineStr">
        <is>
          <t>Artefatos</t>
        </is>
      </c>
      <c r="B15" s="3" t="inlineStr">
        <is>
          <t>Caminhos listados são saídas futuras no repositório do app. Evidência exigida não significa evidência já produzida.</t>
        </is>
      </c>
    </row>
    <row r="16" ht="30" customHeight="1">
      <c r="A16" s="2" t="inlineStr">
        <is>
          <t>Motores</t>
        </is>
      </c>
      <c r="B16" s="3" t="inlineStr">
        <is>
          <t>Recortes upstream, não cópia de produtos completos. Um único backend Qdrant OU HelixDB em produção inicialmente.</t>
        </is>
      </c>
    </row>
    <row r="17" ht="30" customHeight="1">
      <c r="A17" s="2" t="inlineStr">
        <is>
          <t>Offline</t>
        </is>
      </c>
      <c r="B17" s="3" t="inlineStr">
        <is>
          <t>Jev/BYOK/web exigem autorização; operação local não depende de chave. Modelos/pacotes devem ser provisionados antes do uso desconectado.</t>
        </is>
      </c>
    </row>
    <row r="18" ht="30" customHeight="1">
      <c r="A18" s="2" t="inlineStr">
        <is>
          <t>Open source</t>
        </is>
      </c>
      <c r="B18" s="3" t="inlineStr">
        <is>
          <t>Projeto sem fins comerciais não elimina obrigações upstream ou custos de APIs. Licença open source reconhecida permite uso comercial de terceiros.</t>
        </is>
      </c>
    </row>
    <row r="19" ht="30" customHeight="1">
      <c r="A19" s="2" t="inlineStr">
        <is>
          <t>Prioridade</t>
        </is>
      </c>
      <c r="B19" s="3" t="inlineStr">
        <is>
          <t>P0/P1/P2 são relativas ao escopo da versão; um P0 de v2 não antecipa a v2 às dependências da v1.</t>
        </is>
      </c>
    </row>
    <row r="20" ht="30" customHeight="1">
      <c r="A20" s="2" t="inlineStr">
        <is>
          <t>Documento principal</t>
        </is>
      </c>
      <c r="B20" s="3" t="inlineStr">
        <is>
          <t>Sandland-Roadmap-v0-a-v2.md</t>
        </is>
      </c>
    </row>
    <row r="21" ht="30" customHeight="1">
      <c r="A21" s="2" t="inlineStr">
        <is>
          <t>Exportação plana</t>
        </is>
      </c>
      <c r="B21" s="3" t="inlineStr">
        <is>
          <t>Sandland-Backlog.csv</t>
        </is>
      </c>
    </row>
    <row r="22" ht="30" customHeight="1">
      <c r="A22" s="2" t="inlineStr">
        <is>
          <t>Regeneração</t>
        </is>
      </c>
      <c r="B22" s="3" t="inlineStr">
        <is>
          <t>Script planejamento/_geracao/render_plan.py preserva campos de acompanhamento por ID. Faça backup; mudanças no plano precisam revalidar dependências.</t>
        </is>
      </c>
    </row>
    <row r="23" ht="30" customHeight="1">
      <c r="A23" s="2" t="inlineStr">
        <is>
          <t>Base</t>
        </is>
      </c>
      <c r="B23" s="3" t="inlineStr">
        <is>
          <t>RFC do autor e Sandland-RFC-Integracao-e-Desconstrucao.md, preservados sem alteração.</t>
        </is>
      </c>
    </row>
  </sheetData>
  <mergeCells count="21">
    <mergeCell ref="B9:H9"/>
    <mergeCell ref="B6:H6"/>
    <mergeCell ref="B15:H15"/>
    <mergeCell ref="B5:H5"/>
    <mergeCell ref="B20:H20"/>
    <mergeCell ref="B4:H4"/>
    <mergeCell ref="B16:H16"/>
    <mergeCell ref="B7:H7"/>
    <mergeCell ref="B22:H22"/>
    <mergeCell ref="B18:H18"/>
    <mergeCell ref="B21:H21"/>
    <mergeCell ref="B12:H12"/>
    <mergeCell ref="B11:H11"/>
    <mergeCell ref="A1:H2"/>
    <mergeCell ref="B23:H23"/>
    <mergeCell ref="B8:H8"/>
    <mergeCell ref="B14:H14"/>
    <mergeCell ref="B17:H17"/>
    <mergeCell ref="B13:H13"/>
    <mergeCell ref="B10:H10"/>
    <mergeCell ref="B19:H19"/>
  </mergeCells>
  <hyperlinks>
    <hyperlink xmlns:r="http://schemas.openxmlformats.org/officeDocument/2006/relationships" ref="B2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SANDLAND / VISÃO DO ROADMAP</t>
        </is>
      </c>
    </row>
    <row r="2"/>
    <row r="4" ht="28" customHeight="1">
      <c r="A4" s="4" t="inlineStr">
        <is>
          <t>Sprints planejados</t>
        </is>
      </c>
      <c r="E4" s="5" t="n">
        <v>72</v>
      </c>
    </row>
    <row r="5" ht="28" customHeight="1">
      <c r="A5" s="4" t="inlineStr">
        <is>
          <t>Tarefas detalhadas</t>
        </is>
      </c>
      <c r="E5" s="5" t="n">
        <v>720</v>
      </c>
    </row>
    <row r="6" ht="28" customHeight="1">
      <c r="A6" s="4" t="inlineStr">
        <is>
          <t>Gates humanos</t>
        </is>
      </c>
      <c r="E6" s="5" t="n">
        <v>72</v>
      </c>
    </row>
    <row r="7" ht="28" customHeight="1">
      <c r="A7" s="4" t="inlineStr">
        <is>
          <t>Versões/marcos</t>
        </is>
      </c>
      <c r="E7" s="5" t="n">
        <v>19</v>
      </c>
    </row>
    <row r="8" ht="28" customHeight="1">
      <c r="A8" s="4" t="inlineStr">
        <is>
          <t>Requisitos rastreados</t>
        </is>
      </c>
      <c r="E8" s="5" t="n">
        <v>37</v>
      </c>
    </row>
    <row r="9" ht="28" customHeight="1">
      <c r="A9" s="4" t="inlineStr">
        <is>
          <t>ADRs a decidir</t>
        </is>
      </c>
      <c r="E9" s="5" t="n">
        <v>18</v>
      </c>
    </row>
    <row r="10" ht="28" customHeight="1">
      <c r="A10" s="4" t="inlineStr">
        <is>
          <t>Tarefas com fechamento válido</t>
        </is>
      </c>
      <c r="E10" s="5">
        <f>COUNTIFS(Tarefas!$G$2:$G$793,"&lt;&gt;Gate",Tarefas!$X$2:$X$793,"OK")</f>
        <v/>
      </c>
    </row>
    <row r="11" ht="28" customHeight="1">
      <c r="A11" s="4" t="inlineStr">
        <is>
          <t>Gates com fechamento válido</t>
        </is>
      </c>
      <c r="E11" s="5">
        <f>COUNTIFS(Tarefas!$G$2:$G$793,"Gate",Tarefas!$X$2:$X$793,"OK")</f>
        <v/>
      </c>
    </row>
    <row r="12" ht="28" customHeight="1">
      <c r="A12" s="4" t="inlineStr">
        <is>
          <t>Itens que exigem revisão</t>
        </is>
      </c>
      <c r="E12" s="5">
        <f>COUNTIF(Tarefas!$X$2:$X$793,"REVISAR")</f>
        <v/>
      </c>
    </row>
    <row r="14">
      <c r="A14" s="6" t="inlineStr">
        <is>
          <t>Estado de entrega: plano, não implementação. Todos os itens começam Não iniciado. Contagem de tarefas não mede horas, semanas ou dificuldade. Fórmulas exigem recálculo no editor de planilhas e não validam a veracidade das evidências.</t>
        </is>
      </c>
    </row>
    <row r="15"/>
    <row r="16"/>
    <row r="18">
      <c r="A18" s="7" t="inlineStr">
        <is>
          <t>Abrir Tarefas</t>
        </is>
      </c>
    </row>
    <row r="19">
      <c r="A19" s="7" t="inlineStr">
        <is>
          <t>Abrir Sprints</t>
        </is>
      </c>
    </row>
    <row r="20">
      <c r="A20" s="7" t="inlineStr">
        <is>
          <t>Abrir Versões</t>
        </is>
      </c>
    </row>
    <row r="21">
      <c r="A21" s="7" t="inlineStr">
        <is>
          <t>Abrir Motores</t>
        </is>
      </c>
    </row>
    <row r="22">
      <c r="A22" s="7" t="inlineStr">
        <is>
          <t>Abrir Requisitos</t>
        </is>
      </c>
    </row>
    <row r="23">
      <c r="A23" s="7" t="inlineStr">
        <is>
          <t>Abrir ADRs</t>
        </is>
      </c>
    </row>
    <row r="24">
      <c r="A24" s="7" t="inlineStr">
        <is>
          <t>Abrir Gates</t>
        </is>
      </c>
    </row>
    <row r="25">
      <c r="A25" s="7" t="inlineStr">
        <is>
          <t>Abrir Riscos</t>
        </is>
      </c>
    </row>
    <row r="26">
      <c r="A26" s="7" t="inlineStr">
        <is>
          <t>Abrir Dependências</t>
        </is>
      </c>
    </row>
  </sheetData>
  <mergeCells count="11">
    <mergeCell ref="A5:D5"/>
    <mergeCell ref="A9:D9"/>
    <mergeCell ref="A8:D8"/>
    <mergeCell ref="A6:D6"/>
    <mergeCell ref="A12:D12"/>
    <mergeCell ref="A4:D4"/>
    <mergeCell ref="A7:D7"/>
    <mergeCell ref="A14:H16"/>
    <mergeCell ref="A10:D10"/>
    <mergeCell ref="A11:D11"/>
    <mergeCell ref="A1:H2"/>
  </mergeCells>
  <hyperlinks>
    <hyperlink xmlns:r="http://schemas.openxmlformats.org/officeDocument/2006/relationships" ref="A18" r:id="rId1"/>
    <hyperlink xmlns:r="http://schemas.openxmlformats.org/officeDocument/2006/relationships" ref="A19" r:id="rId2"/>
    <hyperlink xmlns:r="http://schemas.openxmlformats.org/officeDocument/2006/relationships" ref="A20" r:id="rId3"/>
    <hyperlink xmlns:r="http://schemas.openxmlformats.org/officeDocument/2006/relationships" ref="A21" r:id="rId4"/>
    <hyperlink xmlns:r="http://schemas.openxmlformats.org/officeDocument/2006/relationships" ref="A22" r:id="rId5"/>
    <hyperlink xmlns:r="http://schemas.openxmlformats.org/officeDocument/2006/relationships" ref="A23" r:id="rId6"/>
    <hyperlink xmlns:r="http://schemas.openxmlformats.org/officeDocument/2006/relationships" ref="A24" r:id="rId7"/>
    <hyperlink xmlns:r="http://schemas.openxmlformats.org/officeDocument/2006/relationships" ref="A25" r:id="rId8"/>
    <hyperlink xmlns:r="http://schemas.openxmlformats.org/officeDocument/2006/relationships" ref="A26" r:id="rId9"/>
  </hyperlinks>
  <pageMargins left="0.75" right="0.75" top="1" bottom="1" header="0.5" footer="0.5"/>
  <drawing xmlns:r="http://schemas.openxmlformats.org/officeDocument/2006/relationships" r:id="rId1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793"/>
  <sheetViews>
    <sheetView showGridLines="0" workbookViewId="0">
      <pane xSplit="3" ySplit="1" topLeftCell="D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10" customWidth="1" min="4" max="4"/>
    <col width="33" customWidth="1" min="5" max="5"/>
    <col width="23" customWidth="1" min="6" max="6"/>
    <col width="18" customWidth="1" min="7" max="7"/>
    <col width="49" customWidth="1" min="8" max="8"/>
    <col width="83" customWidth="1" min="9" max="9"/>
    <col width="58" customWidth="1" min="10" max="10"/>
    <col width="91" customWidth="1" min="11" max="11"/>
    <col width="40" customWidth="1" min="12" max="12"/>
    <col width="27" customWidth="1" min="13" max="13"/>
    <col width="22" customWidth="1" min="14" max="14"/>
    <col width="15" customWidth="1" min="15" max="15"/>
    <col width="13" customWidth="1" min="16" max="16"/>
    <col width="51" customWidth="1" min="17" max="17"/>
    <col width="23" customWidth="1" min="18" max="18"/>
    <col width="23" customWidth="1" min="19" max="19"/>
    <col width="18" customWidth="1" min="20" max="20"/>
    <col width="50" customWidth="1" min="21" max="21"/>
    <col width="50" customWidth="1" min="22" max="22"/>
    <col width="47" customWidth="1" min="23" max="23"/>
    <col width="18" customWidth="1" min="24" max="24"/>
    <col width="57" customWidth="1" min="25" max="25"/>
  </cols>
  <sheetData>
    <row r="1" ht="34" customHeight="1">
      <c r="A1" s="8" t="inlineStr">
        <is>
          <t>Ordem</t>
        </is>
      </c>
      <c r="B1" s="8" t="inlineStr">
        <is>
          <t>ID</t>
        </is>
      </c>
      <c r="C1" s="8" t="inlineStr">
        <is>
          <t>Versão</t>
        </is>
      </c>
      <c r="D1" s="8" t="inlineStr">
        <is>
          <t>Sprint</t>
        </is>
      </c>
      <c r="E1" s="8" t="inlineStr">
        <is>
          <t>Componente</t>
        </is>
      </c>
      <c r="F1" s="8" t="inlineStr">
        <is>
          <t>Forma de integração</t>
        </is>
      </c>
      <c r="G1" s="8" t="inlineStr">
        <is>
          <t>Tipo</t>
        </is>
      </c>
      <c r="H1" s="8" t="inlineStr">
        <is>
          <t>Tarefa</t>
        </is>
      </c>
      <c r="I1" s="8" t="inlineStr">
        <is>
          <t>Passo de execução</t>
        </is>
      </c>
      <c r="J1" s="8" t="inlineStr">
        <is>
          <t>Artefato a produzir</t>
        </is>
      </c>
      <c r="K1" s="8" t="inlineStr">
        <is>
          <t>Critério de aceite</t>
        </is>
      </c>
      <c r="L1" s="8" t="inlineStr">
        <is>
          <t>Dependências</t>
        </is>
      </c>
      <c r="M1" s="8" t="inlineStr">
        <is>
          <t>Requisitos</t>
        </is>
      </c>
      <c r="N1" s="8" t="inlineStr">
        <is>
          <t>Status</t>
        </is>
      </c>
      <c r="O1" s="8" t="inlineStr">
        <is>
          <t>Prioridade na versão</t>
        </is>
      </c>
      <c r="P1" s="8" t="inlineStr">
        <is>
          <t>Risco</t>
        </is>
      </c>
      <c r="Q1" s="8" t="inlineStr">
        <is>
          <t>Aplicabilidade</t>
        </is>
      </c>
      <c r="R1" s="8" t="inlineStr">
        <is>
          <t>Responsável</t>
        </is>
      </c>
      <c r="S1" s="8" t="inlineStr">
        <is>
          <t>Revisor humano</t>
        </is>
      </c>
      <c r="T1" s="8" t="inlineStr">
        <is>
          <t>Data de aceite</t>
        </is>
      </c>
      <c r="U1" s="8" t="inlineStr">
        <is>
          <t>Evidência exigida</t>
        </is>
      </c>
      <c r="V1" s="8" t="inlineStr">
        <is>
          <t>Evidência obtida</t>
        </is>
      </c>
      <c r="W1" s="8" t="inlineStr">
        <is>
          <t>ADR / justificativa</t>
        </is>
      </c>
      <c r="X1" s="8" t="inlineStr">
        <is>
          <t>Fechamento</t>
        </is>
      </c>
      <c r="Y1" s="8" t="inlineStr">
        <is>
          <t>Observações</t>
        </is>
      </c>
    </row>
    <row r="2" ht="112" customHeight="1">
      <c r="A2" s="3" t="n">
        <v>1</v>
      </c>
      <c r="B2" s="3" t="inlineStr">
        <is>
          <t>SL-S01-01</t>
        </is>
      </c>
      <c r="C2" s="9" t="inlineStr">
        <is>
          <t>v0.0.1</t>
        </is>
      </c>
      <c r="D2" s="9" t="inlineStr">
        <is>
          <t>S01</t>
        </is>
      </c>
      <c r="E2" s="3" t="inlineStr">
        <is>
          <t>Arquitetura / produto</t>
        </is>
      </c>
      <c r="F2" s="3" t="inlineStr">
        <is>
          <t>Próprio</t>
        </is>
      </c>
      <c r="G2" s="3" t="inlineStr">
        <is>
          <t>Decisão</t>
        </is>
      </c>
      <c r="H2" s="3" t="inlineStr">
        <is>
          <t>Congelar documentos de entrada</t>
        </is>
      </c>
      <c r="I2" s="3" t="inlineStr">
        <is>
          <t>Copiar RFC e plano de integração para referências; registrar hashes e divergências.</t>
        </is>
      </c>
      <c r="J2" s="3" t="inlineStr">
        <is>
          <t>docs/baseline/manifest.json</t>
        </is>
      </c>
      <c r="K2" s="3" t="inlineStr">
        <is>
          <t>Os dois documentos permanecem íntegros e cada divergência aponta à seção de origem.</t>
        </is>
      </c>
      <c r="L2" s="3" t="inlineStr"/>
      <c r="M2" s="3" t="inlineStr">
        <is>
          <t>R01; R03; R07; R08; R33; R34</t>
        </is>
      </c>
      <c r="N2" s="10" t="inlineStr">
        <is>
          <t>Não iniciado</t>
        </is>
      </c>
      <c r="O2" s="3" t="inlineStr">
        <is>
          <t>P0</t>
        </is>
      </c>
      <c r="P2" s="3" t="inlineStr">
        <is>
          <t>Crítico</t>
        </is>
      </c>
      <c r="Q2" s="3" t="inlineStr">
        <is>
          <t>Obrigatória no escopo da versão</t>
        </is>
      </c>
      <c r="R2" s="10" t="inlineStr">
        <is>
          <t>Autor</t>
        </is>
      </c>
      <c r="S2" s="10" t="inlineStr"/>
      <c r="T2" s="11" t="inlineStr"/>
      <c r="U2" s="3" t="inlineStr">
        <is>
          <t>reports/S01/SL-S01-01.md</t>
        </is>
      </c>
      <c r="V2" s="10" t="inlineStr"/>
      <c r="W2" s="10" t="inlineStr"/>
      <c r="X2" s="3">
        <f>IF(N2="Concluído",IF(AND(S2&lt;&gt;"",ISNUMBER(T2),T2&gt;0,V2&lt;&gt;"",TRUE),"OK","REVISAR"),IF(N2="Dispensado (ADR)",IF(AND(LEFT(Q2,11)="Condicional",W2&lt;&gt;"",S2&lt;&gt;"",ISNUMBER(T2),T2&gt;0,V2&lt;&gt;""),"DISPENSADO","REVISAR"),"PENDENTE"))</f>
        <v/>
      </c>
      <c r="Y2" s="10" t="inlineStr"/>
    </row>
    <row r="3" ht="112" customHeight="1">
      <c r="A3" s="3" t="n">
        <v>2</v>
      </c>
      <c r="B3" s="3" t="inlineStr">
        <is>
          <t>SL-S01-02</t>
        </is>
      </c>
      <c r="C3" s="9" t="inlineStr">
        <is>
          <t>v0.0.1</t>
        </is>
      </c>
      <c r="D3" s="9" t="inlineStr">
        <is>
          <t>S01</t>
        </is>
      </c>
      <c r="E3" s="3" t="inlineStr">
        <is>
          <t>Arquitetura / produto</t>
        </is>
      </c>
      <c r="F3" s="3" t="inlineStr">
        <is>
          <t>Próprio</t>
        </is>
      </c>
      <c r="G3" s="3" t="inlineStr">
        <is>
          <t>Decisão</t>
        </is>
      </c>
      <c r="H3" s="3" t="inlineStr">
        <is>
          <t>Delimitar v1.0</t>
        </is>
      </c>
      <c r="I3" s="3" t="inlineStr">
        <is>
          <t>Enumerar jornadas Captura→Mesa→Peça e separar requisitos de propostas pós-v1.0.</t>
        </is>
      </c>
      <c r="J3" s="3" t="inlineStr">
        <is>
          <t>docs/product/scope-v1.md</t>
        </is>
      </c>
      <c r="K3" s="3" t="inlineStr">
        <is>
          <t>Nenhuma funcionalidade original é silenciosamente adiada para v2; exclusões estão explícitas.</t>
        </is>
      </c>
      <c r="L3" s="3" t="inlineStr">
        <is>
          <t>SL-S01-01</t>
        </is>
      </c>
      <c r="M3" s="3" t="inlineStr">
        <is>
          <t>R01; R03; R07; R08; R33; R34</t>
        </is>
      </c>
      <c r="N3" s="10" t="inlineStr">
        <is>
          <t>Não iniciado</t>
        </is>
      </c>
      <c r="O3" s="3" t="inlineStr">
        <is>
          <t>P0</t>
        </is>
      </c>
      <c r="P3" s="3" t="inlineStr">
        <is>
          <t>Crítico</t>
        </is>
      </c>
      <c r="Q3" s="3" t="inlineStr">
        <is>
          <t>Obrigatória no escopo da versão</t>
        </is>
      </c>
      <c r="R3" s="10" t="inlineStr">
        <is>
          <t>Autor</t>
        </is>
      </c>
      <c r="S3" s="10" t="inlineStr"/>
      <c r="T3" s="11" t="inlineStr"/>
      <c r="U3" s="3" t="inlineStr">
        <is>
          <t>reports/S01/SL-S01-02.md</t>
        </is>
      </c>
      <c r="V3" s="10" t="inlineStr"/>
      <c r="W3" s="10" t="inlineStr"/>
      <c r="X3" s="3">
        <f>IF(N3="Concluído",IF(AND(S3&lt;&gt;"",ISNUMBER(T3),T3&gt;0,V3&lt;&gt;"",AND(OR(X2="OK",X2="DISPENSADO"))),"OK","REVISAR"),IF(N3="Dispensado (ADR)",IF(AND(LEFT(Q3,11)="Condicional",W3&lt;&gt;"",S3&lt;&gt;"",ISNUMBER(T3),T3&gt;0,V3&lt;&gt;""),"DISPENSADO","REVISAR"),"PENDENTE"))</f>
        <v/>
      </c>
      <c r="Y3" s="10" t="inlineStr"/>
    </row>
    <row r="4" ht="112" customHeight="1">
      <c r="A4" s="3" t="n">
        <v>3</v>
      </c>
      <c r="B4" s="3" t="inlineStr">
        <is>
          <t>SL-S01-03</t>
        </is>
      </c>
      <c r="C4" s="9" t="inlineStr">
        <is>
          <t>v0.0.1</t>
        </is>
      </c>
      <c r="D4" s="9" t="inlineStr">
        <is>
          <t>S01</t>
        </is>
      </c>
      <c r="E4" s="3" t="inlineStr">
        <is>
          <t>Arquitetura / produto</t>
        </is>
      </c>
      <c r="F4" s="3" t="inlineStr">
        <is>
          <t>Próprio</t>
        </is>
      </c>
      <c r="G4" s="3" t="inlineStr">
        <is>
          <t>Decisão</t>
        </is>
      </c>
      <c r="H4" s="3" t="inlineStr">
        <is>
          <t>Ratificar núcleo e workers</t>
        </is>
      </c>
      <c r="I4" s="3" t="inlineStr">
        <is>
          <t>Resolver ADR-001; distinguir linguagem do Core, runtime e modelo de distribuição.</t>
        </is>
      </c>
      <c r="J4" s="3" t="inlineStr">
        <is>
          <t>docs/adr/001-composicao.md</t>
        </is>
      </c>
      <c r="K4" s="3" t="inlineStr">
        <is>
          <t>Decisão aprovada pelo autor; rejeição de workers bloqueia o restante e exige novo plano.</t>
        </is>
      </c>
      <c r="L4" s="3" t="inlineStr">
        <is>
          <t>SL-S01-02</t>
        </is>
      </c>
      <c r="M4" s="3" t="inlineStr">
        <is>
          <t>R01; R03; R07; R08; R33; R34</t>
        </is>
      </c>
      <c r="N4" s="10" t="inlineStr">
        <is>
          <t>Não iniciado</t>
        </is>
      </c>
      <c r="O4" s="3" t="inlineStr">
        <is>
          <t>P0</t>
        </is>
      </c>
      <c r="P4" s="3" t="inlineStr">
        <is>
          <t>Crítico</t>
        </is>
      </c>
      <c r="Q4" s="3" t="inlineStr">
        <is>
          <t>Obrigatória no escopo da versão</t>
        </is>
      </c>
      <c r="R4" s="10" t="inlineStr">
        <is>
          <t>Autor</t>
        </is>
      </c>
      <c r="S4" s="10" t="inlineStr"/>
      <c r="T4" s="11" t="inlineStr"/>
      <c r="U4" s="3" t="inlineStr">
        <is>
          <t>reports/S01/SL-S01-03.md</t>
        </is>
      </c>
      <c r="V4" s="10" t="inlineStr"/>
      <c r="W4" s="10" t="inlineStr"/>
      <c r="X4" s="3">
        <f>IF(N4="Concluído",IF(AND(S4&lt;&gt;"",ISNUMBER(T4),T4&gt;0,V4&lt;&gt;"",AND(OR(X3="OK",X3="DISPENSADO"))),"OK","REVISAR"),IF(N4="Dispensado (ADR)",IF(AND(LEFT(Q4,11)="Condicional",W4&lt;&gt;"",S4&lt;&gt;"",ISNUMBER(T4),T4&gt;0,V4&lt;&gt;""),"DISPENSADO","REVISAR"),"PENDENTE"))</f>
        <v/>
      </c>
      <c r="Y4" s="10" t="inlineStr"/>
    </row>
    <row r="5" ht="112" customHeight="1">
      <c r="A5" s="3" t="n">
        <v>4</v>
      </c>
      <c r="B5" s="3" t="inlineStr">
        <is>
          <t>SL-S01-04</t>
        </is>
      </c>
      <c r="C5" s="9" t="inlineStr">
        <is>
          <t>v0.0.1</t>
        </is>
      </c>
      <c r="D5" s="9" t="inlineStr">
        <is>
          <t>S01</t>
        </is>
      </c>
      <c r="E5" s="3" t="inlineStr">
        <is>
          <t>Arquitetura / produto</t>
        </is>
      </c>
      <c r="F5" s="3" t="inlineStr">
        <is>
          <t>Próprio</t>
        </is>
      </c>
      <c r="G5" s="3" t="inlineStr">
        <is>
          <t>Decisão</t>
        </is>
      </c>
      <c r="H5" s="3" t="inlineStr">
        <is>
          <t>Ratificar Jev/offline</t>
        </is>
      </c>
      <c r="I5" s="3" t="inlineStr">
        <is>
          <t>Escolher fallback local ou pendência; definir quando a API pode receber conteúdo.</t>
        </is>
      </c>
      <c r="J5" s="3" t="inlineStr">
        <is>
          <t>docs/adr/004-egress-offline.md</t>
        </is>
      </c>
      <c r="K5" s="3" t="inlineStr">
        <is>
          <t>Falta de chave/rede não bloqueia captura, leitura ou autoria; nenhuma chamada implícita permitida.</t>
        </is>
      </c>
      <c r="L5" s="3" t="inlineStr">
        <is>
          <t>SL-S01-03</t>
        </is>
      </c>
      <c r="M5" s="3" t="inlineStr">
        <is>
          <t>R01; R03; R07; R08; R33; R34</t>
        </is>
      </c>
      <c r="N5" s="10" t="inlineStr">
        <is>
          <t>Não iniciado</t>
        </is>
      </c>
      <c r="O5" s="3" t="inlineStr">
        <is>
          <t>P0</t>
        </is>
      </c>
      <c r="P5" s="3" t="inlineStr">
        <is>
          <t>Crítico</t>
        </is>
      </c>
      <c r="Q5" s="3" t="inlineStr">
        <is>
          <t>Obrigatória no escopo da versão</t>
        </is>
      </c>
      <c r="R5" s="10" t="inlineStr">
        <is>
          <t>Autor</t>
        </is>
      </c>
      <c r="S5" s="10" t="inlineStr"/>
      <c r="T5" s="11" t="inlineStr"/>
      <c r="U5" s="3" t="inlineStr">
        <is>
          <t>reports/S01/SL-S01-04.md</t>
        </is>
      </c>
      <c r="V5" s="10" t="inlineStr"/>
      <c r="W5" s="10" t="inlineStr"/>
      <c r="X5" s="3">
        <f>IF(N5="Concluído",IF(AND(S5&lt;&gt;"",ISNUMBER(T5),T5&gt;0,V5&lt;&gt;"",AND(OR(X4="OK",X4="DISPENSADO"))),"OK","REVISAR"),IF(N5="Dispensado (ADR)",IF(AND(LEFT(Q5,11)="Condicional",W5&lt;&gt;"",S5&lt;&gt;"",ISNUMBER(T5),T5&gt;0,V5&lt;&gt;""),"DISPENSADO","REVISAR"),"PENDENTE"))</f>
        <v/>
      </c>
      <c r="Y5" s="10" t="inlineStr"/>
    </row>
    <row r="6" ht="112" customHeight="1">
      <c r="A6" s="3" t="n">
        <v>5</v>
      </c>
      <c r="B6" s="3" t="inlineStr">
        <is>
          <t>SL-S01-05</t>
        </is>
      </c>
      <c r="C6" s="9" t="inlineStr">
        <is>
          <t>v0.0.1</t>
        </is>
      </c>
      <c r="D6" s="9" t="inlineStr">
        <is>
          <t>S01</t>
        </is>
      </c>
      <c r="E6" s="3" t="inlineStr">
        <is>
          <t>Arquitetura / produto</t>
        </is>
      </c>
      <c r="F6" s="3" t="inlineStr">
        <is>
          <t>Próprio</t>
        </is>
      </c>
      <c r="G6" s="3" t="inlineStr">
        <is>
          <t>Decisão</t>
        </is>
      </c>
      <c r="H6" s="3" t="inlineStr">
        <is>
          <t>Escolher host de referência</t>
        </is>
      </c>
      <c r="I6" s="3" t="inlineStr">
        <is>
          <t>Registrar máquina principal e acesso de teste aos cinco alvos previstos.</t>
        </is>
      </c>
      <c r="J6" s="3" t="inlineStr">
        <is>
          <t>docs/adr/006-targets.md</t>
        </is>
      </c>
      <c r="K6" s="3" t="inlineStr">
        <is>
          <t>Plataforma de desenvolvimento escolhida e lacunas de hardware identificadas, sem alegar homologação.</t>
        </is>
      </c>
      <c r="L6" s="3" t="inlineStr">
        <is>
          <t>SL-S01-04</t>
        </is>
      </c>
      <c r="M6" s="3" t="inlineStr">
        <is>
          <t>R01; R03; R07; R08; R33; R34</t>
        </is>
      </c>
      <c r="N6" s="10" t="inlineStr">
        <is>
          <t>Não iniciado</t>
        </is>
      </c>
      <c r="O6" s="3" t="inlineStr">
        <is>
          <t>P0</t>
        </is>
      </c>
      <c r="P6" s="3" t="inlineStr">
        <is>
          <t>Crítico</t>
        </is>
      </c>
      <c r="Q6" s="3" t="inlineStr">
        <is>
          <t>Obrigatória no escopo da versão</t>
        </is>
      </c>
      <c r="R6" s="10" t="inlineStr">
        <is>
          <t>Autor</t>
        </is>
      </c>
      <c r="S6" s="10" t="inlineStr"/>
      <c r="T6" s="11" t="inlineStr"/>
      <c r="U6" s="3" t="inlineStr">
        <is>
          <t>reports/S01/SL-S01-05.md</t>
        </is>
      </c>
      <c r="V6" s="10" t="inlineStr"/>
      <c r="W6" s="10" t="inlineStr"/>
      <c r="X6" s="3">
        <f>IF(N6="Concluído",IF(AND(S6&lt;&gt;"",ISNUMBER(T6),T6&gt;0,V6&lt;&gt;"",AND(OR(X5="OK",X5="DISPENSADO"))),"OK","REVISAR"),IF(N6="Dispensado (ADR)",IF(AND(LEFT(Q6,11)="Condicional",W6&lt;&gt;"",S6&lt;&gt;"",ISNUMBER(T6),T6&gt;0,V6&lt;&gt;""),"DISPENSADO","REVISAR"),"PENDENTE"))</f>
        <v/>
      </c>
      <c r="Y6" s="10" t="inlineStr"/>
    </row>
    <row r="7" ht="112" customHeight="1">
      <c r="A7" s="3" t="n">
        <v>6</v>
      </c>
      <c r="B7" s="3" t="inlineStr">
        <is>
          <t>SL-S01-06</t>
        </is>
      </c>
      <c r="C7" s="9" t="inlineStr">
        <is>
          <t>v0.0.1</t>
        </is>
      </c>
      <c r="D7" s="9" t="inlineStr">
        <is>
          <t>S01</t>
        </is>
      </c>
      <c r="E7" s="3" t="inlineStr">
        <is>
          <t>Arquitetura / produto</t>
        </is>
      </c>
      <c r="F7" s="3" t="inlineStr">
        <is>
          <t>Próprio</t>
        </is>
      </c>
      <c r="G7" s="3" t="inlineStr">
        <is>
          <t>Decisão</t>
        </is>
      </c>
      <c r="H7" s="3" t="inlineStr">
        <is>
          <t>Fixar semântica de versões</t>
        </is>
      </c>
      <c r="I7" s="3" t="inlineStr">
        <is>
          <t>Separar versão do app, formato do Vault, contratos de workers e modelos.</t>
        </is>
      </c>
      <c r="J7" s="3" t="inlineStr">
        <is>
          <t>docs/product/version-policy.md</t>
        </is>
      </c>
      <c r="K7" s="3" t="inlineStr">
        <is>
          <t>Atualizar o app não implica migrar o Vault; regras pre-1.0 e compatibilidade estão claras.</t>
        </is>
      </c>
      <c r="L7" s="3" t="inlineStr">
        <is>
          <t>SL-S01-05</t>
        </is>
      </c>
      <c r="M7" s="3" t="inlineStr">
        <is>
          <t>R01; R03; R07; R08; R33; R34</t>
        </is>
      </c>
      <c r="N7" s="10" t="inlineStr">
        <is>
          <t>Não iniciado</t>
        </is>
      </c>
      <c r="O7" s="3" t="inlineStr">
        <is>
          <t>P0</t>
        </is>
      </c>
      <c r="P7" s="3" t="inlineStr">
        <is>
          <t>Crítico</t>
        </is>
      </c>
      <c r="Q7" s="3" t="inlineStr">
        <is>
          <t>Obrigatória no escopo da versão</t>
        </is>
      </c>
      <c r="R7" s="10" t="inlineStr">
        <is>
          <t>Autor</t>
        </is>
      </c>
      <c r="S7" s="10" t="inlineStr"/>
      <c r="T7" s="11" t="inlineStr"/>
      <c r="U7" s="3" t="inlineStr">
        <is>
          <t>reports/S01/SL-S01-06.md</t>
        </is>
      </c>
      <c r="V7" s="10" t="inlineStr"/>
      <c r="W7" s="10" t="inlineStr"/>
      <c r="X7" s="3">
        <f>IF(N7="Concluído",IF(AND(S7&lt;&gt;"",ISNUMBER(T7),T7&gt;0,V7&lt;&gt;"",AND(OR(X6="OK",X6="DISPENSADO"))),"OK","REVISAR"),IF(N7="Dispensado (ADR)",IF(AND(LEFT(Q7,11)="Condicional",W7&lt;&gt;"",S7&lt;&gt;"",ISNUMBER(T7),T7&gt;0,V7&lt;&gt;""),"DISPENSADO","REVISAR"),"PENDENTE"))</f>
        <v/>
      </c>
      <c r="Y7" s="10" t="inlineStr"/>
    </row>
    <row r="8" ht="112" customHeight="1">
      <c r="A8" s="3" t="n">
        <v>7</v>
      </c>
      <c r="B8" s="3" t="inlineStr">
        <is>
          <t>SL-S01-07</t>
        </is>
      </c>
      <c r="C8" s="9" t="inlineStr">
        <is>
          <t>v0.0.1</t>
        </is>
      </c>
      <c r="D8" s="9" t="inlineStr">
        <is>
          <t>S01</t>
        </is>
      </c>
      <c r="E8" s="3" t="inlineStr">
        <is>
          <t>Arquitetura / produto</t>
        </is>
      </c>
      <c r="F8" s="3" t="inlineStr">
        <is>
          <t>Próprio</t>
        </is>
      </c>
      <c r="G8" s="3" t="inlineStr">
        <is>
          <t>Decisão</t>
        </is>
      </c>
      <c r="H8" s="3" t="inlineStr">
        <is>
          <t>Definir dados sensíveis</t>
        </is>
      </c>
      <c r="I8" s="3" t="inlineStr">
        <is>
          <t>Classificar conteúdo, consultas, metadados, chaves e logs; negar envio por padrão.</t>
        </is>
      </c>
      <c r="J8" s="3" t="inlineStr">
        <is>
          <t>docs/security/data-classification.md</t>
        </is>
      </c>
      <c r="K8" s="3" t="inlineStr">
        <is>
          <t>Casos de resumo e título sensível também exigem política de saída, não apenas documentos completos.</t>
        </is>
      </c>
      <c r="L8" s="3" t="inlineStr">
        <is>
          <t>SL-S01-06</t>
        </is>
      </c>
      <c r="M8" s="3" t="inlineStr">
        <is>
          <t>R01; R03; R07; R08; R33; R34</t>
        </is>
      </c>
      <c r="N8" s="10" t="inlineStr">
        <is>
          <t>Não iniciado</t>
        </is>
      </c>
      <c r="O8" s="3" t="inlineStr">
        <is>
          <t>P0</t>
        </is>
      </c>
      <c r="P8" s="3" t="inlineStr">
        <is>
          <t>Crítico</t>
        </is>
      </c>
      <c r="Q8" s="3" t="inlineStr">
        <is>
          <t>Obrigatória no escopo da versão</t>
        </is>
      </c>
      <c r="R8" s="10" t="inlineStr">
        <is>
          <t>Autor</t>
        </is>
      </c>
      <c r="S8" s="10" t="inlineStr"/>
      <c r="T8" s="11" t="inlineStr"/>
      <c r="U8" s="3" t="inlineStr">
        <is>
          <t>reports/S01/SL-S01-07.md</t>
        </is>
      </c>
      <c r="V8" s="10" t="inlineStr"/>
      <c r="W8" s="10" t="inlineStr"/>
      <c r="X8" s="3">
        <f>IF(N8="Concluído",IF(AND(S8&lt;&gt;"",ISNUMBER(T8),T8&gt;0,V8&lt;&gt;"",AND(OR(X7="OK",X7="DISPENSADO"))),"OK","REVISAR"),IF(N8="Dispensado (ADR)",IF(AND(LEFT(Q8,11)="Condicional",W8&lt;&gt;"",S8&lt;&gt;"",ISNUMBER(T8),T8&gt;0,V8&lt;&gt;""),"DISPENSADO","REVISAR"),"PENDENTE"))</f>
        <v/>
      </c>
      <c r="Y8" s="10" t="inlineStr"/>
    </row>
    <row r="9" ht="112" customHeight="1">
      <c r="A9" s="3" t="n">
        <v>8</v>
      </c>
      <c r="B9" s="3" t="inlineStr">
        <is>
          <t>SL-S01-08</t>
        </is>
      </c>
      <c r="C9" s="9" t="inlineStr">
        <is>
          <t>v0.0.1</t>
        </is>
      </c>
      <c r="D9" s="9" t="inlineStr">
        <is>
          <t>S01</t>
        </is>
      </c>
      <c r="E9" s="3" t="inlineStr">
        <is>
          <t>Arquitetura / produto</t>
        </is>
      </c>
      <c r="F9" s="3" t="inlineStr">
        <is>
          <t>Próprio</t>
        </is>
      </c>
      <c r="G9" s="3" t="inlineStr">
        <is>
          <t>Decisão</t>
        </is>
      </c>
      <c r="H9" s="3" t="inlineStr">
        <is>
          <t>Mapear atores e ameaças</t>
        </is>
      </c>
      <c r="I9" s="3" t="inlineStr">
        <is>
          <t>Incluir arquivo malformado, página hostil, extensão, modelo e processo local malicioso.</t>
        </is>
      </c>
      <c r="J9" s="3" t="inlineStr">
        <is>
          <t>docs/security/threat-model.md</t>
        </is>
      </c>
      <c r="K9" s="3" t="inlineStr">
        <is>
          <t>Cada ator tem ativos, fronteiras e ataques de teste; modelo não aparece como autoridade confiável.</t>
        </is>
      </c>
      <c r="L9" s="3" t="inlineStr">
        <is>
          <t>SL-S01-07</t>
        </is>
      </c>
      <c r="M9" s="3" t="inlineStr">
        <is>
          <t>R01; R03; R07; R08; R33; R34</t>
        </is>
      </c>
      <c r="N9" s="10" t="inlineStr">
        <is>
          <t>Não iniciado</t>
        </is>
      </c>
      <c r="O9" s="3" t="inlineStr">
        <is>
          <t>P0</t>
        </is>
      </c>
      <c r="P9" s="3" t="inlineStr">
        <is>
          <t>Crítico</t>
        </is>
      </c>
      <c r="Q9" s="3" t="inlineStr">
        <is>
          <t>Obrigatória no escopo da versão</t>
        </is>
      </c>
      <c r="R9" s="10" t="inlineStr">
        <is>
          <t>Autor</t>
        </is>
      </c>
      <c r="S9" s="10" t="inlineStr"/>
      <c r="T9" s="11" t="inlineStr"/>
      <c r="U9" s="3" t="inlineStr">
        <is>
          <t>reports/S01/SL-S01-08.md</t>
        </is>
      </c>
      <c r="V9" s="10" t="inlineStr"/>
      <c r="W9" s="10" t="inlineStr"/>
      <c r="X9" s="3">
        <f>IF(N9="Concluído",IF(AND(S9&lt;&gt;"",ISNUMBER(T9),T9&gt;0,V9&lt;&gt;"",AND(OR(X8="OK",X8="DISPENSADO"))),"OK","REVISAR"),IF(N9="Dispensado (ADR)",IF(AND(LEFT(Q9,11)="Condicional",W9&lt;&gt;"",S9&lt;&gt;"",ISNUMBER(T9),T9&gt;0,V9&lt;&gt;""),"DISPENSADO","REVISAR"),"PENDENTE"))</f>
        <v/>
      </c>
      <c r="Y9" s="10" t="inlineStr"/>
    </row>
    <row r="10" ht="112" customHeight="1">
      <c r="A10" s="3" t="n">
        <v>9</v>
      </c>
      <c r="B10" s="3" t="inlineStr">
        <is>
          <t>SL-S01-09</t>
        </is>
      </c>
      <c r="C10" s="9" t="inlineStr">
        <is>
          <t>v0.0.1</t>
        </is>
      </c>
      <c r="D10" s="9" t="inlineStr">
        <is>
          <t>S01</t>
        </is>
      </c>
      <c r="E10" s="3" t="inlineStr">
        <is>
          <t>Arquitetura / produto</t>
        </is>
      </c>
      <c r="F10" s="3" t="inlineStr">
        <is>
          <t>Próprio</t>
        </is>
      </c>
      <c r="G10" s="3" t="inlineStr">
        <is>
          <t>Decisão</t>
        </is>
      </c>
      <c r="H10" s="3" t="inlineStr">
        <is>
          <t>Registrar não escopo</t>
        </is>
      </c>
      <c r="I10" s="3" t="inlineStr">
        <is>
          <t>Excluir SaaS obrigatório, colaboração em tempo real e marketplace irrestrito deste horizonte.</t>
        </is>
      </c>
      <c r="J10" s="3" t="inlineStr">
        <is>
          <t>docs/product/non-goals.md</t>
        </is>
      </c>
      <c r="K10" s="3" t="inlineStr">
        <is>
          <t>Funcionalidades não aprovadas não entram por implicação da presença de Yjs, LocalAI ou MCP.</t>
        </is>
      </c>
      <c r="L10" s="3" t="inlineStr">
        <is>
          <t>SL-S01-08</t>
        </is>
      </c>
      <c r="M10" s="3" t="inlineStr">
        <is>
          <t>R01; R03; R07; R08; R33; R34</t>
        </is>
      </c>
      <c r="N10" s="10" t="inlineStr">
        <is>
          <t>Não iniciado</t>
        </is>
      </c>
      <c r="O10" s="3" t="inlineStr">
        <is>
          <t>P0</t>
        </is>
      </c>
      <c r="P10" s="3" t="inlineStr">
        <is>
          <t>Crítico</t>
        </is>
      </c>
      <c r="Q10" s="3" t="inlineStr">
        <is>
          <t>Obrigatória no escopo da versão</t>
        </is>
      </c>
      <c r="R10" s="10" t="inlineStr">
        <is>
          <t>Autor</t>
        </is>
      </c>
      <c r="S10" s="10" t="inlineStr"/>
      <c r="T10" s="11" t="inlineStr"/>
      <c r="U10" s="3" t="inlineStr">
        <is>
          <t>reports/S01/SL-S01-09.md</t>
        </is>
      </c>
      <c r="V10" s="10" t="inlineStr"/>
      <c r="W10" s="10" t="inlineStr"/>
      <c r="X10" s="3">
        <f>IF(N10="Concluído",IF(AND(S10&lt;&gt;"",ISNUMBER(T10),T10&gt;0,V10&lt;&gt;"",AND(OR(X9="OK",X9="DISPENSADO"))),"OK","REVISAR"),IF(N10="Dispensado (ADR)",IF(AND(LEFT(Q10,11)="Condicional",W10&lt;&gt;"",S10&lt;&gt;"",ISNUMBER(T10),T10&gt;0,V10&lt;&gt;""),"DISPENSADO","REVISAR"),"PENDENTE"))</f>
        <v/>
      </c>
      <c r="Y10" s="10" t="inlineStr"/>
    </row>
    <row r="11" ht="112" customHeight="1">
      <c r="A11" s="3" t="n">
        <v>10</v>
      </c>
      <c r="B11" s="3" t="inlineStr">
        <is>
          <t>SL-S01-10</t>
        </is>
      </c>
      <c r="C11" s="9" t="inlineStr">
        <is>
          <t>v0.0.1</t>
        </is>
      </c>
      <c r="D11" s="9" t="inlineStr">
        <is>
          <t>S01</t>
        </is>
      </c>
      <c r="E11" s="3" t="inlineStr">
        <is>
          <t>Arquitetura / produto</t>
        </is>
      </c>
      <c r="F11" s="3" t="inlineStr">
        <is>
          <t>Próprio</t>
        </is>
      </c>
      <c r="G11" s="3" t="inlineStr">
        <is>
          <t>Decisão</t>
        </is>
      </c>
      <c r="H11" s="3" t="inlineStr">
        <is>
          <t>Aprovar inventário de requisitos</t>
        </is>
      </c>
      <c r="I11" s="3" t="inlineStr">
        <is>
          <t>Numerar invariantes, métricas e critérios; designar o autor como aprovador dos gates.</t>
        </is>
      </c>
      <c r="J11" s="3" t="inlineStr">
        <is>
          <t>docs/product/requirements.yaml</t>
        </is>
      </c>
      <c r="K11" s="3" t="inlineStr">
        <is>
          <t>Cada requisito tem origem, critério e responsável; ambiguidades não são tratadas como concluídas.</t>
        </is>
      </c>
      <c r="L11" s="3" t="inlineStr">
        <is>
          <t>SL-S01-09</t>
        </is>
      </c>
      <c r="M11" s="3" t="inlineStr">
        <is>
          <t>R01; R03; R07; R08; R33; R34</t>
        </is>
      </c>
      <c r="N11" s="10" t="inlineStr">
        <is>
          <t>Não iniciado</t>
        </is>
      </c>
      <c r="O11" s="3" t="inlineStr">
        <is>
          <t>P0</t>
        </is>
      </c>
      <c r="P11" s="3" t="inlineStr">
        <is>
          <t>Crítico</t>
        </is>
      </c>
      <c r="Q11" s="3" t="inlineStr">
        <is>
          <t>Obrigatória no escopo da versão</t>
        </is>
      </c>
      <c r="R11" s="10" t="inlineStr">
        <is>
          <t>Autor</t>
        </is>
      </c>
      <c r="S11" s="10" t="inlineStr"/>
      <c r="T11" s="11" t="inlineStr"/>
      <c r="U11" s="3" t="inlineStr">
        <is>
          <t>reports/S01/SL-S01-10.md</t>
        </is>
      </c>
      <c r="V11" s="10" t="inlineStr"/>
      <c r="W11" s="10" t="inlineStr"/>
      <c r="X11" s="3">
        <f>IF(N11="Concluído",IF(AND(S11&lt;&gt;"",ISNUMBER(T11),T11&gt;0,V11&lt;&gt;"",AND(OR(X10="OK",X10="DISPENSADO"))),"OK","REVISAR"),IF(N11="Dispensado (ADR)",IF(AND(LEFT(Q11,11)="Condicional",W11&lt;&gt;"",S11&lt;&gt;"",ISNUMBER(T11),T11&gt;0,V11&lt;&gt;""),"DISPENSADO","REVISAR"),"PENDENTE"))</f>
        <v/>
      </c>
      <c r="Y11" s="10" t="inlineStr"/>
    </row>
    <row r="12" ht="98" customHeight="1">
      <c r="A12" s="3" t="n">
        <v>11</v>
      </c>
      <c r="B12" s="12" t="inlineStr">
        <is>
          <t>SL-S01-GATE</t>
        </is>
      </c>
      <c r="C12" s="9" t="inlineStr">
        <is>
          <t>v0.0.1</t>
        </is>
      </c>
      <c r="D12" s="9" t="inlineStr">
        <is>
          <t>S01</t>
        </is>
      </c>
      <c r="E12" s="3" t="inlineStr">
        <is>
          <t>Arquitetura / produto</t>
        </is>
      </c>
      <c r="F12" s="3" t="inlineStr">
        <is>
          <t>Aceite humano</t>
        </is>
      </c>
      <c r="G12" s="12" t="inlineStr">
        <is>
          <t>Gate</t>
        </is>
      </c>
      <c r="H12" s="12" t="inlineStr">
        <is>
          <t>Aceitar S01 — Ratificar escopo, soberania e composição</t>
        </is>
      </c>
      <c r="I12" s="3" t="inlineStr">
        <is>
          <t>Revisar as dez tarefas, executar a demonstração do sprint, confrontar critérios e registrar decisão go/no-go.</t>
        </is>
      </c>
      <c r="J12" s="3" t="inlineStr">
        <is>
          <t>reports/S01/acceptance.md</t>
        </is>
      </c>
      <c r="K12" s="3" t="inlineStr">
        <is>
          <t>Autor consegue explicar offline, Jev, workers e cinco alvos sem contradições. Todas as dependências aceitas; evidências vinculadas a revisão/ambiente; nenhum blocker de integridade/segurança.</t>
        </is>
      </c>
      <c r="L12" s="3" t="inlineStr">
        <is>
          <t>SL-S01-01; SL-S01-02; SL-S01-03; SL-S01-04; SL-S01-05; SL-S01-06; SL-S01-07; SL-S01-08; SL-S01-09; SL-S01-10</t>
        </is>
      </c>
      <c r="M12" s="3" t="inlineStr">
        <is>
          <t>R01; R03; R07; R08; R33; R34</t>
        </is>
      </c>
      <c r="N12" s="10" t="inlineStr">
        <is>
          <t>Não iniciado</t>
        </is>
      </c>
      <c r="O12" s="3" t="inlineStr">
        <is>
          <t>P0</t>
        </is>
      </c>
      <c r="P12" s="3" t="inlineStr">
        <is>
          <t>Crítico</t>
        </is>
      </c>
      <c r="Q12" s="3" t="inlineStr">
        <is>
          <t>Obrigatória para fechar a versão aprovada</t>
        </is>
      </c>
      <c r="R12" s="10" t="inlineStr">
        <is>
          <t>Autor</t>
        </is>
      </c>
      <c r="S12" s="10" t="inlineStr"/>
      <c r="T12" s="11" t="inlineStr"/>
      <c r="U12" s="3" t="inlineStr">
        <is>
          <t>reports/S01/acceptance.md</t>
        </is>
      </c>
      <c r="V12" s="10" t="inlineStr"/>
      <c r="W12" s="10" t="inlineStr"/>
      <c r="X12" s="3">
        <f>IF(N12="Concluído",IF(AND(S12&lt;&gt;"",ISNUMBER(T12),T12&gt;0,V12&lt;&gt;"",AND(OR(X2="OK",X2="DISPENSADO"),OR(X3="OK",X3="DISPENSADO"),OR(X4="OK",X4="DISPENSADO"),OR(X5="OK",X5="DISPENSADO"),OR(X6="OK",X6="DISPENSADO"),OR(X7="OK",X7="DISPENSADO"),OR(X8="OK",X8="DISPENSADO"),OR(X9="OK",X9="DISPENSADO"),OR(X10="OK",X10="DISPENSADO"),OR(X11="OK",X11="DISPENSADO"))),"OK","REVISAR"),IF(N12="Dispensado (ADR)",IF(AND(LEFT(Q12,11)="Condicional",W12&lt;&gt;"",S12&lt;&gt;"",ISNUMBER(T12),T12&gt;0,V12&lt;&gt;""),"DISPENSADO","REVISAR"),"PENDENTE"))</f>
        <v/>
      </c>
      <c r="Y12" s="10" t="inlineStr"/>
    </row>
    <row r="13" ht="112" customHeight="1">
      <c r="A13" s="3" t="n">
        <v>12</v>
      </c>
      <c r="B13" s="3" t="inlineStr">
        <is>
          <t>SL-S02-01</t>
        </is>
      </c>
      <c r="C13" s="9" t="inlineStr">
        <is>
          <t>v0.0.1</t>
        </is>
      </c>
      <c r="D13" s="9" t="inlineStr">
        <is>
          <t>S02</t>
        </is>
      </c>
      <c r="E13" s="3" t="inlineStr">
        <is>
          <t>Vault / contratos</t>
        </is>
      </c>
      <c r="F13" s="3" t="inlineStr">
        <is>
          <t>Próprio</t>
        </is>
      </c>
      <c r="G13" s="3" t="inlineStr">
        <is>
          <t>Contrato</t>
        </is>
      </c>
      <c r="H13" s="3" t="inlineStr">
        <is>
          <t>Definir entidade e ocorrência</t>
        </is>
      </c>
      <c r="I13" s="3" t="inlineStr">
        <is>
          <t>Separar fonte, conteúdo da célula/nota, ocorrência visual, grupo, aresta, Peça e bloco.</t>
        </is>
      </c>
      <c r="J13" s="3" t="inlineStr">
        <is>
          <t>schemas/domain-v0.json</t>
        </is>
      </c>
      <c r="K13" s="3" t="inlineStr">
        <is>
          <t>A mesma nota em dois boards tem conteúdo único e duas geometrias independentes.</t>
        </is>
      </c>
      <c r="L13" s="3" t="inlineStr">
        <is>
          <t>SL-S01-GATE</t>
        </is>
      </c>
      <c r="M13" s="3" t="inlineStr">
        <is>
          <t>R02; R04; R05; R11; R13; R32; R37</t>
        </is>
      </c>
      <c r="N13" s="10" t="inlineStr">
        <is>
          <t>Não iniciado</t>
        </is>
      </c>
      <c r="O13" s="3" t="inlineStr">
        <is>
          <t>P0</t>
        </is>
      </c>
      <c r="P13" s="3" t="inlineStr">
        <is>
          <t>Crítico</t>
        </is>
      </c>
      <c r="Q13" s="3" t="inlineStr">
        <is>
          <t>Obrigatória no escopo da versão</t>
        </is>
      </c>
      <c r="R13" s="10" t="inlineStr">
        <is>
          <t>Autor + agente de IA</t>
        </is>
      </c>
      <c r="S13" s="10" t="inlineStr"/>
      <c r="T13" s="11" t="inlineStr"/>
      <c r="U13" s="3" t="inlineStr">
        <is>
          <t>reports/S02/SL-S02-01.md</t>
        </is>
      </c>
      <c r="V13" s="10" t="inlineStr"/>
      <c r="W13" s="10" t="inlineStr"/>
      <c r="X13" s="3">
        <f>IF(N13="Concluído",IF(AND(S13&lt;&gt;"",ISNUMBER(T13),T13&gt;0,V13&lt;&gt;"",AND(OR(X12="OK",X12="DISPENSADO"))),"OK","REVISAR"),IF(N13="Dispensado (ADR)",IF(AND(LEFT(Q13,11)="Condicional",W13&lt;&gt;"",S13&lt;&gt;"",ISNUMBER(T13),T13&gt;0,V13&lt;&gt;""),"DISPENSADO","REVISAR"),"PENDENTE"))</f>
        <v/>
      </c>
      <c r="Y13" s="10" t="inlineStr"/>
    </row>
    <row r="14" ht="112" customHeight="1">
      <c r="A14" s="3" t="n">
        <v>13</v>
      </c>
      <c r="B14" s="3" t="inlineStr">
        <is>
          <t>SL-S02-02</t>
        </is>
      </c>
      <c r="C14" s="9" t="inlineStr">
        <is>
          <t>v0.0.1</t>
        </is>
      </c>
      <c r="D14" s="9" t="inlineStr">
        <is>
          <t>S02</t>
        </is>
      </c>
      <c r="E14" s="3" t="inlineStr">
        <is>
          <t>Vault / contratos</t>
        </is>
      </c>
      <c r="F14" s="3" t="inlineStr">
        <is>
          <t>Próprio</t>
        </is>
      </c>
      <c r="G14" s="3" t="inlineStr">
        <is>
          <t>Contrato</t>
        </is>
      </c>
      <c r="H14" s="3" t="inlineStr">
        <is>
          <t>Definir IDs estáveis</t>
        </is>
      </c>
      <c r="I14" s="3" t="inlineStr">
        <is>
          <t>Fixar geração, namespace e regras de colisão sem depender do nome do arquivo.</t>
        </is>
      </c>
      <c r="J14" s="3" t="inlineStr">
        <is>
          <t>schemas/identity-v0.json</t>
        </is>
      </c>
      <c r="K14" s="3" t="inlineStr">
        <is>
          <t>Renomear/mover não altera identidade; duplicar como nova autoria recebe novo ID.</t>
        </is>
      </c>
      <c r="L14" s="3" t="inlineStr">
        <is>
          <t>SL-S02-01</t>
        </is>
      </c>
      <c r="M14" s="3" t="inlineStr">
        <is>
          <t>R02; R04; R05; R11; R13; R32; R37</t>
        </is>
      </c>
      <c r="N14" s="10" t="inlineStr">
        <is>
          <t>Não iniciado</t>
        </is>
      </c>
      <c r="O14" s="3" t="inlineStr">
        <is>
          <t>P0</t>
        </is>
      </c>
      <c r="P14" s="3" t="inlineStr">
        <is>
          <t>Crítico</t>
        </is>
      </c>
      <c r="Q14" s="3" t="inlineStr">
        <is>
          <t>Obrigatória no escopo da versão</t>
        </is>
      </c>
      <c r="R14" s="10" t="inlineStr">
        <is>
          <t>Autor + agente de IA</t>
        </is>
      </c>
      <c r="S14" s="10" t="inlineStr"/>
      <c r="T14" s="11" t="inlineStr"/>
      <c r="U14" s="3" t="inlineStr">
        <is>
          <t>reports/S02/SL-S02-02.md</t>
        </is>
      </c>
      <c r="V14" s="10" t="inlineStr"/>
      <c r="W14" s="10" t="inlineStr"/>
      <c r="X14" s="3">
        <f>IF(N14="Concluído",IF(AND(S14&lt;&gt;"",ISNUMBER(T14),T14&gt;0,V14&lt;&gt;"",AND(OR(X13="OK",X13="DISPENSADO"))),"OK","REVISAR"),IF(N14="Dispensado (ADR)",IF(AND(LEFT(Q14,11)="Condicional",W14&lt;&gt;"",S14&lt;&gt;"",ISNUMBER(T14),T14&gt;0,V14&lt;&gt;""),"DISPENSADO","REVISAR"),"PENDENTE"))</f>
        <v/>
      </c>
      <c r="Y14" s="10" t="inlineStr"/>
    </row>
    <row r="15" ht="112" customHeight="1">
      <c r="A15" s="3" t="n">
        <v>14</v>
      </c>
      <c r="B15" s="3" t="inlineStr">
        <is>
          <t>SL-S02-03</t>
        </is>
      </c>
      <c r="C15" s="9" t="inlineStr">
        <is>
          <t>v0.0.1</t>
        </is>
      </c>
      <c r="D15" s="9" t="inlineStr">
        <is>
          <t>S02</t>
        </is>
      </c>
      <c r="E15" s="3" t="inlineStr">
        <is>
          <t>Vault / contratos</t>
        </is>
      </c>
      <c r="F15" s="3" t="inlineStr">
        <is>
          <t>Próprio</t>
        </is>
      </c>
      <c r="G15" s="3" t="inlineStr">
        <is>
          <t>Decisão</t>
        </is>
      </c>
      <c r="H15" s="3" t="inlineStr">
        <is>
          <t>Definir autoridade de arquivos</t>
        </is>
      </c>
      <c r="I15" s="3" t="inlineStr">
        <is>
          <t>Formalizar JSON+histórico e MPK derivado; resolver ADR-002.</t>
        </is>
      </c>
      <c r="J15" s="3" t="inlineStr">
        <is>
          <t>docs/adr/002-file-truth.md</t>
        </is>
      </c>
      <c r="K15" s="3" t="inlineStr">
        <is>
          <t>Recuperação tem precedência determinística e não escolhe fonte por timestamp arbitrário.</t>
        </is>
      </c>
      <c r="L15" s="3" t="inlineStr">
        <is>
          <t>SL-S02-02</t>
        </is>
      </c>
      <c r="M15" s="3" t="inlineStr">
        <is>
          <t>R02; R04; R05; R11; R13; R32; R37</t>
        </is>
      </c>
      <c r="N15" s="10" t="inlineStr">
        <is>
          <t>Não iniciado</t>
        </is>
      </c>
      <c r="O15" s="3" t="inlineStr">
        <is>
          <t>P0</t>
        </is>
      </c>
      <c r="P15" s="3" t="inlineStr">
        <is>
          <t>Crítico</t>
        </is>
      </c>
      <c r="Q15" s="3" t="inlineStr">
        <is>
          <t>Obrigatória no escopo da versão</t>
        </is>
      </c>
      <c r="R15" s="10" t="inlineStr">
        <is>
          <t>Autor</t>
        </is>
      </c>
      <c r="S15" s="10" t="inlineStr"/>
      <c r="T15" s="11" t="inlineStr"/>
      <c r="U15" s="3" t="inlineStr">
        <is>
          <t>reports/S02/SL-S02-03.md</t>
        </is>
      </c>
      <c r="V15" s="10" t="inlineStr"/>
      <c r="W15" s="10" t="inlineStr"/>
      <c r="X15" s="3">
        <f>IF(N15="Concluído",IF(AND(S15&lt;&gt;"",ISNUMBER(T15),T15&gt;0,V15&lt;&gt;"",AND(OR(X14="OK",X14="DISPENSADO"))),"OK","REVISAR"),IF(N15="Dispensado (ADR)",IF(AND(LEFT(Q15,11)="Condicional",W15&lt;&gt;"",S15&lt;&gt;"",ISNUMBER(T15),T15&gt;0,V15&lt;&gt;""),"DISPENSADO","REVISAR"),"PENDENTE"))</f>
        <v/>
      </c>
      <c r="Y15" s="10" t="inlineStr"/>
    </row>
    <row r="16" ht="112" customHeight="1">
      <c r="A16" s="3" t="n">
        <v>15</v>
      </c>
      <c r="B16" s="3" t="inlineStr">
        <is>
          <t>SL-S02-04</t>
        </is>
      </c>
      <c r="C16" s="9" t="inlineStr">
        <is>
          <t>v0.0.1</t>
        </is>
      </c>
      <c r="D16" s="9" t="inlineStr">
        <is>
          <t>S02</t>
        </is>
      </c>
      <c r="E16" s="3" t="inlineStr">
        <is>
          <t>Vault / contratos</t>
        </is>
      </c>
      <c r="F16" s="3" t="inlineStr">
        <is>
          <t>Próprio</t>
        </is>
      </c>
      <c r="G16" s="3" t="inlineStr">
        <is>
          <t>Contrato</t>
        </is>
      </c>
      <c r="H16" s="3" t="inlineStr">
        <is>
          <t>Especificar perfil Markdown</t>
        </is>
      </c>
      <c r="I16" s="3" t="inlineStr">
        <is>
          <t>Listar blocos suportados e representação de frontmatter, IDs, tabelas e citações.</t>
        </is>
      </c>
      <c r="J16" s="3" t="inlineStr">
        <is>
          <t>docs/adr/005-markdown-profile.md</t>
        </is>
      </c>
      <c r="K16" s="3" t="inlineStr">
        <is>
          <t>Cada bloco possui round-trip previsto; recurso não representável é preservado ou recusado, não achatado.</t>
        </is>
      </c>
      <c r="L16" s="3" t="inlineStr">
        <is>
          <t>SL-S02-03</t>
        </is>
      </c>
      <c r="M16" s="3" t="inlineStr">
        <is>
          <t>R02; R04; R05; R11; R13; R32; R37</t>
        </is>
      </c>
      <c r="N16" s="10" t="inlineStr">
        <is>
          <t>Não iniciado</t>
        </is>
      </c>
      <c r="O16" s="3" t="inlineStr">
        <is>
          <t>P0</t>
        </is>
      </c>
      <c r="P16" s="3" t="inlineStr">
        <is>
          <t>Crítico</t>
        </is>
      </c>
      <c r="Q16" s="3" t="inlineStr">
        <is>
          <t>Obrigatória no escopo da versão</t>
        </is>
      </c>
      <c r="R16" s="10" t="inlineStr">
        <is>
          <t>Autor + agente de IA</t>
        </is>
      </c>
      <c r="S16" s="10" t="inlineStr"/>
      <c r="T16" s="11" t="inlineStr"/>
      <c r="U16" s="3" t="inlineStr">
        <is>
          <t>reports/S02/SL-S02-04.md</t>
        </is>
      </c>
      <c r="V16" s="10" t="inlineStr"/>
      <c r="W16" s="10" t="inlineStr"/>
      <c r="X16" s="3">
        <f>IF(N16="Concluído",IF(AND(S16&lt;&gt;"",ISNUMBER(T16),T16&gt;0,V16&lt;&gt;"",AND(OR(X15="OK",X15="DISPENSADO"))),"OK","REVISAR"),IF(N16="Dispensado (ADR)",IF(AND(LEFT(Q16,11)="Condicional",W16&lt;&gt;"",S16&lt;&gt;"",ISNUMBER(T16),T16&gt;0,V16&lt;&gt;""),"DISPENSADO","REVISAR"),"PENDENTE"))</f>
        <v/>
      </c>
      <c r="Y16" s="10" t="inlineStr"/>
    </row>
    <row r="17" ht="112" customHeight="1">
      <c r="A17" s="3" t="n">
        <v>16</v>
      </c>
      <c r="B17" s="3" t="inlineStr">
        <is>
          <t>SL-S02-05</t>
        </is>
      </c>
      <c r="C17" s="9" t="inlineStr">
        <is>
          <t>v0.0.1</t>
        </is>
      </c>
      <c r="D17" s="9" t="inlineStr">
        <is>
          <t>S02</t>
        </is>
      </c>
      <c r="E17" s="3" t="inlineStr">
        <is>
          <t>Vault / contratos</t>
        </is>
      </c>
      <c r="F17" s="3" t="inlineStr">
        <is>
          <t>Próprio</t>
        </is>
      </c>
      <c r="G17" s="3" t="inlineStr">
        <is>
          <t>Contrato</t>
        </is>
      </c>
      <c r="H17" s="3" t="inlineStr">
        <is>
          <t>Especificar topologia</t>
        </is>
      </c>
      <c r="I17" s="3" t="inlineStr">
        <is>
          <t>Registrar posições, dimensões, grupos, conexões, rótulos e referências de conteúdo.</t>
        </is>
      </c>
      <c r="J17" s="3" t="inlineStr">
        <is>
          <t>schemas/board-v0.json</t>
        </is>
      </c>
      <c r="K17" s="3" t="inlineStr">
        <is>
          <t>Ciclos e arestas entre grupos são representáveis sem duplicar conteúdo.</t>
        </is>
      </c>
      <c r="L17" s="3" t="inlineStr">
        <is>
          <t>SL-S02-04</t>
        </is>
      </c>
      <c r="M17" s="3" t="inlineStr">
        <is>
          <t>R02; R04; R05; R11; R13; R32; R37</t>
        </is>
      </c>
      <c r="N17" s="10" t="inlineStr">
        <is>
          <t>Não iniciado</t>
        </is>
      </c>
      <c r="O17" s="3" t="inlineStr">
        <is>
          <t>P0</t>
        </is>
      </c>
      <c r="P17" s="3" t="inlineStr">
        <is>
          <t>Crítico</t>
        </is>
      </c>
      <c r="Q17" s="3" t="inlineStr">
        <is>
          <t>Obrigatória no escopo da versão</t>
        </is>
      </c>
      <c r="R17" s="10" t="inlineStr">
        <is>
          <t>Autor + agente de IA</t>
        </is>
      </c>
      <c r="S17" s="10" t="inlineStr"/>
      <c r="T17" s="11" t="inlineStr"/>
      <c r="U17" s="3" t="inlineStr">
        <is>
          <t>reports/S02/SL-S02-05.md</t>
        </is>
      </c>
      <c r="V17" s="10" t="inlineStr"/>
      <c r="W17" s="10" t="inlineStr"/>
      <c r="X17" s="3">
        <f>IF(N17="Concluído",IF(AND(S17&lt;&gt;"",ISNUMBER(T17),T17&gt;0,V17&lt;&gt;"",AND(OR(X16="OK",X16="DISPENSADO"))),"OK","REVISAR"),IF(N17="Dispensado (ADR)",IF(AND(LEFT(Q17,11)="Condicional",W17&lt;&gt;"",S17&lt;&gt;"",ISNUMBER(T17),T17&gt;0,V17&lt;&gt;""),"DISPENSADO","REVISAR"),"PENDENTE"))</f>
        <v/>
      </c>
      <c r="Y17" s="10" t="inlineStr"/>
    </row>
    <row r="18" ht="112" customHeight="1">
      <c r="A18" s="3" t="n">
        <v>17</v>
      </c>
      <c r="B18" s="3" t="inlineStr">
        <is>
          <t>SL-S02-06</t>
        </is>
      </c>
      <c r="C18" s="9" t="inlineStr">
        <is>
          <t>v0.0.1</t>
        </is>
      </c>
      <c r="D18" s="9" t="inlineStr">
        <is>
          <t>S02</t>
        </is>
      </c>
      <c r="E18" s="3" t="inlineStr">
        <is>
          <t>Vault / contratos</t>
        </is>
      </c>
      <c r="F18" s="3" t="inlineStr">
        <is>
          <t>Próprio</t>
        </is>
      </c>
      <c r="G18" s="3" t="inlineStr">
        <is>
          <t>Contrato</t>
        </is>
      </c>
      <c r="H18" s="3" t="inlineStr">
        <is>
          <t>Especificar revisões e eventos</t>
        </is>
      </c>
      <c r="I18" s="3" t="inlineStr">
        <is>
          <t>Definir base_revision, operação, autor, origem IA e marcador de confirmação.</t>
        </is>
      </c>
      <c r="J18" s="3" t="inlineStr">
        <is>
          <t>schemas/event-v0.json</t>
        </is>
      </c>
      <c r="K18" s="3" t="inlineStr">
        <is>
          <t>Evento não confirmado é distinguível de estado salvo; replay e conflitos têm regras explícitas.</t>
        </is>
      </c>
      <c r="L18" s="3" t="inlineStr">
        <is>
          <t>SL-S02-05</t>
        </is>
      </c>
      <c r="M18" s="3" t="inlineStr">
        <is>
          <t>R02; R04; R05; R11; R13; R32; R37</t>
        </is>
      </c>
      <c r="N18" s="10" t="inlineStr">
        <is>
          <t>Não iniciado</t>
        </is>
      </c>
      <c r="O18" s="3" t="inlineStr">
        <is>
          <t>P0</t>
        </is>
      </c>
      <c r="P18" s="3" t="inlineStr">
        <is>
          <t>Crítico</t>
        </is>
      </c>
      <c r="Q18" s="3" t="inlineStr">
        <is>
          <t>Obrigatória no escopo da versão</t>
        </is>
      </c>
      <c r="R18" s="10" t="inlineStr">
        <is>
          <t>Autor + agente de IA</t>
        </is>
      </c>
      <c r="S18" s="10" t="inlineStr"/>
      <c r="T18" s="11" t="inlineStr"/>
      <c r="U18" s="3" t="inlineStr">
        <is>
          <t>reports/S02/SL-S02-06.md</t>
        </is>
      </c>
      <c r="V18" s="10" t="inlineStr"/>
      <c r="W18" s="10" t="inlineStr"/>
      <c r="X18" s="3">
        <f>IF(N18="Concluído",IF(AND(S18&lt;&gt;"",ISNUMBER(T18),T18&gt;0,V18&lt;&gt;"",AND(OR(X17="OK",X17="DISPENSADO"))),"OK","REVISAR"),IF(N18="Dispensado (ADR)",IF(AND(LEFT(Q18,11)="Condicional",W18&lt;&gt;"",S18&lt;&gt;"",ISNUMBER(T18),T18&gt;0,V18&lt;&gt;""),"DISPENSADO","REVISAR"),"PENDENTE"))</f>
        <v/>
      </c>
      <c r="Y18" s="10" t="inlineStr"/>
    </row>
    <row r="19" ht="112" customHeight="1">
      <c r="A19" s="3" t="n">
        <v>18</v>
      </c>
      <c r="B19" s="3" t="inlineStr">
        <is>
          <t>SL-S02-07</t>
        </is>
      </c>
      <c r="C19" s="9" t="inlineStr">
        <is>
          <t>v0.0.1</t>
        </is>
      </c>
      <c r="D19" s="9" t="inlineStr">
        <is>
          <t>S02</t>
        </is>
      </c>
      <c r="E19" s="3" t="inlineStr">
        <is>
          <t>Vault / contratos</t>
        </is>
      </c>
      <c r="F19" s="3" t="inlineStr">
        <is>
          <t>Próprio</t>
        </is>
      </c>
      <c r="G19" s="3" t="inlineStr">
        <is>
          <t>Contrato</t>
        </is>
      </c>
      <c r="H19" s="3" t="inlineStr">
        <is>
          <t>Especificar evidência</t>
        </is>
      </c>
      <c r="I19" s="3" t="inlineStr">
        <is>
          <t>Combinar source_id, revisão, trecho, localizador, hash e bloco de destino.</t>
        </is>
      </c>
      <c r="J19" s="3" t="inlineStr">
        <is>
          <t>schemas/evidence-v0.json</t>
        </is>
      </c>
      <c r="K19" s="3" t="inlineStr">
        <is>
          <t>Referência distingue texto citado de comentário e não se torna inválida por renomeação.</t>
        </is>
      </c>
      <c r="L19" s="3" t="inlineStr">
        <is>
          <t>SL-S02-06</t>
        </is>
      </c>
      <c r="M19" s="3" t="inlineStr">
        <is>
          <t>R02; R04; R05; R11; R13; R32; R37</t>
        </is>
      </c>
      <c r="N19" s="10" t="inlineStr">
        <is>
          <t>Não iniciado</t>
        </is>
      </c>
      <c r="O19" s="3" t="inlineStr">
        <is>
          <t>P0</t>
        </is>
      </c>
      <c r="P19" s="3" t="inlineStr">
        <is>
          <t>Crítico</t>
        </is>
      </c>
      <c r="Q19" s="3" t="inlineStr">
        <is>
          <t>Obrigatória no escopo da versão</t>
        </is>
      </c>
      <c r="R19" s="10" t="inlineStr">
        <is>
          <t>Autor + agente de IA</t>
        </is>
      </c>
      <c r="S19" s="10" t="inlineStr"/>
      <c r="T19" s="11" t="inlineStr"/>
      <c r="U19" s="3" t="inlineStr">
        <is>
          <t>reports/S02/SL-S02-07.md</t>
        </is>
      </c>
      <c r="V19" s="10" t="inlineStr"/>
      <c r="W19" s="10" t="inlineStr"/>
      <c r="X19" s="3">
        <f>IF(N19="Concluído",IF(AND(S19&lt;&gt;"",ISNUMBER(T19),T19&gt;0,V19&lt;&gt;"",AND(OR(X18="OK",X18="DISPENSADO"))),"OK","REVISAR"),IF(N19="Dispensado (ADR)",IF(AND(LEFT(Q19,11)="Condicional",W19&lt;&gt;"",S19&lt;&gt;"",ISNUMBER(T19),T19&gt;0,V19&lt;&gt;""),"DISPENSADO","REVISAR"),"PENDENTE"))</f>
        <v/>
      </c>
      <c r="Y19" s="10" t="inlineStr"/>
    </row>
    <row r="20" ht="112" customHeight="1">
      <c r="A20" s="3" t="n">
        <v>19</v>
      </c>
      <c r="B20" s="3" t="inlineStr">
        <is>
          <t>SL-S02-08</t>
        </is>
      </c>
      <c r="C20" s="9" t="inlineStr">
        <is>
          <t>v0.0.1</t>
        </is>
      </c>
      <c r="D20" s="9" t="inlineStr">
        <is>
          <t>S02</t>
        </is>
      </c>
      <c r="E20" s="3" t="inlineStr">
        <is>
          <t>Vault / contratos</t>
        </is>
      </c>
      <c r="F20" s="3" t="inlineStr">
        <is>
          <t>Próprio</t>
        </is>
      </c>
      <c r="G20" s="3" t="inlineStr">
        <is>
          <t>Contrato</t>
        </is>
      </c>
      <c r="H20" s="3" t="inlineStr">
        <is>
          <t>Especificar metadados de IA</t>
        </is>
      </c>
      <c r="I20" s="3" t="inlineStr">
        <is>
          <t>Separar resumo gerado/editado, tags sugeridas/aceitas e identificação do pipeline.</t>
        </is>
      </c>
      <c r="J20" s="3" t="inlineStr">
        <is>
          <t>schemas/enrichment-v0.json</t>
        </is>
      </c>
      <c r="K20" s="3" t="inlineStr">
        <is>
          <t>Reprocessamento não sobrescreve correção humana; cobertura parcial pode ser declarada.</t>
        </is>
      </c>
      <c r="L20" s="3" t="inlineStr">
        <is>
          <t>SL-S02-07</t>
        </is>
      </c>
      <c r="M20" s="3" t="inlineStr">
        <is>
          <t>R02; R04; R05; R11; R13; R32; R37</t>
        </is>
      </c>
      <c r="N20" s="10" t="inlineStr">
        <is>
          <t>Não iniciado</t>
        </is>
      </c>
      <c r="O20" s="3" t="inlineStr">
        <is>
          <t>P0</t>
        </is>
      </c>
      <c r="P20" s="3" t="inlineStr">
        <is>
          <t>Crítico</t>
        </is>
      </c>
      <c r="Q20" s="3" t="inlineStr">
        <is>
          <t>Obrigatória no escopo da versão</t>
        </is>
      </c>
      <c r="R20" s="10" t="inlineStr">
        <is>
          <t>Autor + agente de IA</t>
        </is>
      </c>
      <c r="S20" s="10" t="inlineStr"/>
      <c r="T20" s="11" t="inlineStr"/>
      <c r="U20" s="3" t="inlineStr">
        <is>
          <t>reports/S02/SL-S02-08.md</t>
        </is>
      </c>
      <c r="V20" s="10" t="inlineStr"/>
      <c r="W20" s="10" t="inlineStr"/>
      <c r="X20" s="3">
        <f>IF(N20="Concluído",IF(AND(S20&lt;&gt;"",ISNUMBER(T20),T20&gt;0,V20&lt;&gt;"",AND(OR(X19="OK",X19="DISPENSADO"))),"OK","REVISAR"),IF(N20="Dispensado (ADR)",IF(AND(LEFT(Q20,11)="Condicional",W20&lt;&gt;"",S20&lt;&gt;"",ISNUMBER(T20),T20&gt;0,V20&lt;&gt;""),"DISPENSADO","REVISAR"),"PENDENTE"))</f>
        <v/>
      </c>
      <c r="Y20" s="10" t="inlineStr"/>
    </row>
    <row r="21" ht="112" customHeight="1">
      <c r="A21" s="3" t="n">
        <v>20</v>
      </c>
      <c r="B21" s="3" t="inlineStr">
        <is>
          <t>SL-S02-09</t>
        </is>
      </c>
      <c r="C21" s="9" t="inlineStr">
        <is>
          <t>v0.0.1</t>
        </is>
      </c>
      <c r="D21" s="9" t="inlineStr">
        <is>
          <t>S02</t>
        </is>
      </c>
      <c r="E21" s="3" t="inlineStr">
        <is>
          <t>Vault / contratos</t>
        </is>
      </c>
      <c r="F21" s="3" t="inlineStr">
        <is>
          <t>Próprio</t>
        </is>
      </c>
      <c r="G21" s="3" t="inlineStr">
        <is>
          <t>Teste</t>
        </is>
      </c>
      <c r="H21" s="3" t="inlineStr">
        <is>
          <t>Construir fixtures válidas e inválidas</t>
        </is>
      </c>
      <c r="I21" s="3" t="inlineStr">
        <is>
          <t>Criar um Vault mínimo, um completo e casos com campos desconhecidos.</t>
        </is>
      </c>
      <c r="J21" s="3" t="inlineStr">
        <is>
          <t>tests/fixtures/schema/</t>
        </is>
      </c>
      <c r="K21" s="3" t="inlineStr">
        <is>
          <t>Validadores aceitam extensões permitidas e rejeitam IDs duplicados, tipos errados e referências impossíveis.</t>
        </is>
      </c>
      <c r="L21" s="3" t="inlineStr">
        <is>
          <t>SL-S02-08</t>
        </is>
      </c>
      <c r="M21" s="3" t="inlineStr">
        <is>
          <t>R02; R04; R05; R11; R13; R32; R37</t>
        </is>
      </c>
      <c r="N21" s="10" t="inlineStr">
        <is>
          <t>Não iniciado</t>
        </is>
      </c>
      <c r="O21" s="3" t="inlineStr">
        <is>
          <t>P0</t>
        </is>
      </c>
      <c r="P21" s="3" t="inlineStr">
        <is>
          <t>Crítico</t>
        </is>
      </c>
      <c r="Q21" s="3" t="inlineStr">
        <is>
          <t>Obrigatória no escopo da versão</t>
        </is>
      </c>
      <c r="R21" s="10" t="inlineStr">
        <is>
          <t>Autor + agente de IA</t>
        </is>
      </c>
      <c r="S21" s="10" t="inlineStr"/>
      <c r="T21" s="11" t="inlineStr"/>
      <c r="U21" s="3" t="inlineStr">
        <is>
          <t>reports/S02/SL-S02-09.md</t>
        </is>
      </c>
      <c r="V21" s="10" t="inlineStr"/>
      <c r="W21" s="10" t="inlineStr"/>
      <c r="X21" s="3">
        <f>IF(N21="Concluído",IF(AND(S21&lt;&gt;"",ISNUMBER(T21),T21&gt;0,V21&lt;&gt;"",AND(OR(X20="OK",X20="DISPENSADO"))),"OK","REVISAR"),IF(N21="Dispensado (ADR)",IF(AND(LEFT(Q21,11)="Condicional",W21&lt;&gt;"",S21&lt;&gt;"",ISNUMBER(T21),T21&gt;0,V21&lt;&gt;""),"DISPENSADO","REVISAR"),"PENDENTE"))</f>
        <v/>
      </c>
      <c r="Y21" s="10" t="inlineStr"/>
    </row>
    <row r="22" ht="112" customHeight="1">
      <c r="A22" s="3" t="n">
        <v>21</v>
      </c>
      <c r="B22" s="3" t="inlineStr">
        <is>
          <t>SL-S02-10</t>
        </is>
      </c>
      <c r="C22" s="9" t="inlineStr">
        <is>
          <t>v0.0.1</t>
        </is>
      </c>
      <c r="D22" s="9" t="inlineStr">
        <is>
          <t>S02</t>
        </is>
      </c>
      <c r="E22" s="3" t="inlineStr">
        <is>
          <t>Vault / contratos</t>
        </is>
      </c>
      <c r="F22" s="3" t="inlineStr">
        <is>
          <t>Próprio</t>
        </is>
      </c>
      <c r="G22" s="3" t="inlineStr">
        <is>
          <t>Decisão</t>
        </is>
      </c>
      <c r="H22" s="3" t="inlineStr">
        <is>
          <t>Definir evolução de schema</t>
        </is>
      </c>
      <c r="I22" s="3" t="inlineStr">
        <is>
          <t>Documentar migração, versão desconhecida, abertura somente leitura e exportação.</t>
        </is>
      </c>
      <c r="J22" s="3" t="inlineStr">
        <is>
          <t>docs/contracts/schema-evolution.md</t>
        </is>
      </c>
      <c r="K22" s="3" t="inlineStr">
        <is>
          <t>Um app antigo nunca regrava silenciosamente um formato novo que não compreende.</t>
        </is>
      </c>
      <c r="L22" s="3" t="inlineStr">
        <is>
          <t>SL-S02-09</t>
        </is>
      </c>
      <c r="M22" s="3" t="inlineStr">
        <is>
          <t>R02; R04; R05; R11; R13; R32; R37</t>
        </is>
      </c>
      <c r="N22" s="10" t="inlineStr">
        <is>
          <t>Não iniciado</t>
        </is>
      </c>
      <c r="O22" s="3" t="inlineStr">
        <is>
          <t>P0</t>
        </is>
      </c>
      <c r="P22" s="3" t="inlineStr">
        <is>
          <t>Crítico</t>
        </is>
      </c>
      <c r="Q22" s="3" t="inlineStr">
        <is>
          <t>Obrigatória no escopo da versão</t>
        </is>
      </c>
      <c r="R22" s="10" t="inlineStr">
        <is>
          <t>Autor</t>
        </is>
      </c>
      <c r="S22" s="10" t="inlineStr"/>
      <c r="T22" s="11" t="inlineStr"/>
      <c r="U22" s="3" t="inlineStr">
        <is>
          <t>reports/S02/SL-S02-10.md</t>
        </is>
      </c>
      <c r="V22" s="10" t="inlineStr"/>
      <c r="W22" s="10" t="inlineStr"/>
      <c r="X22" s="3">
        <f>IF(N22="Concluído",IF(AND(S22&lt;&gt;"",ISNUMBER(T22),T22&gt;0,V22&lt;&gt;"",AND(OR(X21="OK",X21="DISPENSADO"))),"OK","REVISAR"),IF(N22="Dispensado (ADR)",IF(AND(LEFT(Q22,11)="Condicional",W22&lt;&gt;"",S22&lt;&gt;"",ISNUMBER(T22),T22&gt;0,V22&lt;&gt;""),"DISPENSADO","REVISAR"),"PENDENTE"))</f>
        <v/>
      </c>
      <c r="Y22" s="10" t="inlineStr"/>
    </row>
    <row r="23" ht="98" customHeight="1">
      <c r="A23" s="3" t="n">
        <v>22</v>
      </c>
      <c r="B23" s="12" t="inlineStr">
        <is>
          <t>SL-S02-GATE</t>
        </is>
      </c>
      <c r="C23" s="9" t="inlineStr">
        <is>
          <t>v0.0.1</t>
        </is>
      </c>
      <c r="D23" s="9" t="inlineStr">
        <is>
          <t>S02</t>
        </is>
      </c>
      <c r="E23" s="3" t="inlineStr">
        <is>
          <t>Vault / contratos</t>
        </is>
      </c>
      <c r="F23" s="3" t="inlineStr">
        <is>
          <t>Aceite humano</t>
        </is>
      </c>
      <c r="G23" s="12" t="inlineStr">
        <is>
          <t>Gate</t>
        </is>
      </c>
      <c r="H23" s="12" t="inlineStr">
        <is>
          <t>Aceitar S02 — Definir formatos, identidade e autoridade</t>
        </is>
      </c>
      <c r="I23" s="3" t="inlineStr">
        <is>
          <t>Revisar as dez tarefas, executar a demonstração do sprint, confrontar critérios e registrar decisão go/no-go.</t>
        </is>
      </c>
      <c r="J23" s="3" t="inlineStr">
        <is>
          <t>reports/S02/acceptance.md</t>
        </is>
      </c>
      <c r="K23" s="3" t="inlineStr">
        <is>
          <t>Fixtures independentes dos motores representam uma mesa e uma Peça completas. Todas as dependências aceitas; evidências vinculadas a revisão/ambiente; nenhum blocker de integridade/segurança.</t>
        </is>
      </c>
      <c r="L23" s="3" t="inlineStr">
        <is>
          <t>SL-S02-01; SL-S02-02; SL-S02-03; SL-S02-04; SL-S02-05; SL-S02-06; SL-S02-07; SL-S02-08; SL-S02-09; SL-S02-10</t>
        </is>
      </c>
      <c r="M23" s="3" t="inlineStr">
        <is>
          <t>R02; R04; R05; R11; R13; R32; R37</t>
        </is>
      </c>
      <c r="N23" s="10" t="inlineStr">
        <is>
          <t>Não iniciado</t>
        </is>
      </c>
      <c r="O23" s="3" t="inlineStr">
        <is>
          <t>P0</t>
        </is>
      </c>
      <c r="P23" s="3" t="inlineStr">
        <is>
          <t>Crítico</t>
        </is>
      </c>
      <c r="Q23" s="3" t="inlineStr">
        <is>
          <t>Obrigatória para fechar a versão aprovada</t>
        </is>
      </c>
      <c r="R23" s="10" t="inlineStr">
        <is>
          <t>Autor</t>
        </is>
      </c>
      <c r="S23" s="10" t="inlineStr"/>
      <c r="T23" s="11" t="inlineStr"/>
      <c r="U23" s="3" t="inlineStr">
        <is>
          <t>reports/S02/acceptance.md</t>
        </is>
      </c>
      <c r="V23" s="10" t="inlineStr"/>
      <c r="W23" s="10" t="inlineStr"/>
      <c r="X23" s="3">
        <f>IF(N23="Concluído",IF(AND(S23&lt;&gt;"",ISNUMBER(T23),T23&gt;0,V23&lt;&gt;"",AND(OR(X13="OK",X13="DISPENSADO"),OR(X14="OK",X14="DISPENSADO"),OR(X15="OK",X15="DISPENSADO"),OR(X16="OK",X16="DISPENSADO"),OR(X17="OK",X17="DISPENSADO"),OR(X18="OK",X18="DISPENSADO"),OR(X19="OK",X19="DISPENSADO"),OR(X20="OK",X20="DISPENSADO"),OR(X21="OK",X21="DISPENSADO"),OR(X22="OK",X22="DISPENSADO"))),"OK","REVISAR"),IF(N23="Dispensado (ADR)",IF(AND(LEFT(Q23,11)="Condicional",W23&lt;&gt;"",S23&lt;&gt;"",ISNUMBER(T23),T23&gt;0,V23&lt;&gt;""),"DISPENSADO","REVISAR"),"PENDENTE"))</f>
        <v/>
      </c>
      <c r="Y23" s="10" t="inlineStr"/>
    </row>
    <row r="24" ht="112" customHeight="1">
      <c r="A24" s="3" t="n">
        <v>23</v>
      </c>
      <c r="B24" s="3" t="inlineStr">
        <is>
          <t>SL-S03-01</t>
        </is>
      </c>
      <c r="C24" s="9" t="inlineStr">
        <is>
          <t>v0.0.1</t>
        </is>
      </c>
      <c r="D24" s="9" t="inlineStr">
        <is>
          <t>S03</t>
        </is>
      </c>
      <c r="E24" s="3" t="inlineStr">
        <is>
          <t>Todos os motores / licenças</t>
        </is>
      </c>
      <c r="F24" s="3" t="inlineStr">
        <is>
          <t>Desconstrução</t>
        </is>
      </c>
      <c r="G24" s="3" t="inlineStr">
        <is>
          <t>Upstream</t>
        </is>
      </c>
      <c r="H24" s="3" t="inlineStr">
        <is>
          <t>Inventariar repositórios</t>
        </is>
      </c>
      <c r="I24" s="3" t="inlineStr">
        <is>
          <t>Registrar URL, licença observada, linguagens, releases e componentes transitivos críticos.</t>
        </is>
      </c>
      <c r="J24" s="3" t="inlineStr">
        <is>
          <t>upstream/catalog.yaml</t>
        </is>
      </c>
      <c r="K24" s="3" t="inlineStr">
        <is>
          <t>BlockSuite, PageIndex, Docling, Jev, Qdrant, HelixDB, Scrapling, SearxNG e LocalAI estão cobertos.</t>
        </is>
      </c>
      <c r="L24" s="3" t="inlineStr">
        <is>
          <t>SL-S01-GATE; SL-S02-GATE</t>
        </is>
      </c>
      <c r="M24" s="3" t="inlineStr">
        <is>
          <t>R03; R30; R33; R34</t>
        </is>
      </c>
      <c r="N24" s="10" t="inlineStr">
        <is>
          <t>Não iniciado</t>
        </is>
      </c>
      <c r="O24" s="3" t="inlineStr">
        <is>
          <t>P0</t>
        </is>
      </c>
      <c r="P24" s="3" t="inlineStr">
        <is>
          <t>Crítico</t>
        </is>
      </c>
      <c r="Q24" s="3" t="inlineStr">
        <is>
          <t>Obrigatória no escopo da versão</t>
        </is>
      </c>
      <c r="R24" s="10" t="inlineStr">
        <is>
          <t>Autor + agente de IA</t>
        </is>
      </c>
      <c r="S24" s="10" t="inlineStr"/>
      <c r="T24" s="11" t="inlineStr"/>
      <c r="U24" s="3" t="inlineStr">
        <is>
          <t>reports/S03/SL-S03-01.md</t>
        </is>
      </c>
      <c r="V24" s="10" t="inlineStr"/>
      <c r="W24" s="10" t="inlineStr"/>
      <c r="X24" s="3">
        <f>IF(N24="Concluído",IF(AND(S24&lt;&gt;"",ISNUMBER(T24),T24&gt;0,V24&lt;&gt;"",AND(OR(X12="OK",X12="DISPENSADO"),OR(X23="OK",X23="DISPENSADO"))),"OK","REVISAR"),IF(N24="Dispensado (ADR)",IF(AND(LEFT(Q24,11)="Condicional",W24&lt;&gt;"",S24&lt;&gt;"",ISNUMBER(T24),T24&gt;0,V24&lt;&gt;""),"DISPENSADO","REVISAR"),"PENDENTE"))</f>
        <v/>
      </c>
      <c r="Y24" s="10" t="inlineStr"/>
    </row>
    <row r="25" ht="112" customHeight="1">
      <c r="A25" s="3" t="n">
        <v>24</v>
      </c>
      <c r="B25" s="3" t="inlineStr">
        <is>
          <t>SL-S03-02</t>
        </is>
      </c>
      <c r="C25" s="9" t="inlineStr">
        <is>
          <t>v0.0.1</t>
        </is>
      </c>
      <c r="D25" s="9" t="inlineStr">
        <is>
          <t>S03</t>
        </is>
      </c>
      <c r="E25" s="3" t="inlineStr">
        <is>
          <t>Todos os motores / licenças</t>
        </is>
      </c>
      <c r="F25" s="3" t="inlineStr">
        <is>
          <t>Desconstrução</t>
        </is>
      </c>
      <c r="G25" s="3" t="inlineStr">
        <is>
          <t>Upstream</t>
        </is>
      </c>
      <c r="H25" s="3" t="inlineStr">
        <is>
          <t>Criar manifesto de origem</t>
        </is>
      </c>
      <c r="I25" s="3" t="inlineStr">
        <is>
          <t>Definir campos commit/tag, hashes, patches, avisos e comando de build.</t>
        </is>
      </c>
      <c r="J25" s="3" t="inlineStr">
        <is>
          <t>upstream/manifest.schema.json</t>
        </is>
      </c>
      <c r="K25" s="3" t="inlineStr">
        <is>
          <t>Nenhum componente empacotado pode usar latest ou branch móvel sem resolução para uma revisão.</t>
        </is>
      </c>
      <c r="L25" s="3" t="inlineStr">
        <is>
          <t>SL-S03-01</t>
        </is>
      </c>
      <c r="M25" s="3" t="inlineStr">
        <is>
          <t>R03; R30; R33; R34</t>
        </is>
      </c>
      <c r="N25" s="10" t="inlineStr">
        <is>
          <t>Não iniciado</t>
        </is>
      </c>
      <c r="O25" s="3" t="inlineStr">
        <is>
          <t>P0</t>
        </is>
      </c>
      <c r="P25" s="3" t="inlineStr">
        <is>
          <t>Crítico</t>
        </is>
      </c>
      <c r="Q25" s="3" t="inlineStr">
        <is>
          <t>Obrigatória no escopo da versão</t>
        </is>
      </c>
      <c r="R25" s="10" t="inlineStr">
        <is>
          <t>Autor + agente de IA</t>
        </is>
      </c>
      <c r="S25" s="10" t="inlineStr"/>
      <c r="T25" s="11" t="inlineStr"/>
      <c r="U25" s="3" t="inlineStr">
        <is>
          <t>reports/S03/SL-S03-02.md</t>
        </is>
      </c>
      <c r="V25" s="10" t="inlineStr"/>
      <c r="W25" s="10" t="inlineStr"/>
      <c r="X25" s="3">
        <f>IF(N25="Concluído",IF(AND(S25&lt;&gt;"",ISNUMBER(T25),T25&gt;0,V25&lt;&gt;"",AND(OR(X24="OK",X24="DISPENSADO"))),"OK","REVISAR"),IF(N25="Dispensado (ADR)",IF(AND(LEFT(Q25,11)="Condicional",W25&lt;&gt;"",S25&lt;&gt;"",ISNUMBER(T25),T25&gt;0,V25&lt;&gt;""),"DISPENSADO","REVISAR"),"PENDENTE"))</f>
        <v/>
      </c>
      <c r="Y25" s="10" t="inlineStr"/>
    </row>
    <row r="26" ht="112" customHeight="1">
      <c r="A26" s="3" t="n">
        <v>25</v>
      </c>
      <c r="B26" s="3" t="inlineStr">
        <is>
          <t>SL-S03-03</t>
        </is>
      </c>
      <c r="C26" s="9" t="inlineStr">
        <is>
          <t>v0.0.1</t>
        </is>
      </c>
      <c r="D26" s="9" t="inlineStr">
        <is>
          <t>S03</t>
        </is>
      </c>
      <c r="E26" s="3" t="inlineStr">
        <is>
          <t>Todos os motores / licenças</t>
        </is>
      </c>
      <c r="F26" s="3" t="inlineStr">
        <is>
          <t>Desconstrução</t>
        </is>
      </c>
      <c r="G26" s="3" t="inlineStr">
        <is>
          <t>Licença</t>
        </is>
      </c>
      <c r="H26" s="3" t="inlineStr">
        <is>
          <t>Examinar BlockSuite por árvore</t>
        </is>
      </c>
      <c r="I26" s="3" t="inlineStr">
        <is>
          <t>Distinguir standalone de AFFiNE e fechar o inventário dos arquivos candidatos.</t>
        </is>
      </c>
      <c r="J26" s="3" t="inlineStr">
        <is>
          <t>docs/legal/blocksuite-scope.md</t>
        </is>
      </c>
      <c r="K26" s="3" t="inlineStr">
        <is>
          <t>Licença não é inferida apenas pelo nome do projeto ou por um único package.json.</t>
        </is>
      </c>
      <c r="L26" s="3" t="inlineStr">
        <is>
          <t>SL-S03-02</t>
        </is>
      </c>
      <c r="M26" s="3" t="inlineStr">
        <is>
          <t>R03; R30; R33; R34</t>
        </is>
      </c>
      <c r="N26" s="10" t="inlineStr">
        <is>
          <t>Não iniciado</t>
        </is>
      </c>
      <c r="O26" s="3" t="inlineStr">
        <is>
          <t>P0</t>
        </is>
      </c>
      <c r="P26" s="3" t="inlineStr">
        <is>
          <t>Crítico</t>
        </is>
      </c>
      <c r="Q26" s="3" t="inlineStr">
        <is>
          <t>Obrigatória no escopo da versão</t>
        </is>
      </c>
      <c r="R26" s="10" t="inlineStr">
        <is>
          <t>Autor</t>
        </is>
      </c>
      <c r="S26" s="10" t="inlineStr"/>
      <c r="T26" s="11" t="inlineStr"/>
      <c r="U26" s="3" t="inlineStr">
        <is>
          <t>reports/S03/SL-S03-03.md</t>
        </is>
      </c>
      <c r="V26" s="10" t="inlineStr"/>
      <c r="W26" s="10" t="inlineStr"/>
      <c r="X26" s="3">
        <f>IF(N26="Concluído",IF(AND(S26&lt;&gt;"",ISNUMBER(T26),T26&gt;0,V26&lt;&gt;"",AND(OR(X25="OK",X25="DISPENSADO"))),"OK","REVISAR"),IF(N26="Dispensado (ADR)",IF(AND(LEFT(Q26,11)="Condicional",W26&lt;&gt;"",S26&lt;&gt;"",ISNUMBER(T26),T26&gt;0,V26&lt;&gt;""),"DISPENSADO","REVISAR"),"PENDENTE"))</f>
        <v/>
      </c>
      <c r="Y26" s="10" t="inlineStr"/>
    </row>
    <row r="27" ht="112" customHeight="1">
      <c r="A27" s="3" t="n">
        <v>26</v>
      </c>
      <c r="B27" s="3" t="inlineStr">
        <is>
          <t>SL-S03-04</t>
        </is>
      </c>
      <c r="C27" s="9" t="inlineStr">
        <is>
          <t>v0.0.1</t>
        </is>
      </c>
      <c r="D27" s="9" t="inlineStr">
        <is>
          <t>S03</t>
        </is>
      </c>
      <c r="E27" s="3" t="inlineStr">
        <is>
          <t>Todos os motores / licenças</t>
        </is>
      </c>
      <c r="F27" s="3" t="inlineStr">
        <is>
          <t>Desconstrução</t>
        </is>
      </c>
      <c r="G27" s="3" t="inlineStr">
        <is>
          <t>Licença</t>
        </is>
      </c>
      <c r="H27" s="3" t="inlineStr">
        <is>
          <t>Examinar SearxNG e modelos</t>
        </is>
      </c>
      <c r="I27" s="3" t="inlineStr">
        <is>
          <t>Separar código AGPL, integração por API e termos dos pesos/backends.</t>
        </is>
      </c>
      <c r="J27" s="3" t="inlineStr">
        <is>
          <t>docs/legal/component-obligations.md</t>
        </is>
      </c>
      <c r="K27" s="3" t="inlineStr">
        <is>
          <t>Fonte correspondente, avisos e redistribuição estão mapeados por artefato.</t>
        </is>
      </c>
      <c r="L27" s="3" t="inlineStr">
        <is>
          <t>SL-S03-03</t>
        </is>
      </c>
      <c r="M27" s="3" t="inlineStr">
        <is>
          <t>R03; R30; R33; R34</t>
        </is>
      </c>
      <c r="N27" s="10" t="inlineStr">
        <is>
          <t>Não iniciado</t>
        </is>
      </c>
      <c r="O27" s="3" t="inlineStr">
        <is>
          <t>P0</t>
        </is>
      </c>
      <c r="P27" s="3" t="inlineStr">
        <is>
          <t>Crítico</t>
        </is>
      </c>
      <c r="Q27" s="3" t="inlineStr">
        <is>
          <t>Obrigatória no escopo da versão</t>
        </is>
      </c>
      <c r="R27" s="10" t="inlineStr">
        <is>
          <t>Autor</t>
        </is>
      </c>
      <c r="S27" s="10" t="inlineStr"/>
      <c r="T27" s="11" t="inlineStr"/>
      <c r="U27" s="3" t="inlineStr">
        <is>
          <t>reports/S03/SL-S03-04.md</t>
        </is>
      </c>
      <c r="V27" s="10" t="inlineStr"/>
      <c r="W27" s="10" t="inlineStr"/>
      <c r="X27" s="3">
        <f>IF(N27="Concluído",IF(AND(S27&lt;&gt;"",ISNUMBER(T27),T27&gt;0,V27&lt;&gt;"",AND(OR(X26="OK",X26="DISPENSADO"))),"OK","REVISAR"),IF(N27="Dispensado (ADR)",IF(AND(LEFT(Q27,11)="Condicional",W27&lt;&gt;"",S27&lt;&gt;"",ISNUMBER(T27),T27&gt;0,V27&lt;&gt;""),"DISPENSADO","REVISAR"),"PENDENTE"))</f>
        <v/>
      </c>
      <c r="Y27" s="10" t="inlineStr"/>
    </row>
    <row r="28" ht="112" customHeight="1">
      <c r="A28" s="3" t="n">
        <v>27</v>
      </c>
      <c r="B28" s="3" t="inlineStr">
        <is>
          <t>SL-S03-05</t>
        </is>
      </c>
      <c r="C28" s="9" t="inlineStr">
        <is>
          <t>v0.0.1</t>
        </is>
      </c>
      <c r="D28" s="9" t="inlineStr">
        <is>
          <t>S03</t>
        </is>
      </c>
      <c r="E28" s="3" t="inlineStr">
        <is>
          <t>Todos os motores / licenças</t>
        </is>
      </c>
      <c r="F28" s="3" t="inlineStr">
        <is>
          <t>Desconstrução</t>
        </is>
      </c>
      <c r="G28" s="3" t="inlineStr">
        <is>
          <t>Decisão</t>
        </is>
      </c>
      <c r="H28" s="3" t="inlineStr">
        <is>
          <t>Ratificar licença própria</t>
        </is>
      </c>
      <c r="I28" s="3" t="inlineStr">
        <is>
          <t>Resolver ADR-003; explicar operação não comercial versus direitos open source de terceiros.</t>
        </is>
      </c>
      <c r="J28" s="3" t="inlineStr">
        <is>
          <t>docs/adr/003-license.md</t>
        </is>
      </c>
      <c r="K28" s="3" t="inlineStr">
        <is>
          <t>Licença aprovada sem cláusula non-commercial incompatível disfarçada de open source.</t>
        </is>
      </c>
      <c r="L28" s="3" t="inlineStr">
        <is>
          <t>SL-S03-04</t>
        </is>
      </c>
      <c r="M28" s="3" t="inlineStr">
        <is>
          <t>R03; R30; R33; R34</t>
        </is>
      </c>
      <c r="N28" s="10" t="inlineStr">
        <is>
          <t>Não iniciado</t>
        </is>
      </c>
      <c r="O28" s="3" t="inlineStr">
        <is>
          <t>P0</t>
        </is>
      </c>
      <c r="P28" s="3" t="inlineStr">
        <is>
          <t>Crítico</t>
        </is>
      </c>
      <c r="Q28" s="3" t="inlineStr">
        <is>
          <t>Obrigatória no escopo da versão</t>
        </is>
      </c>
      <c r="R28" s="10" t="inlineStr">
        <is>
          <t>Autor</t>
        </is>
      </c>
      <c r="S28" s="10" t="inlineStr"/>
      <c r="T28" s="11" t="inlineStr"/>
      <c r="U28" s="3" t="inlineStr">
        <is>
          <t>reports/S03/SL-S03-05.md</t>
        </is>
      </c>
      <c r="V28" s="10" t="inlineStr"/>
      <c r="W28" s="10" t="inlineStr"/>
      <c r="X28" s="3">
        <f>IF(N28="Concluído",IF(AND(S28&lt;&gt;"",ISNUMBER(T28),T28&gt;0,V28&lt;&gt;"",AND(OR(X27="OK",X27="DISPENSADO"))),"OK","REVISAR"),IF(N28="Dispensado (ADR)",IF(AND(LEFT(Q28,11)="Condicional",W28&lt;&gt;"",S28&lt;&gt;"",ISNUMBER(T28),T28&gt;0,V28&lt;&gt;""),"DISPENSADO","REVISAR"),"PENDENTE"))</f>
        <v/>
      </c>
      <c r="Y28" s="10" t="inlineStr"/>
    </row>
    <row r="29" ht="112" customHeight="1">
      <c r="A29" s="3" t="n">
        <v>28</v>
      </c>
      <c r="B29" s="3" t="inlineStr">
        <is>
          <t>SL-S03-06</t>
        </is>
      </c>
      <c r="C29" s="9" t="inlineStr">
        <is>
          <t>v0.0.1</t>
        </is>
      </c>
      <c r="D29" s="9" t="inlineStr">
        <is>
          <t>S03</t>
        </is>
      </c>
      <c r="E29" s="3" t="inlineStr">
        <is>
          <t>Todos os motores / licenças</t>
        </is>
      </c>
      <c r="F29" s="3" t="inlineStr">
        <is>
          <t>Desconstrução</t>
        </is>
      </c>
      <c r="G29" s="3" t="inlineStr">
        <is>
          <t>Upstream</t>
        </is>
      </c>
      <c r="H29" s="3" t="inlineStr">
        <is>
          <t>Delimitar reutilização</t>
        </is>
      </c>
      <c r="I29" s="3" t="inlineStr">
        <is>
          <t>Marcar bibliotecas, adapters, forks mínimos e serviços; excluir UIs completas e stores concorrentes.</t>
        </is>
      </c>
      <c r="J29" s="3" t="inlineStr">
        <is>
          <t>docs/architecture/reuse-map.md</t>
        </is>
      </c>
      <c r="K29" s="3" t="inlineStr">
        <is>
          <t>Cada motor tem lista de incluir/excluir e interfaces Sandland responsáveis pela autoridade.</t>
        </is>
      </c>
      <c r="L29" s="3" t="inlineStr">
        <is>
          <t>SL-S03-05</t>
        </is>
      </c>
      <c r="M29" s="3" t="inlineStr">
        <is>
          <t>R03; R30; R33; R34</t>
        </is>
      </c>
      <c r="N29" s="10" t="inlineStr">
        <is>
          <t>Não iniciado</t>
        </is>
      </c>
      <c r="O29" s="3" t="inlineStr">
        <is>
          <t>P0</t>
        </is>
      </c>
      <c r="P29" s="3" t="inlineStr">
        <is>
          <t>Crítico</t>
        </is>
      </c>
      <c r="Q29" s="3" t="inlineStr">
        <is>
          <t>Obrigatória no escopo da versão</t>
        </is>
      </c>
      <c r="R29" s="10" t="inlineStr">
        <is>
          <t>Autor + agente de IA</t>
        </is>
      </c>
      <c r="S29" s="10" t="inlineStr"/>
      <c r="T29" s="11" t="inlineStr"/>
      <c r="U29" s="3" t="inlineStr">
        <is>
          <t>reports/S03/SL-S03-06.md</t>
        </is>
      </c>
      <c r="V29" s="10" t="inlineStr"/>
      <c r="W29" s="10" t="inlineStr"/>
      <c r="X29" s="3">
        <f>IF(N29="Concluído",IF(AND(S29&lt;&gt;"",ISNUMBER(T29),T29&gt;0,V29&lt;&gt;"",AND(OR(X28="OK",X28="DISPENSADO"))),"OK","REVISAR"),IF(N29="Dispensado (ADR)",IF(AND(LEFT(Q29,11)="Condicional",W29&lt;&gt;"",S29&lt;&gt;"",ISNUMBER(T29),T29&gt;0,V29&lt;&gt;""),"DISPENSADO","REVISAR"),"PENDENTE"))</f>
        <v/>
      </c>
      <c r="Y29" s="10" t="inlineStr"/>
    </row>
    <row r="30" ht="112" customHeight="1">
      <c r="A30" s="3" t="n">
        <v>29</v>
      </c>
      <c r="B30" s="3" t="inlineStr">
        <is>
          <t>SL-S03-07</t>
        </is>
      </c>
      <c r="C30" s="9" t="inlineStr">
        <is>
          <t>v0.0.1</t>
        </is>
      </c>
      <c r="D30" s="9" t="inlineStr">
        <is>
          <t>S03</t>
        </is>
      </c>
      <c r="E30" s="3" t="inlineStr">
        <is>
          <t>Todos os motores / licenças</t>
        </is>
      </c>
      <c r="F30" s="3" t="inlineStr">
        <is>
          <t>Desconstrução</t>
        </is>
      </c>
      <c r="G30" s="3" t="inlineStr">
        <is>
          <t>Upstream</t>
        </is>
      </c>
      <c r="H30" s="3" t="inlineStr">
        <is>
          <t>Definir política de patches</t>
        </is>
      </c>
      <c r="I30" s="3" t="inlineStr">
        <is>
          <t>Criar série pequena e reprodutível; separar correções genéricas de customizações.</t>
        </is>
      </c>
      <c r="J30" s="3" t="inlineStr">
        <is>
          <t>upstream/PATCH_POLICY.md</t>
        </is>
      </c>
      <c r="K30" s="3" t="inlineStr">
        <is>
          <t>Um fork pode ser rebaseado e sua diferença para upstream pode ser enumerada.</t>
        </is>
      </c>
      <c r="L30" s="3" t="inlineStr">
        <is>
          <t>SL-S03-06</t>
        </is>
      </c>
      <c r="M30" s="3" t="inlineStr">
        <is>
          <t>R03; R30; R33; R34</t>
        </is>
      </c>
      <c r="N30" s="10" t="inlineStr">
        <is>
          <t>Não iniciado</t>
        </is>
      </c>
      <c r="O30" s="3" t="inlineStr">
        <is>
          <t>P0</t>
        </is>
      </c>
      <c r="P30" s="3" t="inlineStr">
        <is>
          <t>Crítico</t>
        </is>
      </c>
      <c r="Q30" s="3" t="inlineStr">
        <is>
          <t>Obrigatória no escopo da versão</t>
        </is>
      </c>
      <c r="R30" s="10" t="inlineStr">
        <is>
          <t>Autor + agente de IA</t>
        </is>
      </c>
      <c r="S30" s="10" t="inlineStr"/>
      <c r="T30" s="11" t="inlineStr"/>
      <c r="U30" s="3" t="inlineStr">
        <is>
          <t>reports/S03/SL-S03-07.md</t>
        </is>
      </c>
      <c r="V30" s="10" t="inlineStr"/>
      <c r="W30" s="10" t="inlineStr"/>
      <c r="X30" s="3">
        <f>IF(N30="Concluído",IF(AND(S30&lt;&gt;"",ISNUMBER(T30),T30&gt;0,V30&lt;&gt;"",AND(OR(X29="OK",X29="DISPENSADO"))),"OK","REVISAR"),IF(N30="Dispensado (ADR)",IF(AND(LEFT(Q30,11)="Condicional",W30&lt;&gt;"",S30&lt;&gt;"",ISNUMBER(T30),T30&gt;0,V30&lt;&gt;""),"DISPENSADO","REVISAR"),"PENDENTE"))</f>
        <v/>
      </c>
      <c r="Y30" s="10" t="inlineStr"/>
    </row>
    <row r="31" ht="112" customHeight="1">
      <c r="A31" s="3" t="n">
        <v>30</v>
      </c>
      <c r="B31" s="3" t="inlineStr">
        <is>
          <t>SL-S03-08</t>
        </is>
      </c>
      <c r="C31" s="9" t="inlineStr">
        <is>
          <t>v0.0.1</t>
        </is>
      </c>
      <c r="D31" s="9" t="inlineStr">
        <is>
          <t>S03</t>
        </is>
      </c>
      <c r="E31" s="3" t="inlineStr">
        <is>
          <t>Todos os motores / licenças</t>
        </is>
      </c>
      <c r="F31" s="3" t="inlineStr">
        <is>
          <t>Desconstrução</t>
        </is>
      </c>
      <c r="G31" s="3" t="inlineStr">
        <is>
          <t>Governança</t>
        </is>
      </c>
      <c r="H31" s="3" t="inlineStr">
        <is>
          <t>Preparar avisos e SBOM</t>
        </is>
      </c>
      <c r="I31" s="3" t="inlineStr">
        <is>
          <t>Criar estrutura de LICENSES, NOTICE e inventário de dependências.</t>
        </is>
      </c>
      <c r="J31" s="3" t="inlineStr">
        <is>
          <t>compliance/</t>
        </is>
      </c>
      <c r="K31" s="3" t="inlineStr">
        <is>
          <t>Não há licença de terceiros substituída pela licença própria sem base legal.</t>
        </is>
      </c>
      <c r="L31" s="3" t="inlineStr">
        <is>
          <t>SL-S03-07</t>
        </is>
      </c>
      <c r="M31" s="3" t="inlineStr">
        <is>
          <t>R03; R30; R33; R34</t>
        </is>
      </c>
      <c r="N31" s="10" t="inlineStr">
        <is>
          <t>Não iniciado</t>
        </is>
      </c>
      <c r="O31" s="3" t="inlineStr">
        <is>
          <t>P0</t>
        </is>
      </c>
      <c r="P31" s="3" t="inlineStr">
        <is>
          <t>Crítico</t>
        </is>
      </c>
      <c r="Q31" s="3" t="inlineStr">
        <is>
          <t>Obrigatória no escopo da versão</t>
        </is>
      </c>
      <c r="R31" s="10" t="inlineStr">
        <is>
          <t>Autor</t>
        </is>
      </c>
      <c r="S31" s="10" t="inlineStr"/>
      <c r="T31" s="11" t="inlineStr"/>
      <c r="U31" s="3" t="inlineStr">
        <is>
          <t>reports/S03/SL-S03-08.md</t>
        </is>
      </c>
      <c r="V31" s="10" t="inlineStr"/>
      <c r="W31" s="10" t="inlineStr"/>
      <c r="X31" s="3">
        <f>IF(N31="Concluído",IF(AND(S31&lt;&gt;"",ISNUMBER(T31),T31&gt;0,V31&lt;&gt;"",AND(OR(X30="OK",X30="DISPENSADO"))),"OK","REVISAR"),IF(N31="Dispensado (ADR)",IF(AND(LEFT(Q31,11)="Condicional",W31&lt;&gt;"",S31&lt;&gt;"",ISNUMBER(T31),T31&gt;0,V31&lt;&gt;""),"DISPENSADO","REVISAR"),"PENDENTE"))</f>
        <v/>
      </c>
      <c r="Y31" s="10" t="inlineStr"/>
    </row>
    <row r="32" ht="112" customHeight="1">
      <c r="A32" s="3" t="n">
        <v>31</v>
      </c>
      <c r="B32" s="3" t="inlineStr">
        <is>
          <t>SL-S03-09</t>
        </is>
      </c>
      <c r="C32" s="9" t="inlineStr">
        <is>
          <t>v0.0.1</t>
        </is>
      </c>
      <c r="D32" s="9" t="inlineStr">
        <is>
          <t>S03</t>
        </is>
      </c>
      <c r="E32" s="3" t="inlineStr">
        <is>
          <t>Todos os motores / licenças</t>
        </is>
      </c>
      <c r="F32" s="3" t="inlineStr">
        <is>
          <t>Desconstrução</t>
        </is>
      </c>
      <c r="G32" s="3" t="inlineStr">
        <is>
          <t>Governança</t>
        </is>
      </c>
      <c r="H32" s="3" t="inlineStr">
        <is>
          <t>Definir ciclo de atualização</t>
        </is>
      </c>
      <c r="I32" s="3" t="inlineStr">
        <is>
          <t>Fixar auditoria, testes diferenciais, rollback e prioridade para vulnerabilidades.</t>
        </is>
      </c>
      <c r="J32" s="3" t="inlineStr">
        <is>
          <t>docs/maintenance/upstream.md</t>
        </is>
      </c>
      <c r="K32" s="3" t="inlineStr">
        <is>
          <t>Atualização sem evidência não chega automaticamente ao usuário ou altera modelos instalados.</t>
        </is>
      </c>
      <c r="L32" s="3" t="inlineStr">
        <is>
          <t>SL-S03-08</t>
        </is>
      </c>
      <c r="M32" s="3" t="inlineStr">
        <is>
          <t>R03; R30; R33; R34</t>
        </is>
      </c>
      <c r="N32" s="10" t="inlineStr">
        <is>
          <t>Não iniciado</t>
        </is>
      </c>
      <c r="O32" s="3" t="inlineStr">
        <is>
          <t>P0</t>
        </is>
      </c>
      <c r="P32" s="3" t="inlineStr">
        <is>
          <t>Crítico</t>
        </is>
      </c>
      <c r="Q32" s="3" t="inlineStr">
        <is>
          <t>Obrigatória no escopo da versão</t>
        </is>
      </c>
      <c r="R32" s="10" t="inlineStr">
        <is>
          <t>Autor</t>
        </is>
      </c>
      <c r="S32" s="10" t="inlineStr"/>
      <c r="T32" s="11" t="inlineStr"/>
      <c r="U32" s="3" t="inlineStr">
        <is>
          <t>reports/S03/SL-S03-09.md</t>
        </is>
      </c>
      <c r="V32" s="10" t="inlineStr"/>
      <c r="W32" s="10" t="inlineStr"/>
      <c r="X32" s="3">
        <f>IF(N32="Concluído",IF(AND(S32&lt;&gt;"",ISNUMBER(T32),T32&gt;0,V32&lt;&gt;"",AND(OR(X31="OK",X31="DISPENSADO"))),"OK","REVISAR"),IF(N32="Dispensado (ADR)",IF(AND(LEFT(Q32,11)="Condicional",W32&lt;&gt;"",S32&lt;&gt;"",ISNUMBER(T32),T32&gt;0,V32&lt;&gt;""),"DISPENSADO","REVISAR"),"PENDENTE"))</f>
        <v/>
      </c>
      <c r="Y32" s="10" t="inlineStr"/>
    </row>
    <row r="33" ht="112" customHeight="1">
      <c r="A33" s="3" t="n">
        <v>32</v>
      </c>
      <c r="B33" s="3" t="inlineStr">
        <is>
          <t>SL-S03-10</t>
        </is>
      </c>
      <c r="C33" s="9" t="inlineStr">
        <is>
          <t>v0.0.1</t>
        </is>
      </c>
      <c r="D33" s="9" t="inlineStr">
        <is>
          <t>S03</t>
        </is>
      </c>
      <c r="E33" s="3" t="inlineStr">
        <is>
          <t>Todos os motores / licenças</t>
        </is>
      </c>
      <c r="F33" s="3" t="inlineStr">
        <is>
          <t>Desconstrução</t>
        </is>
      </c>
      <c r="G33" s="3" t="inlineStr">
        <is>
          <t>Decisão</t>
        </is>
      </c>
      <c r="H33" s="3" t="inlineStr">
        <is>
          <t>Definir limites de spikes</t>
        </is>
      </c>
      <c r="I33" s="3" t="inlineStr">
        <is>
          <t>Para cada prova, listar pergunta, corpus, evidência mínima e decisão de continuar/replanejar.</t>
        </is>
      </c>
      <c r="J33" s="3" t="inlineStr">
        <is>
          <t>docs/spikes/register.md</t>
        </is>
      </c>
      <c r="K33" s="3" t="inlineStr">
        <is>
          <t>Relatório inconclusivo não vira integração aprovada; Qdrant e Helix têm protocolo comparável.</t>
        </is>
      </c>
      <c r="L33" s="3" t="inlineStr">
        <is>
          <t>SL-S03-09</t>
        </is>
      </c>
      <c r="M33" s="3" t="inlineStr">
        <is>
          <t>R03; R30; R33; R34</t>
        </is>
      </c>
      <c r="N33" s="10" t="inlineStr">
        <is>
          <t>Não iniciado</t>
        </is>
      </c>
      <c r="O33" s="3" t="inlineStr">
        <is>
          <t>P0</t>
        </is>
      </c>
      <c r="P33" s="3" t="inlineStr">
        <is>
          <t>Crítico</t>
        </is>
      </c>
      <c r="Q33" s="3" t="inlineStr">
        <is>
          <t>Obrigatória no escopo da versão</t>
        </is>
      </c>
      <c r="R33" s="10" t="inlineStr">
        <is>
          <t>Autor</t>
        </is>
      </c>
      <c r="S33" s="10" t="inlineStr"/>
      <c r="T33" s="11" t="inlineStr"/>
      <c r="U33" s="3" t="inlineStr">
        <is>
          <t>reports/S03/SL-S03-10.md</t>
        </is>
      </c>
      <c r="V33" s="10" t="inlineStr"/>
      <c r="W33" s="10" t="inlineStr"/>
      <c r="X33" s="3">
        <f>IF(N33="Concluído",IF(AND(S33&lt;&gt;"",ISNUMBER(T33),T33&gt;0,V33&lt;&gt;"",AND(OR(X32="OK",X32="DISPENSADO"))),"OK","REVISAR"),IF(N33="Dispensado (ADR)",IF(AND(LEFT(Q33,11)="Condicional",W33&lt;&gt;"",S33&lt;&gt;"",ISNUMBER(T33),T33&gt;0,V33&lt;&gt;""),"DISPENSADO","REVISAR"),"PENDENTE"))</f>
        <v/>
      </c>
      <c r="Y33" s="10" t="inlineStr"/>
    </row>
    <row r="34" ht="98" customHeight="1">
      <c r="A34" s="3" t="n">
        <v>33</v>
      </c>
      <c r="B34" s="12" t="inlineStr">
        <is>
          <t>SL-S03-GATE</t>
        </is>
      </c>
      <c r="C34" s="9" t="inlineStr">
        <is>
          <t>v0.0.1</t>
        </is>
      </c>
      <c r="D34" s="9" t="inlineStr">
        <is>
          <t>S03</t>
        </is>
      </c>
      <c r="E34" s="3" t="inlineStr">
        <is>
          <t>Todos os motores / licenças</t>
        </is>
      </c>
      <c r="F34" s="3" t="inlineStr">
        <is>
          <t>Aceite humano</t>
        </is>
      </c>
      <c r="G34" s="12" t="inlineStr">
        <is>
          <t>Gate</t>
        </is>
      </c>
      <c r="H34" s="12" t="inlineStr">
        <is>
          <t>Aceitar S03 — Inventariar upstreams e definir recortes</t>
        </is>
      </c>
      <c r="I34" s="3" t="inlineStr">
        <is>
          <t>Revisar as dez tarefas, executar a demonstração do sprint, confrontar critérios e registrar decisão go/no-go.</t>
        </is>
      </c>
      <c r="J34" s="3" t="inlineStr">
        <is>
          <t>reports/S03/acceptance.md</t>
        </is>
      </c>
      <c r="K34" s="3" t="inlineStr">
        <is>
          <t>Cada motor tem origem rastreável, fronteira proposta e decisão de manter/extrair/adaptar. Todas as dependências aceitas; evidências vinculadas a revisão/ambiente; nenhum blocker de integridade/segurança.</t>
        </is>
      </c>
      <c r="L34" s="3" t="inlineStr">
        <is>
          <t>SL-S03-01; SL-S03-02; SL-S03-03; SL-S03-04; SL-S03-05; SL-S03-06; SL-S03-07; SL-S03-08; SL-S03-09; SL-S03-10</t>
        </is>
      </c>
      <c r="M34" s="3" t="inlineStr">
        <is>
          <t>R03; R30; R33; R34</t>
        </is>
      </c>
      <c r="N34" s="10" t="inlineStr">
        <is>
          <t>Não iniciado</t>
        </is>
      </c>
      <c r="O34" s="3" t="inlineStr">
        <is>
          <t>P0</t>
        </is>
      </c>
      <c r="P34" s="3" t="inlineStr">
        <is>
          <t>Crítico</t>
        </is>
      </c>
      <c r="Q34" s="3" t="inlineStr">
        <is>
          <t>Obrigatória para fechar a versão aprovada</t>
        </is>
      </c>
      <c r="R34" s="10" t="inlineStr">
        <is>
          <t>Autor</t>
        </is>
      </c>
      <c r="S34" s="10" t="inlineStr"/>
      <c r="T34" s="11" t="inlineStr"/>
      <c r="U34" s="3" t="inlineStr">
        <is>
          <t>reports/S03/acceptance.md</t>
        </is>
      </c>
      <c r="V34" s="10" t="inlineStr"/>
      <c r="W34" s="10" t="inlineStr"/>
      <c r="X34" s="3">
        <f>IF(N34="Concluído",IF(AND(S34&lt;&gt;"",ISNUMBER(T34),T34&gt;0,V34&lt;&gt;"",AND(OR(X24="OK",X24="DISPENSADO"),OR(X25="OK",X25="DISPENSADO"),OR(X26="OK",X26="DISPENSADO"),OR(X27="OK",X27="DISPENSADO"),OR(X28="OK",X28="DISPENSADO"),OR(X29="OK",X29="DISPENSADO"),OR(X30="OK",X30="DISPENSADO"),OR(X31="OK",X31="DISPENSADO"),OR(X32="OK",X32="DISPENSADO"),OR(X33="OK",X33="DISPENSADO"))),"OK","REVISAR"),IF(N34="Dispensado (ADR)",IF(AND(LEFT(Q34,11)="Condicional",W34&lt;&gt;"",S34&lt;&gt;"",ISNUMBER(T34),T34&gt;0,V34&lt;&gt;""),"DISPENSADO","REVISAR"),"PENDENTE"))</f>
        <v/>
      </c>
      <c r="Y34" s="10" t="inlineStr"/>
    </row>
    <row r="35" ht="112" customHeight="1">
      <c r="A35" s="3" t="n">
        <v>34</v>
      </c>
      <c r="B35" s="3" t="inlineStr">
        <is>
          <t>SL-S04-01</t>
        </is>
      </c>
      <c r="C35" s="9" t="inlineStr">
        <is>
          <t>v0.0.2</t>
        </is>
      </c>
      <c r="D35" s="9" t="inlineStr">
        <is>
          <t>S04</t>
        </is>
      </c>
      <c r="E35" s="3" t="inlineStr">
        <is>
          <t>Ferramentas / governança</t>
        </is>
      </c>
      <c r="F35" s="3" t="inlineStr">
        <is>
          <t>Próprio</t>
        </is>
      </c>
      <c r="G35" s="3" t="inlineStr">
        <is>
          <t>Implementação</t>
        </is>
      </c>
      <c r="H35" s="3" t="inlineStr">
        <is>
          <t>Criar estrutura do monorepo</t>
        </is>
      </c>
      <c r="I35" s="3" t="inlineStr">
        <is>
          <t>Separar app desktop, crates, adapters, workers, schemas, fixtures e docs.</t>
        </is>
      </c>
      <c r="J35" s="3" t="inlineStr">
        <is>
          <t>repository-layout.md</t>
        </is>
      </c>
      <c r="K35" s="3" t="inlineStr">
        <is>
          <t>Dependências apontam para contratos e não para UI/estado privado de outro motor.</t>
        </is>
      </c>
      <c r="L35" s="3" t="inlineStr">
        <is>
          <t>SL-S03-GATE</t>
        </is>
      </c>
      <c r="M35" s="3" t="inlineStr">
        <is>
          <t>R03; R30; R33; R34</t>
        </is>
      </c>
      <c r="N35" s="10" t="inlineStr">
        <is>
          <t>Não iniciado</t>
        </is>
      </c>
      <c r="O35" s="3" t="inlineStr">
        <is>
          <t>P0</t>
        </is>
      </c>
      <c r="P35" s="3" t="inlineStr">
        <is>
          <t>Crítico</t>
        </is>
      </c>
      <c r="Q35" s="3" t="inlineStr">
        <is>
          <t>Obrigatória no escopo da versão</t>
        </is>
      </c>
      <c r="R35" s="10" t="inlineStr">
        <is>
          <t>Autor + agente de IA</t>
        </is>
      </c>
      <c r="S35" s="10" t="inlineStr"/>
      <c r="T35" s="11" t="inlineStr"/>
      <c r="U35" s="3" t="inlineStr">
        <is>
          <t>reports/S04/SL-S04-01.md</t>
        </is>
      </c>
      <c r="V35" s="10" t="inlineStr"/>
      <c r="W35" s="10" t="inlineStr"/>
      <c r="X35" s="3">
        <f>IF(N35="Concluído",IF(AND(S35&lt;&gt;"",ISNUMBER(T35),T35&gt;0,V35&lt;&gt;"",AND(OR(X34="OK",X34="DISPENSADO"))),"OK","REVISAR"),IF(N35="Dispensado (ADR)",IF(AND(LEFT(Q35,11)="Condicional",W35&lt;&gt;"",S35&lt;&gt;"",ISNUMBER(T35),T35&gt;0,V35&lt;&gt;""),"DISPENSADO","REVISAR"),"PENDENTE"))</f>
        <v/>
      </c>
      <c r="Y35" s="10" t="inlineStr"/>
    </row>
    <row r="36" ht="112" customHeight="1">
      <c r="A36" s="3" t="n">
        <v>35</v>
      </c>
      <c r="B36" s="3" t="inlineStr">
        <is>
          <t>SL-S04-02</t>
        </is>
      </c>
      <c r="C36" s="9" t="inlineStr">
        <is>
          <t>v0.0.2</t>
        </is>
      </c>
      <c r="D36" s="9" t="inlineStr">
        <is>
          <t>S04</t>
        </is>
      </c>
      <c r="E36" s="3" t="inlineStr">
        <is>
          <t>Ferramentas / governança</t>
        </is>
      </c>
      <c r="F36" s="3" t="inlineStr">
        <is>
          <t>Próprio</t>
        </is>
      </c>
      <c r="G36" s="3" t="inlineStr">
        <is>
          <t>Implementação</t>
        </is>
      </c>
      <c r="H36" s="3" t="inlineStr">
        <is>
          <t>Fixar toolchains</t>
        </is>
      </c>
      <c r="I36" s="3" t="inlineStr">
        <is>
          <t>Pin Rust, JS e runtimes necessários para desenvolvimento, sem instaladores globais implícitos.</t>
        </is>
      </c>
      <c r="J36" s="3" t="inlineStr">
        <is>
          <t>toolchains.lock</t>
        </is>
      </c>
      <c r="K36" s="3" t="inlineStr">
        <is>
          <t>Ambiente limpo reproduz versões; mudanças de versão são diff explícito.</t>
        </is>
      </c>
      <c r="L36" s="3" t="inlineStr">
        <is>
          <t>SL-S04-01</t>
        </is>
      </c>
      <c r="M36" s="3" t="inlineStr">
        <is>
          <t>R03; R30; R33; R34</t>
        </is>
      </c>
      <c r="N36" s="10" t="inlineStr">
        <is>
          <t>Não iniciado</t>
        </is>
      </c>
      <c r="O36" s="3" t="inlineStr">
        <is>
          <t>P0</t>
        </is>
      </c>
      <c r="P36" s="3" t="inlineStr">
        <is>
          <t>Crítico</t>
        </is>
      </c>
      <c r="Q36" s="3" t="inlineStr">
        <is>
          <t>Obrigatória no escopo da versão</t>
        </is>
      </c>
      <c r="R36" s="10" t="inlineStr">
        <is>
          <t>Autor + agente de IA</t>
        </is>
      </c>
      <c r="S36" s="10" t="inlineStr"/>
      <c r="T36" s="11" t="inlineStr"/>
      <c r="U36" s="3" t="inlineStr">
        <is>
          <t>reports/S04/SL-S04-02.md</t>
        </is>
      </c>
      <c r="V36" s="10" t="inlineStr"/>
      <c r="W36" s="10" t="inlineStr"/>
      <c r="X36" s="3">
        <f>IF(N36="Concluído",IF(AND(S36&lt;&gt;"",ISNUMBER(T36),T36&gt;0,V36&lt;&gt;"",AND(OR(X35="OK",X35="DISPENSADO"))),"OK","REVISAR"),IF(N36="Dispensado (ADR)",IF(AND(LEFT(Q36,11)="Condicional",W36&lt;&gt;"",S36&lt;&gt;"",ISNUMBER(T36),T36&gt;0,V36&lt;&gt;""),"DISPENSADO","REVISAR"),"PENDENTE"))</f>
        <v/>
      </c>
      <c r="Y36" s="10" t="inlineStr"/>
    </row>
    <row r="37" ht="112" customHeight="1">
      <c r="A37" s="3" t="n">
        <v>36</v>
      </c>
      <c r="B37" s="3" t="inlineStr">
        <is>
          <t>SL-S04-03</t>
        </is>
      </c>
      <c r="C37" s="9" t="inlineStr">
        <is>
          <t>v0.0.2</t>
        </is>
      </c>
      <c r="D37" s="9" t="inlineStr">
        <is>
          <t>S04</t>
        </is>
      </c>
      <c r="E37" s="3" t="inlineStr">
        <is>
          <t>Ferramentas / governança</t>
        </is>
      </c>
      <c r="F37" s="3" t="inlineStr">
        <is>
          <t>Próprio</t>
        </is>
      </c>
      <c r="G37" s="3" t="inlineStr">
        <is>
          <t>Implementação</t>
        </is>
      </c>
      <c r="H37" s="3" t="inlineStr">
        <is>
          <t>Configurar formatadores e lint</t>
        </is>
      </c>
      <c r="I37" s="3" t="inlineStr">
        <is>
          <t>Definir regras por linguagem e exclusões de fontes vendorizadas.</t>
        </is>
      </c>
      <c r="J37" s="3" t="inlineStr">
        <is>
          <t>tooling/lint/</t>
        </is>
      </c>
      <c r="K37" s="3" t="inlineStr">
        <is>
          <t>Comando único reporta erros sem reformatar ou apagar avisos de arquivos upstream.</t>
        </is>
      </c>
      <c r="L37" s="3" t="inlineStr">
        <is>
          <t>SL-S04-02</t>
        </is>
      </c>
      <c r="M37" s="3" t="inlineStr">
        <is>
          <t>R03; R30; R33; R34</t>
        </is>
      </c>
      <c r="N37" s="10" t="inlineStr">
        <is>
          <t>Não iniciado</t>
        </is>
      </c>
      <c r="O37" s="3" t="inlineStr">
        <is>
          <t>P0</t>
        </is>
      </c>
      <c r="P37" s="3" t="inlineStr">
        <is>
          <t>Crítico</t>
        </is>
      </c>
      <c r="Q37" s="3" t="inlineStr">
        <is>
          <t>Obrigatória no escopo da versão</t>
        </is>
      </c>
      <c r="R37" s="10" t="inlineStr">
        <is>
          <t>Autor + agente de IA</t>
        </is>
      </c>
      <c r="S37" s="10" t="inlineStr"/>
      <c r="T37" s="11" t="inlineStr"/>
      <c r="U37" s="3" t="inlineStr">
        <is>
          <t>reports/S04/SL-S04-03.md</t>
        </is>
      </c>
      <c r="V37" s="10" t="inlineStr"/>
      <c r="W37" s="10" t="inlineStr"/>
      <c r="X37" s="3">
        <f>IF(N37="Concluído",IF(AND(S37&lt;&gt;"",ISNUMBER(T37),T37&gt;0,V37&lt;&gt;"",AND(OR(X36="OK",X36="DISPENSADO"))),"OK","REVISAR"),IF(N37="Dispensado (ADR)",IF(AND(LEFT(Q37,11)="Condicional",W37&lt;&gt;"",S37&lt;&gt;"",ISNUMBER(T37),T37&gt;0,V37&lt;&gt;""),"DISPENSADO","REVISAR"),"PENDENTE"))</f>
        <v/>
      </c>
      <c r="Y37" s="10" t="inlineStr"/>
    </row>
    <row r="38" ht="112" customHeight="1">
      <c r="A38" s="3" t="n">
        <v>37</v>
      </c>
      <c r="B38" s="3" t="inlineStr">
        <is>
          <t>SL-S04-04</t>
        </is>
      </c>
      <c r="C38" s="9" t="inlineStr">
        <is>
          <t>v0.0.2</t>
        </is>
      </c>
      <c r="D38" s="9" t="inlineStr">
        <is>
          <t>S04</t>
        </is>
      </c>
      <c r="E38" s="3" t="inlineStr">
        <is>
          <t>Ferramentas / governança</t>
        </is>
      </c>
      <c r="F38" s="3" t="inlineStr">
        <is>
          <t>Próprio</t>
        </is>
      </c>
      <c r="G38" s="3" t="inlineStr">
        <is>
          <t>Implementação</t>
        </is>
      </c>
      <c r="H38" s="3" t="inlineStr">
        <is>
          <t>Criar comandos de projeto</t>
        </is>
      </c>
      <c r="I38" s="3" t="inlineStr">
        <is>
          <t>Padronizar bootstrap, check, test, fixtures e pacote de evidências.</t>
        </is>
      </c>
      <c r="J38" s="3" t="inlineStr">
        <is>
          <t>tooling/tasks/</t>
        </is>
      </c>
      <c r="K38" s="3" t="inlineStr">
        <is>
          <t>Comandos têm help, retorno de erro confiável e não dependem do histórico do shell.</t>
        </is>
      </c>
      <c r="L38" s="3" t="inlineStr">
        <is>
          <t>SL-S04-03</t>
        </is>
      </c>
      <c r="M38" s="3" t="inlineStr">
        <is>
          <t>R03; R30; R33; R34</t>
        </is>
      </c>
      <c r="N38" s="10" t="inlineStr">
        <is>
          <t>Não iniciado</t>
        </is>
      </c>
      <c r="O38" s="3" t="inlineStr">
        <is>
          <t>P0</t>
        </is>
      </c>
      <c r="P38" s="3" t="inlineStr">
        <is>
          <t>Crítico</t>
        </is>
      </c>
      <c r="Q38" s="3" t="inlineStr">
        <is>
          <t>Obrigatória no escopo da versão</t>
        </is>
      </c>
      <c r="R38" s="10" t="inlineStr">
        <is>
          <t>Autor + agente de IA</t>
        </is>
      </c>
      <c r="S38" s="10" t="inlineStr"/>
      <c r="T38" s="11" t="inlineStr"/>
      <c r="U38" s="3" t="inlineStr">
        <is>
          <t>reports/S04/SL-S04-04.md</t>
        </is>
      </c>
      <c r="V38" s="10" t="inlineStr"/>
      <c r="W38" s="10" t="inlineStr"/>
      <c r="X38" s="3">
        <f>IF(N38="Concluído",IF(AND(S38&lt;&gt;"",ISNUMBER(T38),T38&gt;0,V38&lt;&gt;"",AND(OR(X37="OK",X37="DISPENSADO"))),"OK","REVISAR"),IF(N38="Dispensado (ADR)",IF(AND(LEFT(Q38,11)="Condicional",W38&lt;&gt;"",S38&lt;&gt;"",ISNUMBER(T38),T38&gt;0,V38&lt;&gt;""),"DISPENSADO","REVISAR"),"PENDENTE"))</f>
        <v/>
      </c>
      <c r="Y38" s="10" t="inlineStr"/>
    </row>
    <row r="39" ht="112" customHeight="1">
      <c r="A39" s="3" t="n">
        <v>38</v>
      </c>
      <c r="B39" s="3" t="inlineStr">
        <is>
          <t>SL-S04-05</t>
        </is>
      </c>
      <c r="C39" s="9" t="inlineStr">
        <is>
          <t>v0.0.2</t>
        </is>
      </c>
      <c r="D39" s="9" t="inlineStr">
        <is>
          <t>S04</t>
        </is>
      </c>
      <c r="E39" s="3" t="inlineStr">
        <is>
          <t>Ferramentas / governança</t>
        </is>
      </c>
      <c r="F39" s="3" t="inlineStr">
        <is>
          <t>Próprio</t>
        </is>
      </c>
      <c r="G39" s="3" t="inlineStr">
        <is>
          <t>Governança</t>
        </is>
      </c>
      <c r="H39" s="3" t="inlineStr">
        <is>
          <t>Criar política de branches</t>
        </is>
      </c>
      <c r="I39" s="3" t="inlineStr">
        <is>
          <t>Uma frente mutável principal; PRs pequenos com IDs de tarefa e rollback.</t>
        </is>
      </c>
      <c r="J39" s="3" t="inlineStr">
        <is>
          <t>CONTRIBUTING.md</t>
        </is>
      </c>
      <c r="K39" s="3" t="inlineStr">
        <is>
          <t>Dois agentes não alteram contratos compartilhados em paralelo sem acordo explícito.</t>
        </is>
      </c>
      <c r="L39" s="3" t="inlineStr">
        <is>
          <t>SL-S04-04</t>
        </is>
      </c>
      <c r="M39" s="3" t="inlineStr">
        <is>
          <t>R03; R30; R33; R34</t>
        </is>
      </c>
      <c r="N39" s="10" t="inlineStr">
        <is>
          <t>Não iniciado</t>
        </is>
      </c>
      <c r="O39" s="3" t="inlineStr">
        <is>
          <t>P0</t>
        </is>
      </c>
      <c r="P39" s="3" t="inlineStr">
        <is>
          <t>Crítico</t>
        </is>
      </c>
      <c r="Q39" s="3" t="inlineStr">
        <is>
          <t>Obrigatória no escopo da versão</t>
        </is>
      </c>
      <c r="R39" s="10" t="inlineStr">
        <is>
          <t>Autor</t>
        </is>
      </c>
      <c r="S39" s="10" t="inlineStr"/>
      <c r="T39" s="11" t="inlineStr"/>
      <c r="U39" s="3" t="inlineStr">
        <is>
          <t>reports/S04/SL-S04-05.md</t>
        </is>
      </c>
      <c r="V39" s="10" t="inlineStr"/>
      <c r="W39" s="10" t="inlineStr"/>
      <c r="X39" s="3">
        <f>IF(N39="Concluído",IF(AND(S39&lt;&gt;"",ISNUMBER(T39),T39&gt;0,V39&lt;&gt;"",AND(OR(X38="OK",X38="DISPENSADO"))),"OK","REVISAR"),IF(N39="Dispensado (ADR)",IF(AND(LEFT(Q39,11)="Condicional",W39&lt;&gt;"",S39&lt;&gt;"",ISNUMBER(T39),T39&gt;0,V39&lt;&gt;""),"DISPENSADO","REVISAR"),"PENDENTE"))</f>
        <v/>
      </c>
      <c r="Y39" s="10" t="inlineStr"/>
    </row>
    <row r="40" ht="112" customHeight="1">
      <c r="A40" s="3" t="n">
        <v>39</v>
      </c>
      <c r="B40" s="3" t="inlineStr">
        <is>
          <t>SL-S04-06</t>
        </is>
      </c>
      <c r="C40" s="9" t="inlineStr">
        <is>
          <t>v0.0.2</t>
        </is>
      </c>
      <c r="D40" s="9" t="inlineStr">
        <is>
          <t>S04</t>
        </is>
      </c>
      <c r="E40" s="3" t="inlineStr">
        <is>
          <t>Ferramentas / governança</t>
        </is>
      </c>
      <c r="F40" s="3" t="inlineStr">
        <is>
          <t>Próprio</t>
        </is>
      </c>
      <c r="G40" s="3" t="inlineStr">
        <is>
          <t>Governança</t>
        </is>
      </c>
      <c r="H40" s="3" t="inlineStr">
        <is>
          <t>Escrever instruções de agentes</t>
        </is>
      </c>
      <c r="I40" s="3" t="inlineStr">
        <is>
          <t>Delimitar arquivos, segredos, rede, testes obrigatórios e critérios de parada.</t>
        </is>
      </c>
      <c r="J40" s="3" t="inlineStr">
        <is>
          <t>AGENTS.md</t>
        </is>
      </c>
      <c r="K40" s="3" t="inlineStr">
        <is>
          <t>Agente não pode declarar testes executados sem logs nem aprovar a própria entrega.</t>
        </is>
      </c>
      <c r="L40" s="3" t="inlineStr">
        <is>
          <t>SL-S04-05</t>
        </is>
      </c>
      <c r="M40" s="3" t="inlineStr">
        <is>
          <t>R03; R30; R33; R34</t>
        </is>
      </c>
      <c r="N40" s="10" t="inlineStr">
        <is>
          <t>Não iniciado</t>
        </is>
      </c>
      <c r="O40" s="3" t="inlineStr">
        <is>
          <t>P0</t>
        </is>
      </c>
      <c r="P40" s="3" t="inlineStr">
        <is>
          <t>Crítico</t>
        </is>
      </c>
      <c r="Q40" s="3" t="inlineStr">
        <is>
          <t>Obrigatória no escopo da versão</t>
        </is>
      </c>
      <c r="R40" s="10" t="inlineStr">
        <is>
          <t>Autor</t>
        </is>
      </c>
      <c r="S40" s="10" t="inlineStr"/>
      <c r="T40" s="11" t="inlineStr"/>
      <c r="U40" s="3" t="inlineStr">
        <is>
          <t>reports/S04/SL-S04-06.md</t>
        </is>
      </c>
      <c r="V40" s="10" t="inlineStr"/>
      <c r="W40" s="10" t="inlineStr"/>
      <c r="X40" s="3">
        <f>IF(N40="Concluído",IF(AND(S40&lt;&gt;"",ISNUMBER(T40),T40&gt;0,V40&lt;&gt;"",AND(OR(X39="OK",X39="DISPENSADO"))),"OK","REVISAR"),IF(N40="Dispensado (ADR)",IF(AND(LEFT(Q40,11)="Condicional",W40&lt;&gt;"",S40&lt;&gt;"",ISNUMBER(T40),T40&gt;0,V40&lt;&gt;""),"DISPENSADO","REVISAR"),"PENDENTE"))</f>
        <v/>
      </c>
      <c r="Y40" s="10" t="inlineStr"/>
    </row>
    <row r="41" ht="112" customHeight="1">
      <c r="A41" s="3" t="n">
        <v>40</v>
      </c>
      <c r="B41" s="3" t="inlineStr">
        <is>
          <t>SL-S04-07</t>
        </is>
      </c>
      <c r="C41" s="9" t="inlineStr">
        <is>
          <t>v0.0.2</t>
        </is>
      </c>
      <c r="D41" s="9" t="inlineStr">
        <is>
          <t>S04</t>
        </is>
      </c>
      <c r="E41" s="3" t="inlineStr">
        <is>
          <t>Ferramentas / governança</t>
        </is>
      </c>
      <c r="F41" s="3" t="inlineStr">
        <is>
          <t>Próprio</t>
        </is>
      </c>
      <c r="G41" s="3" t="inlineStr">
        <is>
          <t>Governança</t>
        </is>
      </c>
      <c r="H41" s="3" t="inlineStr">
        <is>
          <t>Criar template de tarefa</t>
        </is>
      </c>
      <c r="I41" s="3" t="inlineStr">
        <is>
          <t>Incluir contrato, fixture, não escopo, aceite e evidências.</t>
        </is>
      </c>
      <c r="J41" s="3" t="inlineStr">
        <is>
          <t>.github/ISSUE_TEMPLATE/task.yml</t>
        </is>
      </c>
      <c r="K41" s="3" t="inlineStr">
        <is>
          <t>Tarefa pode ser entregue a novo agente sem depender de memória informal da conversa.</t>
        </is>
      </c>
      <c r="L41" s="3" t="inlineStr">
        <is>
          <t>SL-S04-06</t>
        </is>
      </c>
      <c r="M41" s="3" t="inlineStr">
        <is>
          <t>R03; R30; R33; R34</t>
        </is>
      </c>
      <c r="N41" s="10" t="inlineStr">
        <is>
          <t>Não iniciado</t>
        </is>
      </c>
      <c r="O41" s="3" t="inlineStr">
        <is>
          <t>P0</t>
        </is>
      </c>
      <c r="P41" s="3" t="inlineStr">
        <is>
          <t>Crítico</t>
        </is>
      </c>
      <c r="Q41" s="3" t="inlineStr">
        <is>
          <t>Obrigatória no escopo da versão</t>
        </is>
      </c>
      <c r="R41" s="10" t="inlineStr">
        <is>
          <t>Autor</t>
        </is>
      </c>
      <c r="S41" s="10" t="inlineStr"/>
      <c r="T41" s="11" t="inlineStr"/>
      <c r="U41" s="3" t="inlineStr">
        <is>
          <t>reports/S04/SL-S04-07.md</t>
        </is>
      </c>
      <c r="V41" s="10" t="inlineStr"/>
      <c r="W41" s="10" t="inlineStr"/>
      <c r="X41" s="3">
        <f>IF(N41="Concluído",IF(AND(S41&lt;&gt;"",ISNUMBER(T41),T41&gt;0,V41&lt;&gt;"",AND(OR(X40="OK",X40="DISPENSADO"))),"OK","REVISAR"),IF(N41="Dispensado (ADR)",IF(AND(LEFT(Q41,11)="Condicional",W41&lt;&gt;"",S41&lt;&gt;"",ISNUMBER(T41),T41&gt;0,V41&lt;&gt;""),"DISPENSADO","REVISAR"),"PENDENTE"))</f>
        <v/>
      </c>
      <c r="Y41" s="10" t="inlineStr"/>
    </row>
    <row r="42" ht="112" customHeight="1">
      <c r="A42" s="3" t="n">
        <v>41</v>
      </c>
      <c r="B42" s="3" t="inlineStr">
        <is>
          <t>SL-S04-08</t>
        </is>
      </c>
      <c r="C42" s="9" t="inlineStr">
        <is>
          <t>v0.0.2</t>
        </is>
      </c>
      <c r="D42" s="9" t="inlineStr">
        <is>
          <t>S04</t>
        </is>
      </c>
      <c r="E42" s="3" t="inlineStr">
        <is>
          <t>Ferramentas / governança</t>
        </is>
      </c>
      <c r="F42" s="3" t="inlineStr">
        <is>
          <t>Próprio</t>
        </is>
      </c>
      <c r="G42" s="3" t="inlineStr">
        <is>
          <t>Governança</t>
        </is>
      </c>
      <c r="H42" s="3" t="inlineStr">
        <is>
          <t>Criar template de PR</t>
        </is>
      </c>
      <c r="I42" s="3" t="inlineStr">
        <is>
          <t>Exigir origem de código, mudanças de schema, segurança, testes e artefatos.</t>
        </is>
      </c>
      <c r="J42" s="3" t="inlineStr">
        <is>
          <t>.github/pull_request_template.md</t>
        </is>
      </c>
      <c r="K42" s="3" t="inlineStr">
        <is>
          <t>PR sem evidências ou com teste pulado tem bloqueio explícito.</t>
        </is>
      </c>
      <c r="L42" s="3" t="inlineStr">
        <is>
          <t>SL-S04-07</t>
        </is>
      </c>
      <c r="M42" s="3" t="inlineStr">
        <is>
          <t>R03; R30; R33; R34</t>
        </is>
      </c>
      <c r="N42" s="10" t="inlineStr">
        <is>
          <t>Não iniciado</t>
        </is>
      </c>
      <c r="O42" s="3" t="inlineStr">
        <is>
          <t>P0</t>
        </is>
      </c>
      <c r="P42" s="3" t="inlineStr">
        <is>
          <t>Crítico</t>
        </is>
      </c>
      <c r="Q42" s="3" t="inlineStr">
        <is>
          <t>Obrigatória no escopo da versão</t>
        </is>
      </c>
      <c r="R42" s="10" t="inlineStr">
        <is>
          <t>Autor</t>
        </is>
      </c>
      <c r="S42" s="10" t="inlineStr"/>
      <c r="T42" s="11" t="inlineStr"/>
      <c r="U42" s="3" t="inlineStr">
        <is>
          <t>reports/S04/SL-S04-08.md</t>
        </is>
      </c>
      <c r="V42" s="10" t="inlineStr"/>
      <c r="W42" s="10" t="inlineStr"/>
      <c r="X42" s="3">
        <f>IF(N42="Concluído",IF(AND(S42&lt;&gt;"",ISNUMBER(T42),T42&gt;0,V42&lt;&gt;"",AND(OR(X41="OK",X41="DISPENSADO"))),"OK","REVISAR"),IF(N42="Dispensado (ADR)",IF(AND(LEFT(Q42,11)="Condicional",W42&lt;&gt;"",S42&lt;&gt;"",ISNUMBER(T42),T42&gt;0,V42&lt;&gt;""),"DISPENSADO","REVISAR"),"PENDENTE"))</f>
        <v/>
      </c>
      <c r="Y42" s="10" t="inlineStr"/>
    </row>
    <row r="43" ht="112" customHeight="1">
      <c r="A43" s="3" t="n">
        <v>42</v>
      </c>
      <c r="B43" s="3" t="inlineStr">
        <is>
          <t>SL-S04-09</t>
        </is>
      </c>
      <c r="C43" s="9" t="inlineStr">
        <is>
          <t>v0.0.2</t>
        </is>
      </c>
      <c r="D43" s="9" t="inlineStr">
        <is>
          <t>S04</t>
        </is>
      </c>
      <c r="E43" s="3" t="inlineStr">
        <is>
          <t>Ferramentas / governança</t>
        </is>
      </c>
      <c r="F43" s="3" t="inlineStr">
        <is>
          <t>Próprio</t>
        </is>
      </c>
      <c r="G43" s="3" t="inlineStr">
        <is>
          <t>Implementação</t>
        </is>
      </c>
      <c r="H43" s="3" t="inlineStr">
        <is>
          <t>Separar configuração e segredos</t>
        </is>
      </c>
      <c r="I43" s="3" t="inlineStr">
        <is>
          <t>Fornecer arquivos de exemplo sem credenciais e política de logs.</t>
        </is>
      </c>
      <c r="J43" s="3" t="inlineStr">
        <is>
          <t>config/examples/</t>
        </is>
      </c>
      <c r="K43" s="3" t="inlineStr">
        <is>
          <t>Scanner detecta segredos plantados em fixture e não coleta dados reais do desenvolvedor.</t>
        </is>
      </c>
      <c r="L43" s="3" t="inlineStr">
        <is>
          <t>SL-S04-08</t>
        </is>
      </c>
      <c r="M43" s="3" t="inlineStr">
        <is>
          <t>R03; R30; R33; R34</t>
        </is>
      </c>
      <c r="N43" s="10" t="inlineStr">
        <is>
          <t>Não iniciado</t>
        </is>
      </c>
      <c r="O43" s="3" t="inlineStr">
        <is>
          <t>P0</t>
        </is>
      </c>
      <c r="P43" s="3" t="inlineStr">
        <is>
          <t>Crítico</t>
        </is>
      </c>
      <c r="Q43" s="3" t="inlineStr">
        <is>
          <t>Obrigatória no escopo da versão</t>
        </is>
      </c>
      <c r="R43" s="10" t="inlineStr">
        <is>
          <t>Autor + agente de IA</t>
        </is>
      </c>
      <c r="S43" s="10" t="inlineStr"/>
      <c r="T43" s="11" t="inlineStr"/>
      <c r="U43" s="3" t="inlineStr">
        <is>
          <t>reports/S04/SL-S04-09.md</t>
        </is>
      </c>
      <c r="V43" s="10" t="inlineStr"/>
      <c r="W43" s="10" t="inlineStr"/>
      <c r="X43" s="3">
        <f>IF(N43="Concluído",IF(AND(S43&lt;&gt;"",ISNUMBER(T43),T43&gt;0,V43&lt;&gt;"",AND(OR(X42="OK",X42="DISPENSADO"))),"OK","REVISAR"),IF(N43="Dispensado (ADR)",IF(AND(LEFT(Q43,11)="Condicional",W43&lt;&gt;"",S43&lt;&gt;"",ISNUMBER(T43),T43&gt;0,V43&lt;&gt;""),"DISPENSADO","REVISAR"),"PENDENTE"))</f>
        <v/>
      </c>
      <c r="Y43" s="10" t="inlineStr"/>
    </row>
    <row r="44" ht="112" customHeight="1">
      <c r="A44" s="3" t="n">
        <v>43</v>
      </c>
      <c r="B44" s="3" t="inlineStr">
        <is>
          <t>SL-S04-10</t>
        </is>
      </c>
      <c r="C44" s="9" t="inlineStr">
        <is>
          <t>v0.0.2</t>
        </is>
      </c>
      <c r="D44" s="9" t="inlineStr">
        <is>
          <t>S04</t>
        </is>
      </c>
      <c r="E44" s="3" t="inlineStr">
        <is>
          <t>Ferramentas / governança</t>
        </is>
      </c>
      <c r="F44" s="3" t="inlineStr">
        <is>
          <t>Próprio</t>
        </is>
      </c>
      <c r="G44" s="3" t="inlineStr">
        <is>
          <t>Teste</t>
        </is>
      </c>
      <c r="H44" s="3" t="inlineStr">
        <is>
          <t>Executar ensaio do fluxo</t>
        </is>
      </c>
      <c r="I44" s="3" t="inlineStr">
        <is>
          <t>Fazer alteração descartável em fixture, revisão adversarial e reversão.</t>
        </is>
      </c>
      <c r="J44" s="3" t="inlineStr">
        <is>
          <t>reports/workflow-dry-run.md</t>
        </is>
      </c>
      <c r="K44" s="3" t="inlineStr">
        <is>
          <t>Histórico evidencia proposta, teste, revisão humana e rollback, sem merge automático por agente.</t>
        </is>
      </c>
      <c r="L44" s="3" t="inlineStr">
        <is>
          <t>SL-S04-09</t>
        </is>
      </c>
      <c r="M44" s="3" t="inlineStr">
        <is>
          <t>R03; R30; R33; R34</t>
        </is>
      </c>
      <c r="N44" s="10" t="inlineStr">
        <is>
          <t>Não iniciado</t>
        </is>
      </c>
      <c r="O44" s="3" t="inlineStr">
        <is>
          <t>P0</t>
        </is>
      </c>
      <c r="P44" s="3" t="inlineStr">
        <is>
          <t>Crítico</t>
        </is>
      </c>
      <c r="Q44" s="3" t="inlineStr">
        <is>
          <t>Obrigatória no escopo da versão</t>
        </is>
      </c>
      <c r="R44" s="10" t="inlineStr">
        <is>
          <t>Autor + agente de IA</t>
        </is>
      </c>
      <c r="S44" s="10" t="inlineStr"/>
      <c r="T44" s="11" t="inlineStr"/>
      <c r="U44" s="3" t="inlineStr">
        <is>
          <t>reports/S04/SL-S04-10.md</t>
        </is>
      </c>
      <c r="V44" s="10" t="inlineStr"/>
      <c r="W44" s="10" t="inlineStr"/>
      <c r="X44" s="3">
        <f>IF(N44="Concluído",IF(AND(S44&lt;&gt;"",ISNUMBER(T44),T44&gt;0,V44&lt;&gt;"",AND(OR(X43="OK",X43="DISPENSADO"))),"OK","REVISAR"),IF(N44="Dispensado (ADR)",IF(AND(LEFT(Q44,11)="Condicional",W44&lt;&gt;"",S44&lt;&gt;"",ISNUMBER(T44),T44&gt;0,V44&lt;&gt;""),"DISPENSADO","REVISAR"),"PENDENTE"))</f>
        <v/>
      </c>
      <c r="Y44" s="10" t="inlineStr"/>
    </row>
    <row r="45" ht="98" customHeight="1">
      <c r="A45" s="3" t="n">
        <v>44</v>
      </c>
      <c r="B45" s="12" t="inlineStr">
        <is>
          <t>SL-S04-GATE</t>
        </is>
      </c>
      <c r="C45" s="9" t="inlineStr">
        <is>
          <t>v0.0.2</t>
        </is>
      </c>
      <c r="D45" s="9" t="inlineStr">
        <is>
          <t>S04</t>
        </is>
      </c>
      <c r="E45" s="3" t="inlineStr">
        <is>
          <t>Ferramentas / governança</t>
        </is>
      </c>
      <c r="F45" s="3" t="inlineStr">
        <is>
          <t>Aceite humano</t>
        </is>
      </c>
      <c r="G45" s="12" t="inlineStr">
        <is>
          <t>Gate</t>
        </is>
      </c>
      <c r="H45" s="12" t="inlineStr">
        <is>
          <t>Aceitar S04 — Montar repositório e fluxo solo com IA</t>
        </is>
      </c>
      <c r="I45" s="3" t="inlineStr">
        <is>
          <t>Revisar as dez tarefas, executar a demonstração do sprint, confrontar critérios e registrar decisão go/no-go.</t>
        </is>
      </c>
      <c r="J45" s="3" t="inlineStr">
        <is>
          <t>reports/S04/acceptance.md</t>
        </is>
      </c>
      <c r="K45" s="3" t="inlineStr">
        <is>
          <t>Um agente implementa uma tarefa isolada e o autor consegue revisar o patch e seus testes. Todas as dependências aceitas; evidências vinculadas a revisão/ambiente; nenhum blocker de integridade/segurança.</t>
        </is>
      </c>
      <c r="L45" s="3" t="inlineStr">
        <is>
          <t>SL-S04-01; SL-S04-02; SL-S04-03; SL-S04-04; SL-S04-05; SL-S04-06; SL-S04-07; SL-S04-08; SL-S04-09; SL-S04-10</t>
        </is>
      </c>
      <c r="M45" s="3" t="inlineStr">
        <is>
          <t>R03; R30; R33; R34</t>
        </is>
      </c>
      <c r="N45" s="10" t="inlineStr">
        <is>
          <t>Não iniciado</t>
        </is>
      </c>
      <c r="O45" s="3" t="inlineStr">
        <is>
          <t>P0</t>
        </is>
      </c>
      <c r="P45" s="3" t="inlineStr">
        <is>
          <t>Crítico</t>
        </is>
      </c>
      <c r="Q45" s="3" t="inlineStr">
        <is>
          <t>Obrigatória para fechar a versão aprovada</t>
        </is>
      </c>
      <c r="R45" s="10" t="inlineStr">
        <is>
          <t>Autor</t>
        </is>
      </c>
      <c r="S45" s="10" t="inlineStr"/>
      <c r="T45" s="11" t="inlineStr"/>
      <c r="U45" s="3" t="inlineStr">
        <is>
          <t>reports/S04/acceptance.md</t>
        </is>
      </c>
      <c r="V45" s="10" t="inlineStr"/>
      <c r="W45" s="10" t="inlineStr"/>
      <c r="X45" s="3">
        <f>IF(N45="Concluído",IF(AND(S45&lt;&gt;"",ISNUMBER(T45),T45&gt;0,V45&lt;&gt;"",AND(OR(X35="OK",X35="DISPENSADO"),OR(X36="OK",X36="DISPENSADO"),OR(X37="OK",X37="DISPENSADO"),OR(X38="OK",X38="DISPENSADO"),OR(X39="OK",X39="DISPENSADO"),OR(X40="OK",X40="DISPENSADO"),OR(X41="OK",X41="DISPENSADO"),OR(X42="OK",X42="DISPENSADO"),OR(X43="OK",X43="DISPENSADO"),OR(X44="OK",X44="DISPENSADO"))),"OK","REVISAR"),IF(N45="Dispensado (ADR)",IF(AND(LEFT(Q45,11)="Condicional",W45&lt;&gt;"",S45&lt;&gt;"",ISNUMBER(T45),T45&gt;0,V45&lt;&gt;""),"DISPENSADO","REVISAR"),"PENDENTE"))</f>
        <v/>
      </c>
      <c r="Y45" s="10" t="inlineStr"/>
    </row>
    <row r="46" ht="112" customHeight="1">
      <c r="A46" s="3" t="n">
        <v>45</v>
      </c>
      <c r="B46" s="3" t="inlineStr">
        <is>
          <t>SL-S05-01</t>
        </is>
      </c>
      <c r="C46" s="9" t="inlineStr">
        <is>
          <t>v0.0.2</t>
        </is>
      </c>
      <c r="D46" s="9" t="inlineStr">
        <is>
          <t>S05</t>
        </is>
      </c>
      <c r="E46" s="3" t="inlineStr">
        <is>
          <t>Qualidade / desempenho</t>
        </is>
      </c>
      <c r="F46" s="3" t="inlineStr">
        <is>
          <t>Próprio</t>
        </is>
      </c>
      <c r="G46" s="3" t="inlineStr">
        <is>
          <t>Implementação</t>
        </is>
      </c>
      <c r="H46" s="3" t="inlineStr">
        <is>
          <t>Montar CI de contratos</t>
        </is>
      </c>
      <c r="I46" s="3" t="inlineStr">
        <is>
          <t>Rodar schemas, lint e testes determinísticos sem chaves de serviços.</t>
        </is>
      </c>
      <c r="J46" s="3" t="inlineStr">
        <is>
          <t>.github/workflows/check.yml</t>
        </is>
      </c>
      <c r="K46" s="3" t="inlineStr">
        <is>
          <t>PR com schema inválido falha; CI básica passa sem acesso a Jev/BYOK.</t>
        </is>
      </c>
      <c r="L46" s="3" t="inlineStr">
        <is>
          <t>SL-S04-GATE</t>
        </is>
      </c>
      <c r="M46" s="3" t="inlineStr">
        <is>
          <t>R01; R09; R12; R15; R20; R34</t>
        </is>
      </c>
      <c r="N46" s="10" t="inlineStr">
        <is>
          <t>Não iniciado</t>
        </is>
      </c>
      <c r="O46" s="3" t="inlineStr">
        <is>
          <t>P1</t>
        </is>
      </c>
      <c r="P46" s="3" t="inlineStr">
        <is>
          <t>Alto</t>
        </is>
      </c>
      <c r="Q46" s="3" t="inlineStr">
        <is>
          <t>Obrigatória no escopo da versão</t>
        </is>
      </c>
      <c r="R46" s="10" t="inlineStr">
        <is>
          <t>Autor + agente de IA</t>
        </is>
      </c>
      <c r="S46" s="10" t="inlineStr"/>
      <c r="T46" s="11" t="inlineStr"/>
      <c r="U46" s="3" t="inlineStr">
        <is>
          <t>reports/S05/SL-S05-01.md</t>
        </is>
      </c>
      <c r="V46" s="10" t="inlineStr"/>
      <c r="W46" s="10" t="inlineStr"/>
      <c r="X46" s="3">
        <f>IF(N46="Concluído",IF(AND(S46&lt;&gt;"",ISNUMBER(T46),T46&gt;0,V46&lt;&gt;"",AND(OR(X45="OK",X45="DISPENSADO"))),"OK","REVISAR"),IF(N46="Dispensado (ADR)",IF(AND(LEFT(Q46,11)="Condicional",W46&lt;&gt;"",S46&lt;&gt;"",ISNUMBER(T46),T46&gt;0,V46&lt;&gt;""),"DISPENSADO","REVISAR"),"PENDENTE"))</f>
        <v/>
      </c>
      <c r="Y46" s="10" t="inlineStr"/>
    </row>
    <row r="47" ht="112" customHeight="1">
      <c r="A47" s="3" t="n">
        <v>46</v>
      </c>
      <c r="B47" s="3" t="inlineStr">
        <is>
          <t>SL-S05-02</t>
        </is>
      </c>
      <c r="C47" s="9" t="inlineStr">
        <is>
          <t>v0.0.2</t>
        </is>
      </c>
      <c r="D47" s="9" t="inlineStr">
        <is>
          <t>S05</t>
        </is>
      </c>
      <c r="E47" s="3" t="inlineStr">
        <is>
          <t>Qualidade / desempenho</t>
        </is>
      </c>
      <c r="F47" s="3" t="inlineStr">
        <is>
          <t>Próprio</t>
        </is>
      </c>
      <c r="G47" s="3" t="inlineStr">
        <is>
          <t>Implementação</t>
        </is>
      </c>
      <c r="H47" s="3" t="inlineStr">
        <is>
          <t>Criar matriz de builds</t>
        </is>
      </c>
      <c r="I47" s="3" t="inlineStr">
        <is>
          <t>Incluir os cinco alvos quando suportado pelo ambiente; distinguir build e teste nativo.</t>
        </is>
      </c>
      <c r="J47" s="3" t="inlineStr">
        <is>
          <t>ci/target-matrix.yaml</t>
        </is>
      </c>
      <c r="K47" s="3" t="inlineStr">
        <is>
          <t>Painel não mostra target compilado como target funcionalmente homologado.</t>
        </is>
      </c>
      <c r="L47" s="3" t="inlineStr">
        <is>
          <t>SL-S05-01</t>
        </is>
      </c>
      <c r="M47" s="3" t="inlineStr">
        <is>
          <t>R01; R09; R12; R15; R20; R34</t>
        </is>
      </c>
      <c r="N47" s="10" t="inlineStr">
        <is>
          <t>Não iniciado</t>
        </is>
      </c>
      <c r="O47" s="3" t="inlineStr">
        <is>
          <t>P1</t>
        </is>
      </c>
      <c r="P47" s="3" t="inlineStr">
        <is>
          <t>Alto</t>
        </is>
      </c>
      <c r="Q47" s="3" t="inlineStr">
        <is>
          <t>Obrigatória no escopo da versão</t>
        </is>
      </c>
      <c r="R47" s="10" t="inlineStr">
        <is>
          <t>Autor + agente de IA</t>
        </is>
      </c>
      <c r="S47" s="10" t="inlineStr"/>
      <c r="T47" s="11" t="inlineStr"/>
      <c r="U47" s="3" t="inlineStr">
        <is>
          <t>reports/S05/SL-S05-02.md</t>
        </is>
      </c>
      <c r="V47" s="10" t="inlineStr"/>
      <c r="W47" s="10" t="inlineStr"/>
      <c r="X47" s="3">
        <f>IF(N47="Concluído",IF(AND(S47&lt;&gt;"",ISNUMBER(T47),T47&gt;0,V47&lt;&gt;"",AND(OR(X46="OK",X46="DISPENSADO"))),"OK","REVISAR"),IF(N47="Dispensado (ADR)",IF(AND(LEFT(Q47,11)="Condicional",W47&lt;&gt;"",S47&lt;&gt;"",ISNUMBER(T47),T47&gt;0,V47&lt;&gt;""),"DISPENSADO","REVISAR"),"PENDENTE"))</f>
        <v/>
      </c>
      <c r="Y47" s="10" t="inlineStr"/>
    </row>
    <row r="48" ht="112" customHeight="1">
      <c r="A48" s="3" t="n">
        <v>47</v>
      </c>
      <c r="B48" s="3" t="inlineStr">
        <is>
          <t>SL-S05-03</t>
        </is>
      </c>
      <c r="C48" s="9" t="inlineStr">
        <is>
          <t>v0.0.2</t>
        </is>
      </c>
      <c r="D48" s="9" t="inlineStr">
        <is>
          <t>S05</t>
        </is>
      </c>
      <c r="E48" s="3" t="inlineStr">
        <is>
          <t>Qualidade / desempenho</t>
        </is>
      </c>
      <c r="F48" s="3" t="inlineStr">
        <is>
          <t>Próprio</t>
        </is>
      </c>
      <c r="G48" s="3" t="inlineStr">
        <is>
          <t>Teste</t>
        </is>
      </c>
      <c r="H48" s="3" t="inlineStr">
        <is>
          <t>Montar corpus documental</t>
        </is>
      </c>
      <c r="I48" s="3" t="inlineStr">
        <is>
          <t>Reunir PDFs textuais/escaneados, DOCX, HTML, Markdown e transcrições com direitos de uso.</t>
        </is>
      </c>
      <c r="J48" s="3" t="inlineStr">
        <is>
          <t>tests/corpus/manifest.json</t>
        </is>
      </c>
      <c r="K48" s="3" t="inlineStr">
        <is>
          <t>Cada item possui hash, idioma, formato e licença/origem; nenhum dado privado entra no repositório.</t>
        </is>
      </c>
      <c r="L48" s="3" t="inlineStr">
        <is>
          <t>SL-S05-02</t>
        </is>
      </c>
      <c r="M48" s="3" t="inlineStr">
        <is>
          <t>R01; R09; R12; R15; R20; R34</t>
        </is>
      </c>
      <c r="N48" s="10" t="inlineStr">
        <is>
          <t>Não iniciado</t>
        </is>
      </c>
      <c r="O48" s="3" t="inlineStr">
        <is>
          <t>P1</t>
        </is>
      </c>
      <c r="P48" s="3" t="inlineStr">
        <is>
          <t>Alto</t>
        </is>
      </c>
      <c r="Q48" s="3" t="inlineStr">
        <is>
          <t>Obrigatória no escopo da versão</t>
        </is>
      </c>
      <c r="R48" s="10" t="inlineStr">
        <is>
          <t>Autor + agente de IA</t>
        </is>
      </c>
      <c r="S48" s="10" t="inlineStr"/>
      <c r="T48" s="11" t="inlineStr"/>
      <c r="U48" s="3" t="inlineStr">
        <is>
          <t>reports/S05/SL-S05-03.md</t>
        </is>
      </c>
      <c r="V48" s="10" t="inlineStr"/>
      <c r="W48" s="10" t="inlineStr"/>
      <c r="X48" s="3">
        <f>IF(N48="Concluído",IF(AND(S48&lt;&gt;"",ISNUMBER(T48),T48&gt;0,V48&lt;&gt;"",AND(OR(X47="OK",X47="DISPENSADO"))),"OK","REVISAR"),IF(N48="Dispensado (ADR)",IF(AND(LEFT(Q48,11)="Condicional",W48&lt;&gt;"",S48&lt;&gt;"",ISNUMBER(T48),T48&gt;0,V48&lt;&gt;""),"DISPENSADO","REVISAR"),"PENDENTE"))</f>
        <v/>
      </c>
      <c r="Y48" s="10" t="inlineStr"/>
    </row>
    <row r="49" ht="112" customHeight="1">
      <c r="A49" s="3" t="n">
        <v>48</v>
      </c>
      <c r="B49" s="3" t="inlineStr">
        <is>
          <t>SL-S05-04</t>
        </is>
      </c>
      <c r="C49" s="9" t="inlineStr">
        <is>
          <t>v0.0.2</t>
        </is>
      </c>
      <c r="D49" s="9" t="inlineStr">
        <is>
          <t>S05</t>
        </is>
      </c>
      <c r="E49" s="3" t="inlineStr">
        <is>
          <t>Qualidade / desempenho</t>
        </is>
      </c>
      <c r="F49" s="3" t="inlineStr">
        <is>
          <t>Próprio</t>
        </is>
      </c>
      <c r="G49" s="3" t="inlineStr">
        <is>
          <t>Teste</t>
        </is>
      </c>
      <c r="H49" s="3" t="inlineStr">
        <is>
          <t>Montar corpus de busca</t>
        </is>
      </c>
      <c r="I49" s="3" t="inlineStr">
        <is>
          <t>Rotular perguntas, respostas esperadas, ausência de resposta e fontes em português.</t>
        </is>
      </c>
      <c r="J49" s="3" t="inlineStr">
        <is>
          <t>tests/eval/retrieval-v1.jsonl</t>
        </is>
      </c>
      <c r="K49" s="3" t="inlineStr">
        <is>
          <t>Conjunto de avaliação é separado dos exemplos usados para ajustar prompts e thresholds.</t>
        </is>
      </c>
      <c r="L49" s="3" t="inlineStr">
        <is>
          <t>SL-S05-03</t>
        </is>
      </c>
      <c r="M49" s="3" t="inlineStr">
        <is>
          <t>R01; R09; R12; R15; R20; R34</t>
        </is>
      </c>
      <c r="N49" s="10" t="inlineStr">
        <is>
          <t>Não iniciado</t>
        </is>
      </c>
      <c r="O49" s="3" t="inlineStr">
        <is>
          <t>P1</t>
        </is>
      </c>
      <c r="P49" s="3" t="inlineStr">
        <is>
          <t>Alto</t>
        </is>
      </c>
      <c r="Q49" s="3" t="inlineStr">
        <is>
          <t>Obrigatória no escopo da versão</t>
        </is>
      </c>
      <c r="R49" s="10" t="inlineStr">
        <is>
          <t>Autor + agente de IA</t>
        </is>
      </c>
      <c r="S49" s="10" t="inlineStr"/>
      <c r="T49" s="11" t="inlineStr"/>
      <c r="U49" s="3" t="inlineStr">
        <is>
          <t>reports/S05/SL-S05-04.md</t>
        </is>
      </c>
      <c r="V49" s="10" t="inlineStr"/>
      <c r="W49" s="10" t="inlineStr"/>
      <c r="X49" s="3">
        <f>IF(N49="Concluído",IF(AND(S49&lt;&gt;"",ISNUMBER(T49),T49&gt;0,V49&lt;&gt;"",AND(OR(X48="OK",X48="DISPENSADO"))),"OK","REVISAR"),IF(N49="Dispensado (ADR)",IF(AND(LEFT(Q49,11)="Condicional",W49&lt;&gt;"",S49&lt;&gt;"",ISNUMBER(T49),T49&gt;0,V49&lt;&gt;""),"DISPENSADO","REVISAR"),"PENDENTE"))</f>
        <v/>
      </c>
      <c r="Y49" s="10" t="inlineStr"/>
    </row>
    <row r="50" ht="112" customHeight="1">
      <c r="A50" s="3" t="n">
        <v>49</v>
      </c>
      <c r="B50" s="3" t="inlineStr">
        <is>
          <t>SL-S05-05</t>
        </is>
      </c>
      <c r="C50" s="9" t="inlineStr">
        <is>
          <t>v0.0.2</t>
        </is>
      </c>
      <c r="D50" s="9" t="inlineStr">
        <is>
          <t>S05</t>
        </is>
      </c>
      <c r="E50" s="3" t="inlineStr">
        <is>
          <t>Qualidade / desempenho</t>
        </is>
      </c>
      <c r="F50" s="3" t="inlineStr">
        <is>
          <t>Próprio</t>
        </is>
      </c>
      <c r="G50" s="3" t="inlineStr">
        <is>
          <t>Teste</t>
        </is>
      </c>
      <c r="H50" s="3" t="inlineStr">
        <is>
          <t>Criar corpus hostil</t>
        </is>
      </c>
      <c r="I50" s="3" t="inlineStr">
        <is>
          <t>Incluir traversal, HTML ativo, injeção de prompt, arquivos truncados e URLs internas.</t>
        </is>
      </c>
      <c r="J50" s="3" t="inlineStr">
        <is>
          <t>tests/security/fixtures/</t>
        </is>
      </c>
      <c r="K50" s="3" t="inlineStr">
        <is>
          <t>Cada fixture é inerte fora de harness controlado e tem comportamento negado esperado.</t>
        </is>
      </c>
      <c r="L50" s="3" t="inlineStr">
        <is>
          <t>SL-S05-04</t>
        </is>
      </c>
      <c r="M50" s="3" t="inlineStr">
        <is>
          <t>R01; R09; R12; R15; R20; R34</t>
        </is>
      </c>
      <c r="N50" s="10" t="inlineStr">
        <is>
          <t>Não iniciado</t>
        </is>
      </c>
      <c r="O50" s="3" t="inlineStr">
        <is>
          <t>P1</t>
        </is>
      </c>
      <c r="P50" s="3" t="inlineStr">
        <is>
          <t>Alto</t>
        </is>
      </c>
      <c r="Q50" s="3" t="inlineStr">
        <is>
          <t>Obrigatória no escopo da versão</t>
        </is>
      </c>
      <c r="R50" s="10" t="inlineStr">
        <is>
          <t>Autor + agente de IA</t>
        </is>
      </c>
      <c r="S50" s="10" t="inlineStr"/>
      <c r="T50" s="11" t="inlineStr"/>
      <c r="U50" s="3" t="inlineStr">
        <is>
          <t>reports/S05/SL-S05-05.md</t>
        </is>
      </c>
      <c r="V50" s="10" t="inlineStr"/>
      <c r="W50" s="10" t="inlineStr"/>
      <c r="X50" s="3">
        <f>IF(N50="Concluído",IF(AND(S50&lt;&gt;"",ISNUMBER(T50),T50&gt;0,V50&lt;&gt;"",AND(OR(X49="OK",X49="DISPENSADO"))),"OK","REVISAR"),IF(N50="Dispensado (ADR)",IF(AND(LEFT(Q50,11)="Condicional",W50&lt;&gt;"",S50&lt;&gt;"",ISNUMBER(T50),T50&gt;0,V50&lt;&gt;""),"DISPENSADO","REVISAR"),"PENDENTE"))</f>
        <v/>
      </c>
      <c r="Y50" s="10" t="inlineStr"/>
    </row>
    <row r="51" ht="112" customHeight="1">
      <c r="A51" s="3" t="n">
        <v>50</v>
      </c>
      <c r="B51" s="3" t="inlineStr">
        <is>
          <t>SL-S05-06</t>
        </is>
      </c>
      <c r="C51" s="9" t="inlineStr">
        <is>
          <t>v0.0.2</t>
        </is>
      </c>
      <c r="D51" s="9" t="inlineStr">
        <is>
          <t>S05</t>
        </is>
      </c>
      <c r="E51" s="3" t="inlineStr">
        <is>
          <t>Qualidade / desempenho</t>
        </is>
      </c>
      <c r="F51" s="3" t="inlineStr">
        <is>
          <t>Próprio</t>
        </is>
      </c>
      <c r="G51" s="3" t="inlineStr">
        <is>
          <t>Decisão</t>
        </is>
      </c>
      <c r="H51" s="3" t="inlineStr">
        <is>
          <t>Fixar métricas de memória</t>
        </is>
      </c>
      <c r="I51" s="3" t="inlineStr">
        <is>
          <t>Definir RAM/RSS/PSS/VRAM, processos incluídos e diferenças por SO.</t>
        </is>
      </c>
      <c r="J51" s="3" t="inlineStr">
        <is>
          <t>docs/adr/007-resource-profiles.md</t>
        </is>
      </c>
      <c r="K51" s="3" t="inlineStr">
        <is>
          <t>Meta de 350 MB não é validada medindo apenas o processo Rust.</t>
        </is>
      </c>
      <c r="L51" s="3" t="inlineStr">
        <is>
          <t>SL-S05-05</t>
        </is>
      </c>
      <c r="M51" s="3" t="inlineStr">
        <is>
          <t>R01; R09; R12; R15; R20; R34</t>
        </is>
      </c>
      <c r="N51" s="10" t="inlineStr">
        <is>
          <t>Não iniciado</t>
        </is>
      </c>
      <c r="O51" s="3" t="inlineStr">
        <is>
          <t>P0</t>
        </is>
      </c>
      <c r="P51" s="3" t="inlineStr">
        <is>
          <t>Alto</t>
        </is>
      </c>
      <c r="Q51" s="3" t="inlineStr">
        <is>
          <t>Obrigatória no escopo da versão</t>
        </is>
      </c>
      <c r="R51" s="10" t="inlineStr">
        <is>
          <t>Autor</t>
        </is>
      </c>
      <c r="S51" s="10" t="inlineStr"/>
      <c r="T51" s="11" t="inlineStr"/>
      <c r="U51" s="3" t="inlineStr">
        <is>
          <t>reports/S05/SL-S05-06.md</t>
        </is>
      </c>
      <c r="V51" s="10" t="inlineStr"/>
      <c r="W51" s="10" t="inlineStr"/>
      <c r="X51" s="3">
        <f>IF(N51="Concluído",IF(AND(S51&lt;&gt;"",ISNUMBER(T51),T51&gt;0,V51&lt;&gt;"",AND(OR(X50="OK",X50="DISPENSADO"))),"OK","REVISAR"),IF(N51="Dispensado (ADR)",IF(AND(LEFT(Q51,11)="Condicional",W51&lt;&gt;"",S51&lt;&gt;"",ISNUMBER(T51),T51&gt;0,V51&lt;&gt;""),"DISPENSADO","REVISAR"),"PENDENTE"))</f>
        <v/>
      </c>
      <c r="Y51" s="10" t="inlineStr"/>
    </row>
    <row r="52" ht="112" customHeight="1">
      <c r="A52" s="3" t="n">
        <v>51</v>
      </c>
      <c r="B52" s="3" t="inlineStr">
        <is>
          <t>SL-S05-07</t>
        </is>
      </c>
      <c r="C52" s="9" t="inlineStr">
        <is>
          <t>v0.0.2</t>
        </is>
      </c>
      <c r="D52" s="9" t="inlineStr">
        <is>
          <t>S05</t>
        </is>
      </c>
      <c r="E52" s="3" t="inlineStr">
        <is>
          <t>Qualidade / desempenho</t>
        </is>
      </c>
      <c r="F52" s="3" t="inlineStr">
        <is>
          <t>Próprio</t>
        </is>
      </c>
      <c r="G52" s="3" t="inlineStr">
        <is>
          <t>Implementação</t>
        </is>
      </c>
      <c r="H52" s="3" t="inlineStr">
        <is>
          <t>Criar harness de desempenho</t>
        </is>
      </c>
      <c r="I52" s="3" t="inlineStr">
        <is>
          <t>Medir startup interativo, ack IPC, latência de busca e frame times.</t>
        </is>
      </c>
      <c r="J52" s="3" t="inlineStr">
        <is>
          <t>tooling/bench/</t>
        </is>
      </c>
      <c r="K52" s="3" t="inlineStr">
        <is>
          <t>Dados brutos incluem hardware, versão, dataset, warm/cold e repetição; não apenas médias soltas.</t>
        </is>
      </c>
      <c r="L52" s="3" t="inlineStr">
        <is>
          <t>SL-S05-06</t>
        </is>
      </c>
      <c r="M52" s="3" t="inlineStr">
        <is>
          <t>R01; R09; R12; R15; R20; R34</t>
        </is>
      </c>
      <c r="N52" s="10" t="inlineStr">
        <is>
          <t>Não iniciado</t>
        </is>
      </c>
      <c r="O52" s="3" t="inlineStr">
        <is>
          <t>P1</t>
        </is>
      </c>
      <c r="P52" s="3" t="inlineStr">
        <is>
          <t>Alto</t>
        </is>
      </c>
      <c r="Q52" s="3" t="inlineStr">
        <is>
          <t>Obrigatória no escopo da versão</t>
        </is>
      </c>
      <c r="R52" s="10" t="inlineStr">
        <is>
          <t>Autor + agente de IA</t>
        </is>
      </c>
      <c r="S52" s="10" t="inlineStr"/>
      <c r="T52" s="11" t="inlineStr"/>
      <c r="U52" s="3" t="inlineStr">
        <is>
          <t>reports/S05/SL-S05-07.md</t>
        </is>
      </c>
      <c r="V52" s="10" t="inlineStr"/>
      <c r="W52" s="10" t="inlineStr"/>
      <c r="X52" s="3">
        <f>IF(N52="Concluído",IF(AND(S52&lt;&gt;"",ISNUMBER(T52),T52&gt;0,V52&lt;&gt;"",AND(OR(X51="OK",X51="DISPENSADO"))),"OK","REVISAR"),IF(N52="Dispensado (ADR)",IF(AND(LEFT(Q52,11)="Condicional",W52&lt;&gt;"",S52&lt;&gt;"",ISNUMBER(T52),T52&gt;0,V52&lt;&gt;""),"DISPENSADO","REVISAR"),"PENDENTE"))</f>
        <v/>
      </c>
      <c r="Y52" s="10" t="inlineStr"/>
    </row>
    <row r="53" ht="112" customHeight="1">
      <c r="A53" s="3" t="n">
        <v>52</v>
      </c>
      <c r="B53" s="3" t="inlineStr">
        <is>
          <t>SL-S05-08</t>
        </is>
      </c>
      <c r="C53" s="9" t="inlineStr">
        <is>
          <t>v0.0.2</t>
        </is>
      </c>
      <c r="D53" s="9" t="inlineStr">
        <is>
          <t>S05</t>
        </is>
      </c>
      <c r="E53" s="3" t="inlineStr">
        <is>
          <t>Qualidade / desempenho</t>
        </is>
      </c>
      <c r="F53" s="3" t="inlineStr">
        <is>
          <t>Próprio</t>
        </is>
      </c>
      <c r="G53" s="3" t="inlineStr">
        <is>
          <t>Teste</t>
        </is>
      </c>
      <c r="H53" s="3" t="inlineStr">
        <is>
          <t>Gerar cenas sintéticas</t>
        </is>
      </c>
      <c r="I53" s="3" t="inlineStr">
        <is>
          <t>Criar boards de 100 e 1.000 nós com textos, imagens, grupos e conexões.</t>
        </is>
      </c>
      <c r="J53" s="3" t="inlineStr">
        <is>
          <t>tests/fixtures/boards/</t>
        </is>
      </c>
      <c r="K53" s="3" t="inlineStr">
        <is>
          <t>Cenas são determinísticas e não representam só caixas vazias favoráveis ao benchmark.</t>
        </is>
      </c>
      <c r="L53" s="3" t="inlineStr">
        <is>
          <t>SL-S05-07</t>
        </is>
      </c>
      <c r="M53" s="3" t="inlineStr">
        <is>
          <t>R01; R09; R12; R15; R20; R34</t>
        </is>
      </c>
      <c r="N53" s="10" t="inlineStr">
        <is>
          <t>Não iniciado</t>
        </is>
      </c>
      <c r="O53" s="3" t="inlineStr">
        <is>
          <t>P1</t>
        </is>
      </c>
      <c r="P53" s="3" t="inlineStr">
        <is>
          <t>Alto</t>
        </is>
      </c>
      <c r="Q53" s="3" t="inlineStr">
        <is>
          <t>Obrigatória no escopo da versão</t>
        </is>
      </c>
      <c r="R53" s="10" t="inlineStr">
        <is>
          <t>Autor + agente de IA</t>
        </is>
      </c>
      <c r="S53" s="10" t="inlineStr"/>
      <c r="T53" s="11" t="inlineStr"/>
      <c r="U53" s="3" t="inlineStr">
        <is>
          <t>reports/S05/SL-S05-08.md</t>
        </is>
      </c>
      <c r="V53" s="10" t="inlineStr"/>
      <c r="W53" s="10" t="inlineStr"/>
      <c r="X53" s="3">
        <f>IF(N53="Concluído",IF(AND(S53&lt;&gt;"",ISNUMBER(T53),T53&gt;0,V53&lt;&gt;"",AND(OR(X52="OK",X52="DISPENSADO"))),"OK","REVISAR"),IF(N53="Dispensado (ADR)",IF(AND(LEFT(Q53,11)="Condicional",W53&lt;&gt;"",S53&lt;&gt;"",ISNUMBER(T53),T53&gt;0,V53&lt;&gt;""),"DISPENSADO","REVISAR"),"PENDENTE"))</f>
        <v/>
      </c>
      <c r="Y53" s="10" t="inlineStr"/>
    </row>
    <row r="54" ht="112" customHeight="1">
      <c r="A54" s="3" t="n">
        <v>53</v>
      </c>
      <c r="B54" s="3" t="inlineStr">
        <is>
          <t>SL-S05-09</t>
        </is>
      </c>
      <c r="C54" s="9" t="inlineStr">
        <is>
          <t>v0.0.2</t>
        </is>
      </c>
      <c r="D54" s="9" t="inlineStr">
        <is>
          <t>S05</t>
        </is>
      </c>
      <c r="E54" s="3" t="inlineStr">
        <is>
          <t>Qualidade / desempenho</t>
        </is>
      </c>
      <c r="F54" s="3" t="inlineStr">
        <is>
          <t>Próprio</t>
        </is>
      </c>
      <c r="G54" s="3" t="inlineStr">
        <is>
          <t>Implementação</t>
        </is>
      </c>
      <c r="H54" s="3" t="inlineStr">
        <is>
          <t>Padronizar evidências</t>
        </is>
      </c>
      <c r="I54" s="3" t="inlineStr">
        <is>
          <t>Definir JSON de resultados e caminho por tarefa, hash de commit e ambiente.</t>
        </is>
      </c>
      <c r="J54" s="3" t="inlineStr">
        <is>
          <t>schemas/evidence-report.json</t>
        </is>
      </c>
      <c r="K54" s="3" t="inlineStr">
        <is>
          <t>Relatório distingue executado, falhou, bloqueado e não executado; campo de aprovação é humano.</t>
        </is>
      </c>
      <c r="L54" s="3" t="inlineStr">
        <is>
          <t>SL-S05-08</t>
        </is>
      </c>
      <c r="M54" s="3" t="inlineStr">
        <is>
          <t>R01; R09; R12; R15; R20; R34</t>
        </is>
      </c>
      <c r="N54" s="10" t="inlineStr">
        <is>
          <t>Não iniciado</t>
        </is>
      </c>
      <c r="O54" s="3" t="inlineStr">
        <is>
          <t>P1</t>
        </is>
      </c>
      <c r="P54" s="3" t="inlineStr">
        <is>
          <t>Alto</t>
        </is>
      </c>
      <c r="Q54" s="3" t="inlineStr">
        <is>
          <t>Obrigatória no escopo da versão</t>
        </is>
      </c>
      <c r="R54" s="10" t="inlineStr">
        <is>
          <t>Autor + agente de IA</t>
        </is>
      </c>
      <c r="S54" s="10" t="inlineStr"/>
      <c r="T54" s="11" t="inlineStr"/>
      <c r="U54" s="3" t="inlineStr">
        <is>
          <t>reports/S05/SL-S05-09.md</t>
        </is>
      </c>
      <c r="V54" s="10" t="inlineStr"/>
      <c r="W54" s="10" t="inlineStr"/>
      <c r="X54" s="3">
        <f>IF(N54="Concluído",IF(AND(S54&lt;&gt;"",ISNUMBER(T54),T54&gt;0,V54&lt;&gt;"",AND(OR(X53="OK",X53="DISPENSADO"))),"OK","REVISAR"),IF(N54="Dispensado (ADR)",IF(AND(LEFT(Q54,11)="Condicional",W54&lt;&gt;"",S54&lt;&gt;"",ISNUMBER(T54),T54&gt;0,V54&lt;&gt;""),"DISPENSADO","REVISAR"),"PENDENTE"))</f>
        <v/>
      </c>
      <c r="Y54" s="10" t="inlineStr"/>
    </row>
    <row r="55" ht="112" customHeight="1">
      <c r="A55" s="3" t="n">
        <v>54</v>
      </c>
      <c r="B55" s="3" t="inlineStr">
        <is>
          <t>SL-S05-10</t>
        </is>
      </c>
      <c r="C55" s="9" t="inlineStr">
        <is>
          <t>v0.0.2</t>
        </is>
      </c>
      <c r="D55" s="9" t="inlineStr">
        <is>
          <t>S05</t>
        </is>
      </c>
      <c r="E55" s="3" t="inlineStr">
        <is>
          <t>Qualidade / desempenho</t>
        </is>
      </c>
      <c r="F55" s="3" t="inlineStr">
        <is>
          <t>Próprio</t>
        </is>
      </c>
      <c r="G55" s="3" t="inlineStr">
        <is>
          <t>Teste</t>
        </is>
      </c>
      <c r="H55" s="3" t="inlineStr">
        <is>
          <t>Validar a própria bancada</t>
        </is>
      </c>
      <c r="I55" s="3" t="inlineStr">
        <is>
          <t>Injetar regressão de tempo, erro de schema e ausência de runner.</t>
        </is>
      </c>
      <c r="J55" s="3" t="inlineStr">
        <is>
          <t>reports/ci-self-test.md</t>
        </is>
      </c>
      <c r="K55" s="3" t="inlineStr">
        <is>
          <t>Cada situação gera falha ou estado bloqueado, nunca resultado verde fictício.</t>
        </is>
      </c>
      <c r="L55" s="3" t="inlineStr">
        <is>
          <t>SL-S05-09</t>
        </is>
      </c>
      <c r="M55" s="3" t="inlineStr">
        <is>
          <t>R01; R09; R12; R15; R20; R34</t>
        </is>
      </c>
      <c r="N55" s="10" t="inlineStr">
        <is>
          <t>Não iniciado</t>
        </is>
      </c>
      <c r="O55" s="3" t="inlineStr">
        <is>
          <t>P1</t>
        </is>
      </c>
      <c r="P55" s="3" t="inlineStr">
        <is>
          <t>Alto</t>
        </is>
      </c>
      <c r="Q55" s="3" t="inlineStr">
        <is>
          <t>Obrigatória no escopo da versão</t>
        </is>
      </c>
      <c r="R55" s="10" t="inlineStr">
        <is>
          <t>Autor + agente de IA</t>
        </is>
      </c>
      <c r="S55" s="10" t="inlineStr"/>
      <c r="T55" s="11" t="inlineStr"/>
      <c r="U55" s="3" t="inlineStr">
        <is>
          <t>reports/S05/SL-S05-10.md</t>
        </is>
      </c>
      <c r="V55" s="10" t="inlineStr"/>
      <c r="W55" s="10" t="inlineStr"/>
      <c r="X55" s="3">
        <f>IF(N55="Concluído",IF(AND(S55&lt;&gt;"",ISNUMBER(T55),T55&gt;0,V55&lt;&gt;"",AND(OR(X54="OK",X54="DISPENSADO"))),"OK","REVISAR"),IF(N55="Dispensado (ADR)",IF(AND(LEFT(Q55,11)="Condicional",W55&lt;&gt;"",S55&lt;&gt;"",ISNUMBER(T55),T55&gt;0,V55&lt;&gt;""),"DISPENSADO","REVISAR"),"PENDENTE"))</f>
        <v/>
      </c>
      <c r="Y55" s="10" t="inlineStr"/>
    </row>
    <row r="56" ht="98" customHeight="1">
      <c r="A56" s="3" t="n">
        <v>55</v>
      </c>
      <c r="B56" s="12" t="inlineStr">
        <is>
          <t>SL-S05-GATE</t>
        </is>
      </c>
      <c r="C56" s="9" t="inlineStr">
        <is>
          <t>v0.0.2</t>
        </is>
      </c>
      <c r="D56" s="9" t="inlineStr">
        <is>
          <t>S05</t>
        </is>
      </c>
      <c r="E56" s="3" t="inlineStr">
        <is>
          <t>Qualidade / desempenho</t>
        </is>
      </c>
      <c r="F56" s="3" t="inlineStr">
        <is>
          <t>Aceite humano</t>
        </is>
      </c>
      <c r="G56" s="12" t="inlineStr">
        <is>
          <t>Gate</t>
        </is>
      </c>
      <c r="H56" s="12" t="inlineStr">
        <is>
          <t>Aceitar S05 — Construir CI, corpus e protocolo de medição</t>
        </is>
      </c>
      <c r="I56" s="3" t="inlineStr">
        <is>
          <t>Revisar as dez tarefas, executar a demonstração do sprint, confrontar critérios e registrar decisão go/no-go.</t>
        </is>
      </c>
      <c r="J56" s="3" t="inlineStr">
        <is>
          <t>reports/S05/acceptance.md</t>
        </is>
      </c>
      <c r="K56" s="3" t="inlineStr">
        <is>
          <t>Falha introduzida em contrato bloqueia pipeline e um benchmark gera dados reproduzíveis. Todas as dependências aceitas; evidências vinculadas a revisão/ambiente; nenhum blocker de integridade/segurança.</t>
        </is>
      </c>
      <c r="L56" s="3" t="inlineStr">
        <is>
          <t>SL-S05-01; SL-S05-02; SL-S05-03; SL-S05-04; SL-S05-05; SL-S05-06; SL-S05-07; SL-S05-08; SL-S05-09; SL-S05-10</t>
        </is>
      </c>
      <c r="M56" s="3" t="inlineStr">
        <is>
          <t>R01; R09; R12; R15; R20; R34</t>
        </is>
      </c>
      <c r="N56" s="10" t="inlineStr">
        <is>
          <t>Não iniciado</t>
        </is>
      </c>
      <c r="O56" s="3" t="inlineStr">
        <is>
          <t>P0</t>
        </is>
      </c>
      <c r="P56" s="3" t="inlineStr">
        <is>
          <t>Alto</t>
        </is>
      </c>
      <c r="Q56" s="3" t="inlineStr">
        <is>
          <t>Obrigatória para fechar a versão aprovada</t>
        </is>
      </c>
      <c r="R56" s="10" t="inlineStr">
        <is>
          <t>Autor</t>
        </is>
      </c>
      <c r="S56" s="10" t="inlineStr"/>
      <c r="T56" s="11" t="inlineStr"/>
      <c r="U56" s="3" t="inlineStr">
        <is>
          <t>reports/S05/acceptance.md</t>
        </is>
      </c>
      <c r="V56" s="10" t="inlineStr"/>
      <c r="W56" s="10" t="inlineStr"/>
      <c r="X56" s="3">
        <f>IF(N56="Concluído",IF(AND(S56&lt;&gt;"",ISNUMBER(T56),T56&gt;0,V56&lt;&gt;"",AND(OR(X46="OK",X46="DISPENSADO"),OR(X47="OK",X47="DISPENSADO"),OR(X48="OK",X48="DISPENSADO"),OR(X49="OK",X49="DISPENSADO"),OR(X50="OK",X50="DISPENSADO"),OR(X51="OK",X51="DISPENSADO"),OR(X52="OK",X52="DISPENSADO"),OR(X53="OK",X53="DISPENSADO"),OR(X54="OK",X54="DISPENSADO"),OR(X55="OK",X55="DISPENSADO"))),"OK","REVISAR"),IF(N56="Dispensado (ADR)",IF(AND(LEFT(Q56,11)="Condicional",W56&lt;&gt;"",S56&lt;&gt;"",ISNUMBER(T56),T56&gt;0,V56&lt;&gt;""),"DISPENSADO","REVISAR"),"PENDENTE"))</f>
        <v/>
      </c>
      <c r="Y56" s="10" t="inlineStr"/>
    </row>
    <row r="57" ht="112" customHeight="1">
      <c r="A57" s="3" t="n">
        <v>56</v>
      </c>
      <c r="B57" s="3" t="inlineStr">
        <is>
          <t>SL-S06-01</t>
        </is>
      </c>
      <c r="C57" s="9" t="inlineStr">
        <is>
          <t>v0.0.2</t>
        </is>
      </c>
      <c r="D57" s="9" t="inlineStr">
        <is>
          <t>S06</t>
        </is>
      </c>
      <c r="E57" s="3" t="inlineStr">
        <is>
          <t>Tauri / apresentação</t>
        </is>
      </c>
      <c r="F57" s="3" t="inlineStr">
        <is>
          <t>Integração</t>
        </is>
      </c>
      <c r="G57" s="3" t="inlineStr">
        <is>
          <t>Implementação</t>
        </is>
      </c>
      <c r="H57" s="3" t="inlineStr">
        <is>
          <t>Inicializar Tauri v2</t>
        </is>
      </c>
      <c r="I57" s="3" t="inlineStr">
        <is>
          <t>Montar frontend mínimo e Core; manter motores pesados fora do startup.</t>
        </is>
      </c>
      <c r="J57" s="3" t="inlineStr">
        <is>
          <t>apps/desktop/</t>
        </is>
      </c>
      <c r="K57" s="3" t="inlineStr">
        <is>
          <t>Shell abre sem modelos, browsers, servidores de pesquisa ou bibliotecas Python carregados.</t>
        </is>
      </c>
      <c r="L57" s="3" t="inlineStr">
        <is>
          <t>SL-S04-GATE; SL-S05-GATE</t>
        </is>
      </c>
      <c r="M57" s="3" t="inlineStr">
        <is>
          <t>R01; R03; R07; R08; R31; R34</t>
        </is>
      </c>
      <c r="N57" s="10" t="inlineStr">
        <is>
          <t>Não iniciado</t>
        </is>
      </c>
      <c r="O57" s="3" t="inlineStr">
        <is>
          <t>P0</t>
        </is>
      </c>
      <c r="P57" s="3" t="inlineStr">
        <is>
          <t>Crítico</t>
        </is>
      </c>
      <c r="Q57" s="3" t="inlineStr">
        <is>
          <t>Obrigatória no escopo da versão</t>
        </is>
      </c>
      <c r="R57" s="10" t="inlineStr">
        <is>
          <t>Autor + agente de IA</t>
        </is>
      </c>
      <c r="S57" s="10" t="inlineStr"/>
      <c r="T57" s="11" t="inlineStr"/>
      <c r="U57" s="3" t="inlineStr">
        <is>
          <t>reports/S06/SL-S06-01.md</t>
        </is>
      </c>
      <c r="V57" s="10" t="inlineStr"/>
      <c r="W57" s="10" t="inlineStr"/>
      <c r="X57" s="3">
        <f>IF(N57="Concluído",IF(AND(S57&lt;&gt;"",ISNUMBER(T57),T57&gt;0,V57&lt;&gt;"",AND(OR(X45="OK",X45="DISPENSADO"),OR(X56="OK",X56="DISPENSADO"))),"OK","REVISAR"),IF(N57="Dispensado (ADR)",IF(AND(LEFT(Q57,11)="Condicional",W57&lt;&gt;"",S57&lt;&gt;"",ISNUMBER(T57),T57&gt;0,V57&lt;&gt;""),"DISPENSADO","REVISAR"),"PENDENTE"))</f>
        <v/>
      </c>
      <c r="Y57" s="10" t="inlineStr"/>
    </row>
    <row r="58" ht="112" customHeight="1">
      <c r="A58" s="3" t="n">
        <v>57</v>
      </c>
      <c r="B58" s="3" t="inlineStr">
        <is>
          <t>SL-S06-02</t>
        </is>
      </c>
      <c r="C58" s="9" t="inlineStr">
        <is>
          <t>v0.0.2</t>
        </is>
      </c>
      <c r="D58" s="9" t="inlineStr">
        <is>
          <t>S06</t>
        </is>
      </c>
      <c r="E58" s="3" t="inlineStr">
        <is>
          <t>Tauri / apresentação</t>
        </is>
      </c>
      <c r="F58" s="3" t="inlineStr">
        <is>
          <t>Integração</t>
        </is>
      </c>
      <c r="G58" s="3" t="inlineStr">
        <is>
          <t>Implementação</t>
        </is>
      </c>
      <c r="H58" s="3" t="inlineStr">
        <is>
          <t>Definir contratos IPC</t>
        </is>
      </c>
      <c r="I58" s="3" t="inlineStr">
        <is>
          <t>Versionar request/response, erros, IDs e cancelamento; gerar tipos onde possível.</t>
        </is>
      </c>
      <c r="J58" s="3" t="inlineStr">
        <is>
          <t>schemas/ipc-v0.json</t>
        </is>
      </c>
      <c r="K58" s="3" t="inlineStr">
        <is>
          <t>Frontend não chama comandos arbitrários ou APIs nativas por nomes não autorizados.</t>
        </is>
      </c>
      <c r="L58" s="3" t="inlineStr">
        <is>
          <t>SL-S06-01</t>
        </is>
      </c>
      <c r="M58" s="3" t="inlineStr">
        <is>
          <t>R01; R03; R07; R08; R31; R34</t>
        </is>
      </c>
      <c r="N58" s="10" t="inlineStr">
        <is>
          <t>Não iniciado</t>
        </is>
      </c>
      <c r="O58" s="3" t="inlineStr">
        <is>
          <t>P0</t>
        </is>
      </c>
      <c r="P58" s="3" t="inlineStr">
        <is>
          <t>Crítico</t>
        </is>
      </c>
      <c r="Q58" s="3" t="inlineStr">
        <is>
          <t>Obrigatória no escopo da versão</t>
        </is>
      </c>
      <c r="R58" s="10" t="inlineStr">
        <is>
          <t>Autor + agente de IA</t>
        </is>
      </c>
      <c r="S58" s="10" t="inlineStr"/>
      <c r="T58" s="11" t="inlineStr"/>
      <c r="U58" s="3" t="inlineStr">
        <is>
          <t>reports/S06/SL-S06-02.md</t>
        </is>
      </c>
      <c r="V58" s="10" t="inlineStr"/>
      <c r="W58" s="10" t="inlineStr"/>
      <c r="X58" s="3">
        <f>IF(N58="Concluído",IF(AND(S58&lt;&gt;"",ISNUMBER(T58),T58&gt;0,V58&lt;&gt;"",AND(OR(X57="OK",X57="DISPENSADO"))),"OK","REVISAR"),IF(N58="Dispensado (ADR)",IF(AND(LEFT(Q58,11)="Condicional",W58&lt;&gt;"",S58&lt;&gt;"",ISNUMBER(T58),T58&gt;0,V58&lt;&gt;""),"DISPENSADO","REVISAR"),"PENDENTE"))</f>
        <v/>
      </c>
      <c r="Y58" s="10" t="inlineStr"/>
    </row>
    <row r="59" ht="112" customHeight="1">
      <c r="A59" s="3" t="n">
        <v>58</v>
      </c>
      <c r="B59" s="3" t="inlineStr">
        <is>
          <t>SL-S06-03</t>
        </is>
      </c>
      <c r="C59" s="9" t="inlineStr">
        <is>
          <t>v0.0.2</t>
        </is>
      </c>
      <c r="D59" s="9" t="inlineStr">
        <is>
          <t>S06</t>
        </is>
      </c>
      <c r="E59" s="3" t="inlineStr">
        <is>
          <t>Tauri / apresentação</t>
        </is>
      </c>
      <c r="F59" s="3" t="inlineStr">
        <is>
          <t>Integração</t>
        </is>
      </c>
      <c r="G59" s="3" t="inlineStr">
        <is>
          <t>Implementação</t>
        </is>
      </c>
      <c r="H59" s="3" t="inlineStr">
        <is>
          <t>Configurar capabilities</t>
        </is>
      </c>
      <c r="I59" s="3" t="inlineStr">
        <is>
          <t>Expor apenas comandos do app e aplicar CSP restritiva à apresentação.</t>
        </is>
      </c>
      <c r="J59" s="3" t="inlineStr">
        <is>
          <t>apps/desktop/capabilities/</t>
        </is>
      </c>
      <c r="K59" s="3" t="inlineStr">
        <is>
          <t>Script de conteúdo não obtém acesso automático a filesystem, shell ou segredos.</t>
        </is>
      </c>
      <c r="L59" s="3" t="inlineStr">
        <is>
          <t>SL-S06-02</t>
        </is>
      </c>
      <c r="M59" s="3" t="inlineStr">
        <is>
          <t>R01; R03; R07; R08; R31; R34</t>
        </is>
      </c>
      <c r="N59" s="10" t="inlineStr">
        <is>
          <t>Não iniciado</t>
        </is>
      </c>
      <c r="O59" s="3" t="inlineStr">
        <is>
          <t>P0</t>
        </is>
      </c>
      <c r="P59" s="3" t="inlineStr">
        <is>
          <t>Crítico</t>
        </is>
      </c>
      <c r="Q59" s="3" t="inlineStr">
        <is>
          <t>Obrigatória no escopo da versão</t>
        </is>
      </c>
      <c r="R59" s="10" t="inlineStr">
        <is>
          <t>Autor + agente de IA</t>
        </is>
      </c>
      <c r="S59" s="10" t="inlineStr"/>
      <c r="T59" s="11" t="inlineStr"/>
      <c r="U59" s="3" t="inlineStr">
        <is>
          <t>reports/S06/SL-S06-03.md</t>
        </is>
      </c>
      <c r="V59" s="10" t="inlineStr"/>
      <c r="W59" s="10" t="inlineStr"/>
      <c r="X59" s="3">
        <f>IF(N59="Concluído",IF(AND(S59&lt;&gt;"",ISNUMBER(T59),T59&gt;0,V59&lt;&gt;"",AND(OR(X58="OK",X58="DISPENSADO"))),"OK","REVISAR"),IF(N59="Dispensado (ADR)",IF(AND(LEFT(Q59,11)="Condicional",W59&lt;&gt;"",S59&lt;&gt;"",ISNUMBER(T59),T59&gt;0,V59&lt;&gt;""),"DISPENSADO","REVISAR"),"PENDENTE"))</f>
        <v/>
      </c>
      <c r="Y59" s="10" t="inlineStr"/>
    </row>
    <row r="60" ht="112" customHeight="1">
      <c r="A60" s="3" t="n">
        <v>59</v>
      </c>
      <c r="B60" s="3" t="inlineStr">
        <is>
          <t>SL-S06-04</t>
        </is>
      </c>
      <c r="C60" s="9" t="inlineStr">
        <is>
          <t>v0.0.2</t>
        </is>
      </c>
      <c r="D60" s="9" t="inlineStr">
        <is>
          <t>S06</t>
        </is>
      </c>
      <c r="E60" s="3" t="inlineStr">
        <is>
          <t>Tauri / apresentação</t>
        </is>
      </c>
      <c r="F60" s="3" t="inlineStr">
        <is>
          <t>Integração</t>
        </is>
      </c>
      <c r="G60" s="3" t="inlineStr">
        <is>
          <t>Implementação</t>
        </is>
      </c>
      <c r="H60" s="3" t="inlineStr">
        <is>
          <t>Montar navegação de fases</t>
        </is>
      </c>
      <c r="I60" s="3" t="inlineStr">
        <is>
          <t>Criar estados Ingest, Mesa, Peça e ajustes sem duplicar dados por tela.</t>
        </is>
      </c>
      <c r="J60" s="3" t="inlineStr">
        <is>
          <t>apps/desktop/src/shell/</t>
        </is>
      </c>
      <c r="K60" s="3" t="inlineStr">
        <is>
          <t>Alternar fase não perde estado nem exige conta ou serviço remoto.</t>
        </is>
      </c>
      <c r="L60" s="3" t="inlineStr">
        <is>
          <t>SL-S06-03</t>
        </is>
      </c>
      <c r="M60" s="3" t="inlineStr">
        <is>
          <t>R01; R03; R07; R08; R31; R34</t>
        </is>
      </c>
      <c r="N60" s="10" t="inlineStr">
        <is>
          <t>Não iniciado</t>
        </is>
      </c>
      <c r="O60" s="3" t="inlineStr">
        <is>
          <t>P0</t>
        </is>
      </c>
      <c r="P60" s="3" t="inlineStr">
        <is>
          <t>Crítico</t>
        </is>
      </c>
      <c r="Q60" s="3" t="inlineStr">
        <is>
          <t>Obrigatória no escopo da versão</t>
        </is>
      </c>
      <c r="R60" s="10" t="inlineStr">
        <is>
          <t>Autor + agente de IA</t>
        </is>
      </c>
      <c r="S60" s="10" t="inlineStr"/>
      <c r="T60" s="11" t="inlineStr"/>
      <c r="U60" s="3" t="inlineStr">
        <is>
          <t>reports/S06/SL-S06-04.md</t>
        </is>
      </c>
      <c r="V60" s="10" t="inlineStr"/>
      <c r="W60" s="10" t="inlineStr"/>
      <c r="X60" s="3">
        <f>IF(N60="Concluído",IF(AND(S60&lt;&gt;"",ISNUMBER(T60),T60&gt;0,V60&lt;&gt;"",AND(OR(X59="OK",X59="DISPENSADO"))),"OK","REVISAR"),IF(N60="Dispensado (ADR)",IF(AND(LEFT(Q60,11)="Condicional",W60&lt;&gt;"",S60&lt;&gt;"",ISNUMBER(T60),T60&gt;0,V60&lt;&gt;""),"DISPENSADO","REVISAR"),"PENDENTE"))</f>
        <v/>
      </c>
      <c r="Y60" s="10" t="inlineStr"/>
    </row>
    <row r="61" ht="112" customHeight="1">
      <c r="A61" s="3" t="n">
        <v>60</v>
      </c>
      <c r="B61" s="3" t="inlineStr">
        <is>
          <t>SL-S06-05</t>
        </is>
      </c>
      <c r="C61" s="9" t="inlineStr">
        <is>
          <t>v0.0.2</t>
        </is>
      </c>
      <c r="D61" s="9" t="inlineStr">
        <is>
          <t>S06</t>
        </is>
      </c>
      <c r="E61" s="3" t="inlineStr">
        <is>
          <t>Tauri / apresentação</t>
        </is>
      </c>
      <c r="F61" s="3" t="inlineStr">
        <is>
          <t>Integração</t>
        </is>
      </c>
      <c r="G61" s="3" t="inlineStr">
        <is>
          <t>Implementação</t>
        </is>
      </c>
      <c r="H61" s="3" t="inlineStr">
        <is>
          <t>Implementar seleção de Vault</t>
        </is>
      </c>
      <c r="I61" s="3" t="inlineStr">
        <is>
          <t>Usar diálogo nativo e raiz dinâmica; adiar leitura ao serviço autorizado.</t>
        </is>
      </c>
      <c r="J61" s="3" t="inlineStr">
        <is>
          <t>crates/app-core/src/vault_selection.rs</t>
        </is>
      </c>
      <c r="K61" s="3" t="inlineStr">
        <is>
          <t>Paths com espaços/Unicode funcionam e nenhuma raiz de usuário está hardcoded.</t>
        </is>
      </c>
      <c r="L61" s="3" t="inlineStr">
        <is>
          <t>SL-S06-04</t>
        </is>
      </c>
      <c r="M61" s="3" t="inlineStr">
        <is>
          <t>R01; R03; R07; R08; R31; R34</t>
        </is>
      </c>
      <c r="N61" s="10" t="inlineStr">
        <is>
          <t>Não iniciado</t>
        </is>
      </c>
      <c r="O61" s="3" t="inlineStr">
        <is>
          <t>P0</t>
        </is>
      </c>
      <c r="P61" s="3" t="inlineStr">
        <is>
          <t>Crítico</t>
        </is>
      </c>
      <c r="Q61" s="3" t="inlineStr">
        <is>
          <t>Obrigatória no escopo da versão</t>
        </is>
      </c>
      <c r="R61" s="10" t="inlineStr">
        <is>
          <t>Autor + agente de IA</t>
        </is>
      </c>
      <c r="S61" s="10" t="inlineStr"/>
      <c r="T61" s="11" t="inlineStr"/>
      <c r="U61" s="3" t="inlineStr">
        <is>
          <t>reports/S06/SL-S06-05.md</t>
        </is>
      </c>
      <c r="V61" s="10" t="inlineStr"/>
      <c r="W61" s="10" t="inlineStr"/>
      <c r="X61" s="3">
        <f>IF(N61="Concluído",IF(AND(S61&lt;&gt;"",ISNUMBER(T61),T61&gt;0,V61&lt;&gt;"",AND(OR(X60="OK",X60="DISPENSADO"))),"OK","REVISAR"),IF(N61="Dispensado (ADR)",IF(AND(LEFT(Q61,11)="Condicional",W61&lt;&gt;"",S61&lt;&gt;"",ISNUMBER(T61),T61&gt;0,V61&lt;&gt;""),"DISPENSADO","REVISAR"),"PENDENTE"))</f>
        <v/>
      </c>
      <c r="Y61" s="10" t="inlineStr"/>
    </row>
    <row r="62" ht="112" customHeight="1">
      <c r="A62" s="3" t="n">
        <v>61</v>
      </c>
      <c r="B62" s="3" t="inlineStr">
        <is>
          <t>SL-S06-06</t>
        </is>
      </c>
      <c r="C62" s="9" t="inlineStr">
        <is>
          <t>v0.0.2</t>
        </is>
      </c>
      <c r="D62" s="9" t="inlineStr">
        <is>
          <t>S06</t>
        </is>
      </c>
      <c r="E62" s="3" t="inlineStr">
        <is>
          <t>Tauri / apresentação</t>
        </is>
      </c>
      <c r="F62" s="3" t="inlineStr">
        <is>
          <t>Integração</t>
        </is>
      </c>
      <c r="G62" s="3" t="inlineStr">
        <is>
          <t>Implementação</t>
        </is>
      </c>
      <c r="H62" s="3" t="inlineStr">
        <is>
          <t>Criar estados de tarefa</t>
        </is>
      </c>
      <c r="I62" s="3" t="inlineStr">
        <is>
          <t>Padronizar vazio, carregando, falhou, bloqueado, offline e concluído.</t>
        </is>
      </c>
      <c r="J62" s="3" t="inlineStr">
        <is>
          <t>apps/desktop/src/components/status/</t>
        </is>
      </c>
      <c r="K62" s="3" t="inlineStr">
        <is>
          <t>Falha recuperável mostra ação útil e não fica em spinner infinito.</t>
        </is>
      </c>
      <c r="L62" s="3" t="inlineStr">
        <is>
          <t>SL-S06-05</t>
        </is>
      </c>
      <c r="M62" s="3" t="inlineStr">
        <is>
          <t>R01; R03; R07; R08; R31; R34</t>
        </is>
      </c>
      <c r="N62" s="10" t="inlineStr">
        <is>
          <t>Não iniciado</t>
        </is>
      </c>
      <c r="O62" s="3" t="inlineStr">
        <is>
          <t>P0</t>
        </is>
      </c>
      <c r="P62" s="3" t="inlineStr">
        <is>
          <t>Crítico</t>
        </is>
      </c>
      <c r="Q62" s="3" t="inlineStr">
        <is>
          <t>Obrigatória no escopo da versão</t>
        </is>
      </c>
      <c r="R62" s="10" t="inlineStr">
        <is>
          <t>Autor + agente de IA</t>
        </is>
      </c>
      <c r="S62" s="10" t="inlineStr"/>
      <c r="T62" s="11" t="inlineStr"/>
      <c r="U62" s="3" t="inlineStr">
        <is>
          <t>reports/S06/SL-S06-06.md</t>
        </is>
      </c>
      <c r="V62" s="10" t="inlineStr"/>
      <c r="W62" s="10" t="inlineStr"/>
      <c r="X62" s="3">
        <f>IF(N62="Concluído",IF(AND(S62&lt;&gt;"",ISNUMBER(T62),T62&gt;0,V62&lt;&gt;"",AND(OR(X61="OK",X61="DISPENSADO"))),"OK","REVISAR"),IF(N62="Dispensado (ADR)",IF(AND(LEFT(Q62,11)="Condicional",W62&lt;&gt;"",S62&lt;&gt;"",ISNUMBER(T62),T62&gt;0,V62&lt;&gt;""),"DISPENSADO","REVISAR"),"PENDENTE"))</f>
        <v/>
      </c>
      <c r="Y62" s="10" t="inlineStr"/>
    </row>
    <row r="63" ht="112" customHeight="1">
      <c r="A63" s="3" t="n">
        <v>62</v>
      </c>
      <c r="B63" s="3" t="inlineStr">
        <is>
          <t>SL-S06-07</t>
        </is>
      </c>
      <c r="C63" s="9" t="inlineStr">
        <is>
          <t>v0.0.2</t>
        </is>
      </c>
      <c r="D63" s="9" t="inlineStr">
        <is>
          <t>S06</t>
        </is>
      </c>
      <c r="E63" s="3" t="inlineStr">
        <is>
          <t>Tauri / apresentação</t>
        </is>
      </c>
      <c r="F63" s="3" t="inlineStr">
        <is>
          <t>Integração</t>
        </is>
      </c>
      <c r="G63" s="3" t="inlineStr">
        <is>
          <t>Implementação</t>
        </is>
      </c>
      <c r="H63" s="3" t="inlineStr">
        <is>
          <t>Preparar acessibilidade básica</t>
        </is>
      </c>
      <c r="I63" s="3" t="inlineStr">
        <is>
          <t>Dar nomes, foco e atalhos às regiões principais.</t>
        </is>
      </c>
      <c r="J63" s="3" t="inlineStr">
        <is>
          <t>apps/desktop/src/accessibility/</t>
        </is>
      </c>
      <c r="K63" s="3" t="inlineStr">
        <is>
          <t>Percurso essencial por teclado funciona sem mouse; foco não desaparece ao trocar de fase.</t>
        </is>
      </c>
      <c r="L63" s="3" t="inlineStr">
        <is>
          <t>SL-S06-06</t>
        </is>
      </c>
      <c r="M63" s="3" t="inlineStr">
        <is>
          <t>R01; R03; R07; R08; R31; R34</t>
        </is>
      </c>
      <c r="N63" s="10" t="inlineStr">
        <is>
          <t>Não iniciado</t>
        </is>
      </c>
      <c r="O63" s="3" t="inlineStr">
        <is>
          <t>P0</t>
        </is>
      </c>
      <c r="P63" s="3" t="inlineStr">
        <is>
          <t>Crítico</t>
        </is>
      </c>
      <c r="Q63" s="3" t="inlineStr">
        <is>
          <t>Obrigatória no escopo da versão</t>
        </is>
      </c>
      <c r="R63" s="10" t="inlineStr">
        <is>
          <t>Autor + agente de IA</t>
        </is>
      </c>
      <c r="S63" s="10" t="inlineStr"/>
      <c r="T63" s="11" t="inlineStr"/>
      <c r="U63" s="3" t="inlineStr">
        <is>
          <t>reports/S06/SL-S06-07.md</t>
        </is>
      </c>
      <c r="V63" s="10" t="inlineStr"/>
      <c r="W63" s="10" t="inlineStr"/>
      <c r="X63" s="3">
        <f>IF(N63="Concluído",IF(AND(S63&lt;&gt;"",ISNUMBER(T63),T63&gt;0,V63&lt;&gt;"",AND(OR(X62="OK",X62="DISPENSADO"))),"OK","REVISAR"),IF(N63="Dispensado (ADR)",IF(AND(LEFT(Q63,11)="Condicional",W63&lt;&gt;"",S63&lt;&gt;"",ISNUMBER(T63),T63&gt;0,V63&lt;&gt;""),"DISPENSADO","REVISAR"),"PENDENTE"))</f>
        <v/>
      </c>
      <c r="Y63" s="10" t="inlineStr"/>
    </row>
    <row r="64" ht="112" customHeight="1">
      <c r="A64" s="3" t="n">
        <v>63</v>
      </c>
      <c r="B64" s="3" t="inlineStr">
        <is>
          <t>SL-S06-08</t>
        </is>
      </c>
      <c r="C64" s="9" t="inlineStr">
        <is>
          <t>v0.0.2</t>
        </is>
      </c>
      <c r="D64" s="9" t="inlineStr">
        <is>
          <t>S06</t>
        </is>
      </c>
      <c r="E64" s="3" t="inlineStr">
        <is>
          <t>Tauri / apresentação</t>
        </is>
      </c>
      <c r="F64" s="3" t="inlineStr">
        <is>
          <t>Integração</t>
        </is>
      </c>
      <c r="G64" s="3" t="inlineStr">
        <is>
          <t>Implementação</t>
        </is>
      </c>
      <c r="H64" s="3" t="inlineStr">
        <is>
          <t>Integrar logs locais saneados</t>
        </is>
      </c>
      <c r="I64" s="3" t="inlineStr">
        <is>
          <t>Emitir IDs e tempos sem incluir texto do Vault por padrão.</t>
        </is>
      </c>
      <c r="J64" s="3" t="inlineStr">
        <is>
          <t>crates/diagnostics/</t>
        </is>
      </c>
      <c r="K64" s="3" t="inlineStr">
        <is>
          <t>Fixture sensível não aparece em log, erro serializado ou console da UI.</t>
        </is>
      </c>
      <c r="L64" s="3" t="inlineStr">
        <is>
          <t>SL-S06-07</t>
        </is>
      </c>
      <c r="M64" s="3" t="inlineStr">
        <is>
          <t>R01; R03; R07; R08; R31; R34</t>
        </is>
      </c>
      <c r="N64" s="10" t="inlineStr">
        <is>
          <t>Não iniciado</t>
        </is>
      </c>
      <c r="O64" s="3" t="inlineStr">
        <is>
          <t>P0</t>
        </is>
      </c>
      <c r="P64" s="3" t="inlineStr">
        <is>
          <t>Crítico</t>
        </is>
      </c>
      <c r="Q64" s="3" t="inlineStr">
        <is>
          <t>Obrigatória no escopo da versão</t>
        </is>
      </c>
      <c r="R64" s="10" t="inlineStr">
        <is>
          <t>Autor + agente de IA</t>
        </is>
      </c>
      <c r="S64" s="10" t="inlineStr"/>
      <c r="T64" s="11" t="inlineStr"/>
      <c r="U64" s="3" t="inlineStr">
        <is>
          <t>reports/S06/SL-S06-08.md</t>
        </is>
      </c>
      <c r="V64" s="10" t="inlineStr"/>
      <c r="W64" s="10" t="inlineStr"/>
      <c r="X64" s="3">
        <f>IF(N64="Concluído",IF(AND(S64&lt;&gt;"",ISNUMBER(T64),T64&gt;0,V64&lt;&gt;"",AND(OR(X63="OK",X63="DISPENSADO"))),"OK","REVISAR"),IF(N64="Dispensado (ADR)",IF(AND(LEFT(Q64,11)="Condicional",W64&lt;&gt;"",S64&lt;&gt;"",ISNUMBER(T64),T64&gt;0,V64&lt;&gt;""),"DISPENSADO","REVISAR"),"PENDENTE"))</f>
        <v/>
      </c>
      <c r="Y64" s="10" t="inlineStr"/>
    </row>
    <row r="65" ht="112" customHeight="1">
      <c r="A65" s="3" t="n">
        <v>64</v>
      </c>
      <c r="B65" s="3" t="inlineStr">
        <is>
          <t>SL-S06-09</t>
        </is>
      </c>
      <c r="C65" s="9" t="inlineStr">
        <is>
          <t>v0.0.2</t>
        </is>
      </c>
      <c r="D65" s="9" t="inlineStr">
        <is>
          <t>S06</t>
        </is>
      </c>
      <c r="E65" s="3" t="inlineStr">
        <is>
          <t>Tauri / apresentação</t>
        </is>
      </c>
      <c r="F65" s="3" t="inlineStr">
        <is>
          <t>Integração</t>
        </is>
      </c>
      <c r="G65" s="3" t="inlineStr">
        <is>
          <t>Teste</t>
        </is>
      </c>
      <c r="H65" s="3" t="inlineStr">
        <is>
          <t>Fazer smoke nos alvos disponíveis</t>
        </is>
      </c>
      <c r="I65" s="3" t="inlineStr">
        <is>
          <t>Abrir/fechar, selecionar pasta e testar IPC em ambientes reais.</t>
        </is>
      </c>
      <c r="J65" s="3" t="inlineStr">
        <is>
          <t>reports/shell-targets/</t>
        </is>
      </c>
      <c r="K65" s="3" t="inlineStr">
        <is>
          <t>Ambiente não disponível é marcado bloqueado, com tarefa de acesso antes da homologação.</t>
        </is>
      </c>
      <c r="L65" s="3" t="inlineStr">
        <is>
          <t>SL-S06-08</t>
        </is>
      </c>
      <c r="M65" s="3" t="inlineStr">
        <is>
          <t>R01; R03; R07; R08; R31; R34</t>
        </is>
      </c>
      <c r="N65" s="10" t="inlineStr">
        <is>
          <t>Não iniciado</t>
        </is>
      </c>
      <c r="O65" s="3" t="inlineStr">
        <is>
          <t>P0</t>
        </is>
      </c>
      <c r="P65" s="3" t="inlineStr">
        <is>
          <t>Crítico</t>
        </is>
      </c>
      <c r="Q65" s="3" t="inlineStr">
        <is>
          <t>Obrigatória no escopo da versão</t>
        </is>
      </c>
      <c r="R65" s="10" t="inlineStr">
        <is>
          <t>Autor + agente de IA</t>
        </is>
      </c>
      <c r="S65" s="10" t="inlineStr"/>
      <c r="T65" s="11" t="inlineStr"/>
      <c r="U65" s="3" t="inlineStr">
        <is>
          <t>reports/S06/SL-S06-09.md</t>
        </is>
      </c>
      <c r="V65" s="10" t="inlineStr"/>
      <c r="W65" s="10" t="inlineStr"/>
      <c r="X65" s="3">
        <f>IF(N65="Concluído",IF(AND(S65&lt;&gt;"",ISNUMBER(T65),T65&gt;0,V65&lt;&gt;"",AND(OR(X64="OK",X64="DISPENSADO"))),"OK","REVISAR"),IF(N65="Dispensado (ADR)",IF(AND(LEFT(Q65,11)="Condicional",W65&lt;&gt;"",S65&lt;&gt;"",ISNUMBER(T65),T65&gt;0,V65&lt;&gt;""),"DISPENSADO","REVISAR"),"PENDENTE"))</f>
        <v/>
      </c>
      <c r="Y65" s="10" t="inlineStr"/>
    </row>
    <row r="66" ht="112" customHeight="1">
      <c r="A66" s="3" t="n">
        <v>65</v>
      </c>
      <c r="B66" s="3" t="inlineStr">
        <is>
          <t>SL-S06-10</t>
        </is>
      </c>
      <c r="C66" s="9" t="inlineStr">
        <is>
          <t>v0.0.2</t>
        </is>
      </c>
      <c r="D66" s="9" t="inlineStr">
        <is>
          <t>S06</t>
        </is>
      </c>
      <c r="E66" s="3" t="inlineStr">
        <is>
          <t>Tauri / apresentação</t>
        </is>
      </c>
      <c r="F66" s="3" t="inlineStr">
        <is>
          <t>Integração</t>
        </is>
      </c>
      <c r="G66" s="3" t="inlineStr">
        <is>
          <t>Teste</t>
        </is>
      </c>
      <c r="H66" s="3" t="inlineStr">
        <is>
          <t>Medir baseline vazio</t>
        </is>
      </c>
      <c r="I66" s="3" t="inlineStr">
        <is>
          <t>Registrar árvore de processos e startup sem funcionalidades opcionais.</t>
        </is>
      </c>
      <c r="J66" s="3" t="inlineStr">
        <is>
          <t>reports/baseline-shell.json</t>
        </is>
      </c>
      <c r="K66" s="3" t="inlineStr">
        <is>
          <t>Baseline reproduzível permite atribuir consumo incremental a motores futuros.</t>
        </is>
      </c>
      <c r="L66" s="3" t="inlineStr">
        <is>
          <t>SL-S06-09</t>
        </is>
      </c>
      <c r="M66" s="3" t="inlineStr">
        <is>
          <t>R01; R03; R07; R08; R31; R34</t>
        </is>
      </c>
      <c r="N66" s="10" t="inlineStr">
        <is>
          <t>Não iniciado</t>
        </is>
      </c>
      <c r="O66" s="3" t="inlineStr">
        <is>
          <t>P0</t>
        </is>
      </c>
      <c r="P66" s="3" t="inlineStr">
        <is>
          <t>Crítico</t>
        </is>
      </c>
      <c r="Q66" s="3" t="inlineStr">
        <is>
          <t>Obrigatória no escopo da versão</t>
        </is>
      </c>
      <c r="R66" s="10" t="inlineStr">
        <is>
          <t>Autor + agente de IA</t>
        </is>
      </c>
      <c r="S66" s="10" t="inlineStr"/>
      <c r="T66" s="11" t="inlineStr"/>
      <c r="U66" s="3" t="inlineStr">
        <is>
          <t>reports/S06/SL-S06-10.md</t>
        </is>
      </c>
      <c r="V66" s="10" t="inlineStr"/>
      <c r="W66" s="10" t="inlineStr"/>
      <c r="X66" s="3">
        <f>IF(N66="Concluído",IF(AND(S66&lt;&gt;"",ISNUMBER(T66),T66&gt;0,V66&lt;&gt;"",AND(OR(X65="OK",X65="DISPENSADO"))),"OK","REVISAR"),IF(N66="Dispensado (ADR)",IF(AND(LEFT(Q66,11)="Condicional",W66&lt;&gt;"",S66&lt;&gt;"",ISNUMBER(T66),T66&gt;0,V66&lt;&gt;""),"DISPENSADO","REVISAR"),"PENDENTE"))</f>
        <v/>
      </c>
      <c r="Y66" s="10" t="inlineStr"/>
    </row>
    <row r="67" ht="98" customHeight="1">
      <c r="A67" s="3" t="n">
        <v>66</v>
      </c>
      <c r="B67" s="12" t="inlineStr">
        <is>
          <t>SL-S06-GATE</t>
        </is>
      </c>
      <c r="C67" s="9" t="inlineStr">
        <is>
          <t>v0.0.2</t>
        </is>
      </c>
      <c r="D67" s="9" t="inlineStr">
        <is>
          <t>S06</t>
        </is>
      </c>
      <c r="E67" s="3" t="inlineStr">
        <is>
          <t>Tauri / apresentação</t>
        </is>
      </c>
      <c r="F67" s="3" t="inlineStr">
        <is>
          <t>Aceite humano</t>
        </is>
      </c>
      <c r="G67" s="12" t="inlineStr">
        <is>
          <t>Gate</t>
        </is>
      </c>
      <c r="H67" s="12" t="inlineStr">
        <is>
          <t>Aceitar S06 — Criar shell desktop e contratos IPC</t>
        </is>
      </c>
      <c r="I67" s="3" t="inlineStr">
        <is>
          <t>Revisar as dez tarefas, executar a demonstração do sprint, confrontar critérios e registrar decisão go/no-go.</t>
        </is>
      </c>
      <c r="J67" s="3" t="inlineStr">
        <is>
          <t>reports/S06/acceptance.md</t>
        </is>
      </c>
      <c r="K67" s="3" t="inlineStr">
        <is>
          <t>Instalar build de desenvolvimento, navegar e selecionar um diretório sem rede. Todas as dependências aceitas; evidências vinculadas a revisão/ambiente; nenhum blocker de integridade/segurança.</t>
        </is>
      </c>
      <c r="L67" s="3" t="inlineStr">
        <is>
          <t>SL-S06-01; SL-S06-02; SL-S06-03; SL-S06-04; SL-S06-05; SL-S06-06; SL-S06-07; SL-S06-08; SL-S06-09; SL-S06-10</t>
        </is>
      </c>
      <c r="M67" s="3" t="inlineStr">
        <is>
          <t>R01; R03; R07; R08; R31; R34</t>
        </is>
      </c>
      <c r="N67" s="10" t="inlineStr">
        <is>
          <t>Não iniciado</t>
        </is>
      </c>
      <c r="O67" s="3" t="inlineStr">
        <is>
          <t>P0</t>
        </is>
      </c>
      <c r="P67" s="3" t="inlineStr">
        <is>
          <t>Crítico</t>
        </is>
      </c>
      <c r="Q67" s="3" t="inlineStr">
        <is>
          <t>Obrigatória para fechar a versão aprovada</t>
        </is>
      </c>
      <c r="R67" s="10" t="inlineStr">
        <is>
          <t>Autor</t>
        </is>
      </c>
      <c r="S67" s="10" t="inlineStr"/>
      <c r="T67" s="11" t="inlineStr"/>
      <c r="U67" s="3" t="inlineStr">
        <is>
          <t>reports/S06/acceptance.md</t>
        </is>
      </c>
      <c r="V67" s="10" t="inlineStr"/>
      <c r="W67" s="10" t="inlineStr"/>
      <c r="X67" s="3">
        <f>IF(N67="Concluído",IF(AND(S67&lt;&gt;"",ISNUMBER(T67),T67&gt;0,V67&lt;&gt;"",AND(OR(X57="OK",X57="DISPENSADO"),OR(X58="OK",X58="DISPENSADO"),OR(X59="OK",X59="DISPENSADO"),OR(X60="OK",X60="DISPENSADO"),OR(X61="OK",X61="DISPENSADO"),OR(X62="OK",X62="DISPENSADO"),OR(X63="OK",X63="DISPENSADO"),OR(X64="OK",X64="DISPENSADO"),OR(X65="OK",X65="DISPENSADO"),OR(X66="OK",X66="DISPENSADO"))),"OK","REVISAR"),IF(N67="Dispensado (ADR)",IF(AND(LEFT(Q67,11)="Condicional",W67&lt;&gt;"",S67&lt;&gt;"",ISNUMBER(T67),T67&gt;0,V67&lt;&gt;""),"DISPENSADO","REVISAR"),"PENDENTE"))</f>
        <v/>
      </c>
      <c r="Y67" s="10" t="inlineStr"/>
    </row>
    <row r="68" ht="112" customHeight="1">
      <c r="A68" s="3" t="n">
        <v>67</v>
      </c>
      <c r="B68" s="3" t="inlineStr">
        <is>
          <t>SL-S07-01</t>
        </is>
      </c>
      <c r="C68" s="9" t="inlineStr">
        <is>
          <t>v0.1.0</t>
        </is>
      </c>
      <c r="D68" s="9" t="inlineStr">
        <is>
          <t>S07</t>
        </is>
      </c>
      <c r="E68" s="3" t="inlineStr">
        <is>
          <t>VaultStore / CAS</t>
        </is>
      </c>
      <c r="F68" s="3" t="inlineStr">
        <is>
          <t>Próprio</t>
        </is>
      </c>
      <c r="G68" s="3" t="inlineStr">
        <is>
          <t>Implementação</t>
        </is>
      </c>
      <c r="H68" s="3" t="inlineStr">
        <is>
          <t>Criar lifecycle do Vault</t>
        </is>
      </c>
      <c r="I68" s="3" t="inlineStr">
        <is>
          <t>Abrir, criar, validar versão e recusar raiz inválida sem modificar seus arquivos.</t>
        </is>
      </c>
      <c r="J68" s="3" t="inlineStr">
        <is>
          <t>crates/vault/src/lifecycle.rs</t>
        </is>
      </c>
      <c r="K68" s="3" t="inlineStr">
        <is>
          <t>Pasta existente incompatível não é sobrescrita; erro aponta a causa.</t>
        </is>
      </c>
      <c r="L68" s="3" t="inlineStr">
        <is>
          <t>SL-S02-GATE; SL-S06-GATE</t>
        </is>
      </c>
      <c r="M68" s="3" t="inlineStr">
        <is>
          <t>R02; R04; R05; R07</t>
        </is>
      </c>
      <c r="N68" s="10" t="inlineStr">
        <is>
          <t>Não iniciado</t>
        </is>
      </c>
      <c r="O68" s="3" t="inlineStr">
        <is>
          <t>P0</t>
        </is>
      </c>
      <c r="P68" s="3" t="inlineStr">
        <is>
          <t>Crítico</t>
        </is>
      </c>
      <c r="Q68" s="3" t="inlineStr">
        <is>
          <t>Obrigatória no escopo da versão</t>
        </is>
      </c>
      <c r="R68" s="10" t="inlineStr">
        <is>
          <t>Autor + agente de IA</t>
        </is>
      </c>
      <c r="S68" s="10" t="inlineStr"/>
      <c r="T68" s="11" t="inlineStr"/>
      <c r="U68" s="3" t="inlineStr">
        <is>
          <t>reports/S07/SL-S07-01.md</t>
        </is>
      </c>
      <c r="V68" s="10" t="inlineStr"/>
      <c r="W68" s="10" t="inlineStr"/>
      <c r="X68" s="3">
        <f>IF(N68="Concluído",IF(AND(S68&lt;&gt;"",ISNUMBER(T68),T68&gt;0,V68&lt;&gt;"",AND(OR(X23="OK",X23="DISPENSADO"),OR(X67="OK",X67="DISPENSADO"))),"OK","REVISAR"),IF(N68="Dispensado (ADR)",IF(AND(LEFT(Q68,11)="Condicional",W68&lt;&gt;"",S68&lt;&gt;"",ISNUMBER(T68),T68&gt;0,V68&lt;&gt;""),"DISPENSADO","REVISAR"),"PENDENTE"))</f>
        <v/>
      </c>
      <c r="Y68" s="10" t="inlineStr"/>
    </row>
    <row r="69" ht="112" customHeight="1">
      <c r="A69" s="3" t="n">
        <v>68</v>
      </c>
      <c r="B69" s="3" t="inlineStr">
        <is>
          <t>SL-S07-02</t>
        </is>
      </c>
      <c r="C69" s="9" t="inlineStr">
        <is>
          <t>v0.1.0</t>
        </is>
      </c>
      <c r="D69" s="9" t="inlineStr">
        <is>
          <t>S07</t>
        </is>
      </c>
      <c r="E69" s="3" t="inlineStr">
        <is>
          <t>VaultStore / CAS</t>
        </is>
      </c>
      <c r="F69" s="3" t="inlineStr">
        <is>
          <t>Próprio</t>
        </is>
      </c>
      <c r="G69" s="3" t="inlineStr">
        <is>
          <t>Implementação</t>
        </is>
      </c>
      <c r="H69" s="3" t="inlineStr">
        <is>
          <t>Implementar identidade</t>
        </is>
      </c>
      <c r="I69" s="3" t="inlineStr">
        <is>
          <t>Gerar IDs, detectar duplicatas e separar ID de localização atual.</t>
        </is>
      </c>
      <c r="J69" s="3" t="inlineStr">
        <is>
          <t>crates/domain/src/identity.rs</t>
        </is>
      </c>
      <c r="K69" s="3" t="inlineStr">
        <is>
          <t>Renomear não muda ID; cópia com ID repetido gera conflito tratável.</t>
        </is>
      </c>
      <c r="L69" s="3" t="inlineStr">
        <is>
          <t>SL-S07-01</t>
        </is>
      </c>
      <c r="M69" s="3" t="inlineStr">
        <is>
          <t>R02; R04; R05; R07</t>
        </is>
      </c>
      <c r="N69" s="10" t="inlineStr">
        <is>
          <t>Não iniciado</t>
        </is>
      </c>
      <c r="O69" s="3" t="inlineStr">
        <is>
          <t>P0</t>
        </is>
      </c>
      <c r="P69" s="3" t="inlineStr">
        <is>
          <t>Crítico</t>
        </is>
      </c>
      <c r="Q69" s="3" t="inlineStr">
        <is>
          <t>Obrigatória no escopo da versão</t>
        </is>
      </c>
      <c r="R69" s="10" t="inlineStr">
        <is>
          <t>Autor + agente de IA</t>
        </is>
      </c>
      <c r="S69" s="10" t="inlineStr"/>
      <c r="T69" s="11" t="inlineStr"/>
      <c r="U69" s="3" t="inlineStr">
        <is>
          <t>reports/S07/SL-S07-02.md</t>
        </is>
      </c>
      <c r="V69" s="10" t="inlineStr"/>
      <c r="W69" s="10" t="inlineStr"/>
      <c r="X69" s="3">
        <f>IF(N69="Concluído",IF(AND(S69&lt;&gt;"",ISNUMBER(T69),T69&gt;0,V69&lt;&gt;"",AND(OR(X68="OK",X68="DISPENSADO"))),"OK","REVISAR"),IF(N69="Dispensado (ADR)",IF(AND(LEFT(Q69,11)="Condicional",W69&lt;&gt;"",S69&lt;&gt;"",ISNUMBER(T69),T69&gt;0,V69&lt;&gt;""),"DISPENSADO","REVISAR"),"PENDENTE"))</f>
        <v/>
      </c>
      <c r="Y69" s="10" t="inlineStr"/>
    </row>
    <row r="70" ht="112" customHeight="1">
      <c r="A70" s="3" t="n">
        <v>69</v>
      </c>
      <c r="B70" s="3" t="inlineStr">
        <is>
          <t>SL-S07-03</t>
        </is>
      </c>
      <c r="C70" s="9" t="inlineStr">
        <is>
          <t>v0.1.0</t>
        </is>
      </c>
      <c r="D70" s="9" t="inlineStr">
        <is>
          <t>S07</t>
        </is>
      </c>
      <c r="E70" s="3" t="inlineStr">
        <is>
          <t>VaultStore / CAS</t>
        </is>
      </c>
      <c r="F70" s="3" t="inlineStr">
        <is>
          <t>Próprio</t>
        </is>
      </c>
      <c r="G70" s="3" t="inlineStr">
        <is>
          <t>Implementação</t>
        </is>
      </c>
      <c r="H70" s="3" t="inlineStr">
        <is>
          <t>Ler/escrever frontmatter</t>
        </is>
      </c>
      <c r="I70" s="3" t="inlineStr">
        <is>
          <t>Preservar campos desconhecidos e tipos permitidos no perfil aprovado.</t>
        </is>
      </c>
      <c r="J70" s="3" t="inlineStr">
        <is>
          <t>crates/vault/src/markdown.rs</t>
        </is>
      </c>
      <c r="K70" s="3" t="inlineStr">
        <is>
          <t>Round-trip de fixtures não apaga extensões nem converte datas/strings inadvertidamente.</t>
        </is>
      </c>
      <c r="L70" s="3" t="inlineStr">
        <is>
          <t>SL-S07-02</t>
        </is>
      </c>
      <c r="M70" s="3" t="inlineStr">
        <is>
          <t>R02; R04; R05; R07</t>
        </is>
      </c>
      <c r="N70" s="10" t="inlineStr">
        <is>
          <t>Não iniciado</t>
        </is>
      </c>
      <c r="O70" s="3" t="inlineStr">
        <is>
          <t>P0</t>
        </is>
      </c>
      <c r="P70" s="3" t="inlineStr">
        <is>
          <t>Crítico</t>
        </is>
      </c>
      <c r="Q70" s="3" t="inlineStr">
        <is>
          <t>Obrigatória no escopo da versão</t>
        </is>
      </c>
      <c r="R70" s="10" t="inlineStr">
        <is>
          <t>Autor + agente de IA</t>
        </is>
      </c>
      <c r="S70" s="10" t="inlineStr"/>
      <c r="T70" s="11" t="inlineStr"/>
      <c r="U70" s="3" t="inlineStr">
        <is>
          <t>reports/S07/SL-S07-03.md</t>
        </is>
      </c>
      <c r="V70" s="10" t="inlineStr"/>
      <c r="W70" s="10" t="inlineStr"/>
      <c r="X70" s="3">
        <f>IF(N70="Concluído",IF(AND(S70&lt;&gt;"",ISNUMBER(T70),T70&gt;0,V70&lt;&gt;"",AND(OR(X69="OK",X69="DISPENSADO"))),"OK","REVISAR"),IF(N70="Dispensado (ADR)",IF(AND(LEFT(Q70,11)="Condicional",W70&lt;&gt;"",S70&lt;&gt;"",ISNUMBER(T70),T70&gt;0,V70&lt;&gt;""),"DISPENSADO","REVISAR"),"PENDENTE"))</f>
        <v/>
      </c>
      <c r="Y70" s="10" t="inlineStr"/>
    </row>
    <row r="71" ht="112" customHeight="1">
      <c r="A71" s="3" t="n">
        <v>70</v>
      </c>
      <c r="B71" s="3" t="inlineStr">
        <is>
          <t>SL-S07-04</t>
        </is>
      </c>
      <c r="C71" s="9" t="inlineStr">
        <is>
          <t>v0.1.0</t>
        </is>
      </c>
      <c r="D71" s="9" t="inlineStr">
        <is>
          <t>S07</t>
        </is>
      </c>
      <c r="E71" s="3" t="inlineStr">
        <is>
          <t>VaultStore / CAS</t>
        </is>
      </c>
      <c r="F71" s="3" t="inlineStr">
        <is>
          <t>Próprio</t>
        </is>
      </c>
      <c r="G71" s="3" t="inlineStr">
        <is>
          <t>Implementação</t>
        </is>
      </c>
      <c r="H71" s="3" t="inlineStr">
        <is>
          <t>Implementar CAS</t>
        </is>
      </c>
      <c r="I71" s="3" t="inlineStr">
        <is>
          <t>Calcular hash por streaming, detectar duplicatas e publicar arquivo completo.</t>
        </is>
      </c>
      <c r="J71" s="3" t="inlineStr">
        <is>
          <t>crates/vault/src/assets.rs</t>
        </is>
      </c>
      <c r="K71" s="3" t="inlineStr">
        <is>
          <t>Dois imports iguais compartilham bytes; interrupção não cria asset final parcial.</t>
        </is>
      </c>
      <c r="L71" s="3" t="inlineStr">
        <is>
          <t>SL-S07-03</t>
        </is>
      </c>
      <c r="M71" s="3" t="inlineStr">
        <is>
          <t>R02; R04; R05; R07</t>
        </is>
      </c>
      <c r="N71" s="10" t="inlineStr">
        <is>
          <t>Não iniciado</t>
        </is>
      </c>
      <c r="O71" s="3" t="inlineStr">
        <is>
          <t>P0</t>
        </is>
      </c>
      <c r="P71" s="3" t="inlineStr">
        <is>
          <t>Crítico</t>
        </is>
      </c>
      <c r="Q71" s="3" t="inlineStr">
        <is>
          <t>Obrigatória no escopo da versão</t>
        </is>
      </c>
      <c r="R71" s="10" t="inlineStr">
        <is>
          <t>Autor + agente de IA</t>
        </is>
      </c>
      <c r="S71" s="10" t="inlineStr"/>
      <c r="T71" s="11" t="inlineStr"/>
      <c r="U71" s="3" t="inlineStr">
        <is>
          <t>reports/S07/SL-S07-04.md</t>
        </is>
      </c>
      <c r="V71" s="10" t="inlineStr"/>
      <c r="W71" s="10" t="inlineStr"/>
      <c r="X71" s="3">
        <f>IF(N71="Concluído",IF(AND(S71&lt;&gt;"",ISNUMBER(T71),T71&gt;0,V71&lt;&gt;"",AND(OR(X70="OK",X70="DISPENSADO"))),"OK","REVISAR"),IF(N71="Dispensado (ADR)",IF(AND(LEFT(Q71,11)="Condicional",W71&lt;&gt;"",S71&lt;&gt;"",ISNUMBER(T71),T71&gt;0,V71&lt;&gt;""),"DISPENSADO","REVISAR"),"PENDENTE"))</f>
        <v/>
      </c>
      <c r="Y71" s="10" t="inlineStr"/>
    </row>
    <row r="72" ht="112" customHeight="1">
      <c r="A72" s="3" t="n">
        <v>71</v>
      </c>
      <c r="B72" s="3" t="inlineStr">
        <is>
          <t>SL-S07-05</t>
        </is>
      </c>
      <c r="C72" s="9" t="inlineStr">
        <is>
          <t>v0.1.0</t>
        </is>
      </c>
      <c r="D72" s="9" t="inlineStr">
        <is>
          <t>S07</t>
        </is>
      </c>
      <c r="E72" s="3" t="inlineStr">
        <is>
          <t>VaultStore / CAS</t>
        </is>
      </c>
      <c r="F72" s="3" t="inlineStr">
        <is>
          <t>Próprio</t>
        </is>
      </c>
      <c r="G72" s="3" t="inlineStr">
        <is>
          <t>Implementação</t>
        </is>
      </c>
      <c r="H72" s="3" t="inlineStr">
        <is>
          <t>Mapear referências de assets</t>
        </is>
      </c>
      <c r="I72" s="3" t="inlineStr">
        <is>
          <t>Referenciar hash/tipo sem caminhos absolutos dependentes da máquina.</t>
        </is>
      </c>
      <c r="J72" s="3" t="inlineStr">
        <is>
          <t>crates/domain/src/asset_ref.rs</t>
        </is>
      </c>
      <c r="K72" s="3" t="inlineStr">
        <is>
          <t>Vault copiado para outra raiz continua resolvendo anexos.</t>
        </is>
      </c>
      <c r="L72" s="3" t="inlineStr">
        <is>
          <t>SL-S07-04</t>
        </is>
      </c>
      <c r="M72" s="3" t="inlineStr">
        <is>
          <t>R02; R04; R05; R07</t>
        </is>
      </c>
      <c r="N72" s="10" t="inlineStr">
        <is>
          <t>Não iniciado</t>
        </is>
      </c>
      <c r="O72" s="3" t="inlineStr">
        <is>
          <t>P0</t>
        </is>
      </c>
      <c r="P72" s="3" t="inlineStr">
        <is>
          <t>Crítico</t>
        </is>
      </c>
      <c r="Q72" s="3" t="inlineStr">
        <is>
          <t>Obrigatória no escopo da versão</t>
        </is>
      </c>
      <c r="R72" s="10" t="inlineStr">
        <is>
          <t>Autor + agente de IA</t>
        </is>
      </c>
      <c r="S72" s="10" t="inlineStr"/>
      <c r="T72" s="11" t="inlineStr"/>
      <c r="U72" s="3" t="inlineStr">
        <is>
          <t>reports/S07/SL-S07-05.md</t>
        </is>
      </c>
      <c r="V72" s="10" t="inlineStr"/>
      <c r="W72" s="10" t="inlineStr"/>
      <c r="X72" s="3">
        <f>IF(N72="Concluído",IF(AND(S72&lt;&gt;"",ISNUMBER(T72),T72&gt;0,V72&lt;&gt;"",AND(OR(X71="OK",X71="DISPENSADO"))),"OK","REVISAR"),IF(N72="Dispensado (ADR)",IF(AND(LEFT(Q72,11)="Condicional",W72&lt;&gt;"",S72&lt;&gt;"",ISNUMBER(T72),T72&gt;0,V72&lt;&gt;""),"DISPENSADO","REVISAR"),"PENDENTE"))</f>
        <v/>
      </c>
      <c r="Y72" s="10" t="inlineStr"/>
    </row>
    <row r="73" ht="112" customHeight="1">
      <c r="A73" s="3" t="n">
        <v>72</v>
      </c>
      <c r="B73" s="3" t="inlineStr">
        <is>
          <t>SL-S07-06</t>
        </is>
      </c>
      <c r="C73" s="9" t="inlineStr">
        <is>
          <t>v0.1.0</t>
        </is>
      </c>
      <c r="D73" s="9" t="inlineStr">
        <is>
          <t>S07</t>
        </is>
      </c>
      <c r="E73" s="3" t="inlineStr">
        <is>
          <t>VaultStore / CAS</t>
        </is>
      </c>
      <c r="F73" s="3" t="inlineStr">
        <is>
          <t>Próprio</t>
        </is>
      </c>
      <c r="G73" s="3" t="inlineStr">
        <is>
          <t>Implementação</t>
        </is>
      </c>
      <c r="H73" s="3" t="inlineStr">
        <is>
          <t>Criar workspace/célula</t>
        </is>
      </c>
      <c r="I73" s="3" t="inlineStr">
        <is>
          <t>Persistir manifest, board vazio e célula Markdown por contratos.</t>
        </is>
      </c>
      <c r="J73" s="3" t="inlineStr">
        <is>
          <t>crates/vault/src/workspaces.rs</t>
        </is>
      </c>
      <c r="K73" s="3" t="inlineStr">
        <is>
          <t>Criação incompleta é detectada e reparável sem gerar workspace invisível perdido.</t>
        </is>
      </c>
      <c r="L73" s="3" t="inlineStr">
        <is>
          <t>SL-S07-05</t>
        </is>
      </c>
      <c r="M73" s="3" t="inlineStr">
        <is>
          <t>R02; R04; R05; R07</t>
        </is>
      </c>
      <c r="N73" s="10" t="inlineStr">
        <is>
          <t>Não iniciado</t>
        </is>
      </c>
      <c r="O73" s="3" t="inlineStr">
        <is>
          <t>P0</t>
        </is>
      </c>
      <c r="P73" s="3" t="inlineStr">
        <is>
          <t>Crítico</t>
        </is>
      </c>
      <c r="Q73" s="3" t="inlineStr">
        <is>
          <t>Obrigatória no escopo da versão</t>
        </is>
      </c>
      <c r="R73" s="10" t="inlineStr">
        <is>
          <t>Autor + agente de IA</t>
        </is>
      </c>
      <c r="S73" s="10" t="inlineStr"/>
      <c r="T73" s="11" t="inlineStr"/>
      <c r="U73" s="3" t="inlineStr">
        <is>
          <t>reports/S07/SL-S07-06.md</t>
        </is>
      </c>
      <c r="V73" s="10" t="inlineStr"/>
      <c r="W73" s="10" t="inlineStr"/>
      <c r="X73" s="3">
        <f>IF(N73="Concluído",IF(AND(S73&lt;&gt;"",ISNUMBER(T73),T73&gt;0,V73&lt;&gt;"",AND(OR(X72="OK",X72="DISPENSADO"))),"OK","REVISAR"),IF(N73="Dispensado (ADR)",IF(AND(LEFT(Q73,11)="Condicional",W73&lt;&gt;"",S73&lt;&gt;"",ISNUMBER(T73),T73&gt;0,V73&lt;&gt;""),"DISPENSADO","REVISAR"),"PENDENTE"))</f>
        <v/>
      </c>
      <c r="Y73" s="10" t="inlineStr"/>
    </row>
    <row r="74" ht="112" customHeight="1">
      <c r="A74" s="3" t="n">
        <v>73</v>
      </c>
      <c r="B74" s="3" t="inlineStr">
        <is>
          <t>SL-S07-07</t>
        </is>
      </c>
      <c r="C74" s="9" t="inlineStr">
        <is>
          <t>v0.1.0</t>
        </is>
      </c>
      <c r="D74" s="9" t="inlineStr">
        <is>
          <t>S07</t>
        </is>
      </c>
      <c r="E74" s="3" t="inlineStr">
        <is>
          <t>VaultStore / CAS</t>
        </is>
      </c>
      <c r="F74" s="3" t="inlineStr">
        <is>
          <t>Próprio</t>
        </is>
      </c>
      <c r="G74" s="3" t="inlineStr">
        <is>
          <t>Implementação</t>
        </is>
      </c>
      <c r="H74" s="3" t="inlineStr">
        <is>
          <t>Implementar inventário por varredura</t>
        </is>
      </c>
      <c r="I74" s="3" t="inlineStr">
        <is>
          <t>Ler arquivos canônicos sem exigir banco existente.</t>
        </is>
      </c>
      <c r="J74" s="3" t="inlineStr">
        <is>
          <t>crates/vault/src/scan.rs</t>
        </is>
      </c>
      <c r="K74" s="3" t="inlineStr">
        <is>
          <t>Inventário inicial retorna os mesmos IDs após remover índices derivados.</t>
        </is>
      </c>
      <c r="L74" s="3" t="inlineStr">
        <is>
          <t>SL-S07-06</t>
        </is>
      </c>
      <c r="M74" s="3" t="inlineStr">
        <is>
          <t>R02; R04; R05; R07</t>
        </is>
      </c>
      <c r="N74" s="10" t="inlineStr">
        <is>
          <t>Não iniciado</t>
        </is>
      </c>
      <c r="O74" s="3" t="inlineStr">
        <is>
          <t>P0</t>
        </is>
      </c>
      <c r="P74" s="3" t="inlineStr">
        <is>
          <t>Crítico</t>
        </is>
      </c>
      <c r="Q74" s="3" t="inlineStr">
        <is>
          <t>Obrigatória no escopo da versão</t>
        </is>
      </c>
      <c r="R74" s="10" t="inlineStr">
        <is>
          <t>Autor + agente de IA</t>
        </is>
      </c>
      <c r="S74" s="10" t="inlineStr"/>
      <c r="T74" s="11" t="inlineStr"/>
      <c r="U74" s="3" t="inlineStr">
        <is>
          <t>reports/S07/SL-S07-07.md</t>
        </is>
      </c>
      <c r="V74" s="10" t="inlineStr"/>
      <c r="W74" s="10" t="inlineStr"/>
      <c r="X74" s="3">
        <f>IF(N74="Concluído",IF(AND(S74&lt;&gt;"",ISNUMBER(T74),T74&gt;0,V74&lt;&gt;"",AND(OR(X73="OK",X73="DISPENSADO"))),"OK","REVISAR"),IF(N74="Dispensado (ADR)",IF(AND(LEFT(Q74,11)="Condicional",W74&lt;&gt;"",S74&lt;&gt;"",ISNUMBER(T74),T74&gt;0,V74&lt;&gt;""),"DISPENSADO","REVISAR"),"PENDENTE"))</f>
        <v/>
      </c>
      <c r="Y74" s="10" t="inlineStr"/>
    </row>
    <row r="75" ht="112" customHeight="1">
      <c r="A75" s="3" t="n">
        <v>74</v>
      </c>
      <c r="B75" s="3" t="inlineStr">
        <is>
          <t>SL-S07-08</t>
        </is>
      </c>
      <c r="C75" s="9" t="inlineStr">
        <is>
          <t>v0.1.0</t>
        </is>
      </c>
      <c r="D75" s="9" t="inlineStr">
        <is>
          <t>S07</t>
        </is>
      </c>
      <c r="E75" s="3" t="inlineStr">
        <is>
          <t>VaultStore / CAS</t>
        </is>
      </c>
      <c r="F75" s="3" t="inlineStr">
        <is>
          <t>Próprio</t>
        </is>
      </c>
      <c r="G75" s="3" t="inlineStr">
        <is>
          <t>Implementação</t>
        </is>
      </c>
      <c r="H75" s="3" t="inlineStr">
        <is>
          <t>Definir descarte e recuperação</t>
        </is>
      </c>
      <c r="I75" s="3" t="inlineStr">
        <is>
          <t>Criar lixeira/tombstones sem destruir imediatamente a fonte de rollback.</t>
        </is>
      </c>
      <c r="J75" s="3" t="inlineStr">
        <is>
          <t>crates/vault/src/deletion.rs</t>
        </is>
      </c>
      <c r="K75" s="3" t="inlineStr">
        <is>
          <t>Excluir uma referência não apaga asset ainda usado por outra célula ou revisão.</t>
        </is>
      </c>
      <c r="L75" s="3" t="inlineStr">
        <is>
          <t>SL-S07-07</t>
        </is>
      </c>
      <c r="M75" s="3" t="inlineStr">
        <is>
          <t>R02; R04; R05; R07</t>
        </is>
      </c>
      <c r="N75" s="10" t="inlineStr">
        <is>
          <t>Não iniciado</t>
        </is>
      </c>
      <c r="O75" s="3" t="inlineStr">
        <is>
          <t>P0</t>
        </is>
      </c>
      <c r="P75" s="3" t="inlineStr">
        <is>
          <t>Crítico</t>
        </is>
      </c>
      <c r="Q75" s="3" t="inlineStr">
        <is>
          <t>Obrigatória no escopo da versão</t>
        </is>
      </c>
      <c r="R75" s="10" t="inlineStr">
        <is>
          <t>Autor + agente de IA</t>
        </is>
      </c>
      <c r="S75" s="10" t="inlineStr"/>
      <c r="T75" s="11" t="inlineStr"/>
      <c r="U75" s="3" t="inlineStr">
        <is>
          <t>reports/S07/SL-S07-08.md</t>
        </is>
      </c>
      <c r="V75" s="10" t="inlineStr"/>
      <c r="W75" s="10" t="inlineStr"/>
      <c r="X75" s="3">
        <f>IF(N75="Concluído",IF(AND(S75&lt;&gt;"",ISNUMBER(T75),T75&gt;0,V75&lt;&gt;"",AND(OR(X74="OK",X74="DISPENSADO"))),"OK","REVISAR"),IF(N75="Dispensado (ADR)",IF(AND(LEFT(Q75,11)="Condicional",W75&lt;&gt;"",S75&lt;&gt;"",ISNUMBER(T75),T75&gt;0,V75&lt;&gt;""),"DISPENSADO","REVISAR"),"PENDENTE"))</f>
        <v/>
      </c>
      <c r="Y75" s="10" t="inlineStr"/>
    </row>
    <row r="76" ht="112" customHeight="1">
      <c r="A76" s="3" t="n">
        <v>75</v>
      </c>
      <c r="B76" s="3" t="inlineStr">
        <is>
          <t>SL-S07-09</t>
        </is>
      </c>
      <c r="C76" s="9" t="inlineStr">
        <is>
          <t>v0.1.0</t>
        </is>
      </c>
      <c r="D76" s="9" t="inlineStr">
        <is>
          <t>S07</t>
        </is>
      </c>
      <c r="E76" s="3" t="inlineStr">
        <is>
          <t>VaultStore / CAS</t>
        </is>
      </c>
      <c r="F76" s="3" t="inlineStr">
        <is>
          <t>Próprio</t>
        </is>
      </c>
      <c r="G76" s="3" t="inlineStr">
        <is>
          <t>Teste</t>
        </is>
      </c>
      <c r="H76" s="3" t="inlineStr">
        <is>
          <t>Testar portabilidade de paths</t>
        </is>
      </c>
      <c r="I76" s="3" t="inlineStr">
        <is>
          <t>Cobrir Unicode, case sensitivity, nomes reservados e diretórios longos.</t>
        </is>
      </c>
      <c r="J76" s="3" t="inlineStr">
        <is>
          <t>tests/vault/path-compat/</t>
        </is>
      </c>
      <c r="K76" s="3" t="inlineStr">
        <is>
          <t>Casos não suportados são recusados com explicação em vez de truncados silenciosamente.</t>
        </is>
      </c>
      <c r="L76" s="3" t="inlineStr">
        <is>
          <t>SL-S07-08</t>
        </is>
      </c>
      <c r="M76" s="3" t="inlineStr">
        <is>
          <t>R02; R04; R05; R07</t>
        </is>
      </c>
      <c r="N76" s="10" t="inlineStr">
        <is>
          <t>Não iniciado</t>
        </is>
      </c>
      <c r="O76" s="3" t="inlineStr">
        <is>
          <t>P0</t>
        </is>
      </c>
      <c r="P76" s="3" t="inlineStr">
        <is>
          <t>Crítico</t>
        </is>
      </c>
      <c r="Q76" s="3" t="inlineStr">
        <is>
          <t>Obrigatória no escopo da versão</t>
        </is>
      </c>
      <c r="R76" s="10" t="inlineStr">
        <is>
          <t>Autor + agente de IA</t>
        </is>
      </c>
      <c r="S76" s="10" t="inlineStr"/>
      <c r="T76" s="11" t="inlineStr"/>
      <c r="U76" s="3" t="inlineStr">
        <is>
          <t>reports/S07/SL-S07-09.md</t>
        </is>
      </c>
      <c r="V76" s="10" t="inlineStr"/>
      <c r="W76" s="10" t="inlineStr"/>
      <c r="X76" s="3">
        <f>IF(N76="Concluído",IF(AND(S76&lt;&gt;"",ISNUMBER(T76),T76&gt;0,V76&lt;&gt;"",AND(OR(X75="OK",X75="DISPENSADO"))),"OK","REVISAR"),IF(N76="Dispensado (ADR)",IF(AND(LEFT(Q76,11)="Condicional",W76&lt;&gt;"",S76&lt;&gt;"",ISNUMBER(T76),T76&gt;0,V76&lt;&gt;""),"DISPENSADO","REVISAR"),"PENDENTE"))</f>
        <v/>
      </c>
      <c r="Y76" s="10" t="inlineStr"/>
    </row>
    <row r="77" ht="112" customHeight="1">
      <c r="A77" s="3" t="n">
        <v>76</v>
      </c>
      <c r="B77" s="3" t="inlineStr">
        <is>
          <t>SL-S07-10</t>
        </is>
      </c>
      <c r="C77" s="9" t="inlineStr">
        <is>
          <t>v0.1.0</t>
        </is>
      </c>
      <c r="D77" s="9" t="inlineStr">
        <is>
          <t>S07</t>
        </is>
      </c>
      <c r="E77" s="3" t="inlineStr">
        <is>
          <t>VaultStore / CAS</t>
        </is>
      </c>
      <c r="F77" s="3" t="inlineStr">
        <is>
          <t>Próprio</t>
        </is>
      </c>
      <c r="G77" s="3" t="inlineStr">
        <is>
          <t>Teste</t>
        </is>
      </c>
      <c r="H77" s="3" t="inlineStr">
        <is>
          <t>Criar ferramenta de inspeção</t>
        </is>
      </c>
      <c r="I77" s="3" t="inlineStr">
        <is>
          <t>Listar invariantes e problemas em modo somente leitura.</t>
        </is>
      </c>
      <c r="J77" s="3" t="inlineStr">
        <is>
          <t>tooling/vault-inspect/</t>
        </is>
      </c>
      <c r="K77" s="3" t="inlineStr">
        <is>
          <t>Ferramenta lê o Vault sem iniciar UI, modelos ou serviços externos.</t>
        </is>
      </c>
      <c r="L77" s="3" t="inlineStr">
        <is>
          <t>SL-S07-09</t>
        </is>
      </c>
      <c r="M77" s="3" t="inlineStr">
        <is>
          <t>R02; R04; R05; R07</t>
        </is>
      </c>
      <c r="N77" s="10" t="inlineStr">
        <is>
          <t>Não iniciado</t>
        </is>
      </c>
      <c r="O77" s="3" t="inlineStr">
        <is>
          <t>P0</t>
        </is>
      </c>
      <c r="P77" s="3" t="inlineStr">
        <is>
          <t>Crítico</t>
        </is>
      </c>
      <c r="Q77" s="3" t="inlineStr">
        <is>
          <t>Obrigatória no escopo da versão</t>
        </is>
      </c>
      <c r="R77" s="10" t="inlineStr">
        <is>
          <t>Autor + agente de IA</t>
        </is>
      </c>
      <c r="S77" s="10" t="inlineStr"/>
      <c r="T77" s="11" t="inlineStr"/>
      <c r="U77" s="3" t="inlineStr">
        <is>
          <t>reports/S07/SL-S07-10.md</t>
        </is>
      </c>
      <c r="V77" s="10" t="inlineStr"/>
      <c r="W77" s="10" t="inlineStr"/>
      <c r="X77" s="3">
        <f>IF(N77="Concluído",IF(AND(S77&lt;&gt;"",ISNUMBER(T77),T77&gt;0,V77&lt;&gt;"",AND(OR(X76="OK",X76="DISPENSADO"))),"OK","REVISAR"),IF(N77="Dispensado (ADR)",IF(AND(LEFT(Q77,11)="Condicional",W77&lt;&gt;"",S77&lt;&gt;"",ISNUMBER(T77),T77&gt;0,V77&lt;&gt;""),"DISPENSADO","REVISAR"),"PENDENTE"))</f>
        <v/>
      </c>
      <c r="Y77" s="10" t="inlineStr"/>
    </row>
    <row r="78" ht="98" customHeight="1">
      <c r="A78" s="3" t="n">
        <v>77</v>
      </c>
      <c r="B78" s="12" t="inlineStr">
        <is>
          <t>SL-S07-GATE</t>
        </is>
      </c>
      <c r="C78" s="9" t="inlineStr">
        <is>
          <t>v0.1.0</t>
        </is>
      </c>
      <c r="D78" s="9" t="inlineStr">
        <is>
          <t>S07</t>
        </is>
      </c>
      <c r="E78" s="3" t="inlineStr">
        <is>
          <t>VaultStore / CAS</t>
        </is>
      </c>
      <c r="F78" s="3" t="inlineStr">
        <is>
          <t>Aceite humano</t>
        </is>
      </c>
      <c r="G78" s="12" t="inlineStr">
        <is>
          <t>Gate</t>
        </is>
      </c>
      <c r="H78" s="12" t="inlineStr">
        <is>
          <t>Aceitar S07 — Implementar Vault, identidade e assets</t>
        </is>
      </c>
      <c r="I78" s="3" t="inlineStr">
        <is>
          <t>Revisar as dez tarefas, executar a demonstração do sprint, confrontar critérios e registrar decisão go/no-go.</t>
        </is>
      </c>
      <c r="J78" s="3" t="inlineStr">
        <is>
          <t>reports/S07/acceptance.md</t>
        </is>
      </c>
      <c r="K78" s="3" t="inlineStr">
        <is>
          <t>Criar Vault, salvar nota/asset, fechar e listar os mesmos IDs ao reabrir. Todas as dependências aceitas; evidências vinculadas a revisão/ambiente; nenhum blocker de integridade/segurança.</t>
        </is>
      </c>
      <c r="L78" s="3" t="inlineStr">
        <is>
          <t>SL-S07-01; SL-S07-02; SL-S07-03; SL-S07-04; SL-S07-05; SL-S07-06; SL-S07-07; SL-S07-08; SL-S07-09; SL-S07-10</t>
        </is>
      </c>
      <c r="M78" s="3" t="inlineStr">
        <is>
          <t>R02; R04; R05; R07</t>
        </is>
      </c>
      <c r="N78" s="10" t="inlineStr">
        <is>
          <t>Não iniciado</t>
        </is>
      </c>
      <c r="O78" s="3" t="inlineStr">
        <is>
          <t>P0</t>
        </is>
      </c>
      <c r="P78" s="3" t="inlineStr">
        <is>
          <t>Crítico</t>
        </is>
      </c>
      <c r="Q78" s="3" t="inlineStr">
        <is>
          <t>Obrigatória para fechar a versão aprovada</t>
        </is>
      </c>
      <c r="R78" s="10" t="inlineStr">
        <is>
          <t>Autor</t>
        </is>
      </c>
      <c r="S78" s="10" t="inlineStr"/>
      <c r="T78" s="11" t="inlineStr"/>
      <c r="U78" s="3" t="inlineStr">
        <is>
          <t>reports/S07/acceptance.md</t>
        </is>
      </c>
      <c r="V78" s="10" t="inlineStr"/>
      <c r="W78" s="10" t="inlineStr"/>
      <c r="X78" s="3">
        <f>IF(N78="Concluído",IF(AND(S78&lt;&gt;"",ISNUMBER(T78),T78&gt;0,V78&lt;&gt;"",AND(OR(X68="OK",X68="DISPENSADO"),OR(X69="OK",X69="DISPENSADO"),OR(X70="OK",X70="DISPENSADO"),OR(X71="OK",X71="DISPENSADO"),OR(X72="OK",X72="DISPENSADO"),OR(X73="OK",X73="DISPENSADO"),OR(X74="OK",X74="DISPENSADO"),OR(X75="OK",X75="DISPENSADO"),OR(X76="OK",X76="DISPENSADO"),OR(X77="OK",X77="DISPENSADO"))),"OK","REVISAR"),IF(N78="Dispensado (ADR)",IF(AND(LEFT(Q78,11)="Condicional",W78&lt;&gt;"",S78&lt;&gt;"",ISNUMBER(T78),T78&gt;0,V78&lt;&gt;""),"DISPENSADO","REVISAR"),"PENDENTE"))</f>
        <v/>
      </c>
      <c r="Y78" s="10" t="inlineStr"/>
    </row>
    <row r="79" ht="112" customHeight="1">
      <c r="A79" s="3" t="n">
        <v>78</v>
      </c>
      <c r="B79" s="3" t="inlineStr">
        <is>
          <t>SL-S08-01</t>
        </is>
      </c>
      <c r="C79" s="9" t="inlineStr">
        <is>
          <t>v0.1.0</t>
        </is>
      </c>
      <c r="D79" s="9" t="inlineStr">
        <is>
          <t>S08</t>
        </is>
      </c>
      <c r="E79" s="3" t="inlineStr">
        <is>
          <t>Journal / RevisionStore</t>
        </is>
      </c>
      <c r="F79" s="3" t="inlineStr">
        <is>
          <t>Próprio</t>
        </is>
      </c>
      <c r="G79" s="3" t="inlineStr">
        <is>
          <t>Contrato</t>
        </is>
      </c>
      <c r="H79" s="3" t="inlineStr">
        <is>
          <t>Especificar máquina de estados de commit</t>
        </is>
      </c>
      <c r="I79" s="3" t="inlineStr">
        <is>
          <t>Definir preparação, confirmação, publicação e replay idempotente.</t>
        </is>
      </c>
      <c r="J79" s="3" t="inlineStr">
        <is>
          <t>docs/contracts/file-commit.md</t>
        </is>
      </c>
      <c r="K79" s="3" t="inlineStr">
        <is>
          <t>Ordem de flush/rename e estado reconhecido após cada falha estão definidos por SO.</t>
        </is>
      </c>
      <c r="L79" s="3" t="inlineStr">
        <is>
          <t>SL-S07-GATE</t>
        </is>
      </c>
      <c r="M79" s="3" t="inlineStr">
        <is>
          <t>R02; R05; R13; R37</t>
        </is>
      </c>
      <c r="N79" s="10" t="inlineStr">
        <is>
          <t>Não iniciado</t>
        </is>
      </c>
      <c r="O79" s="3" t="inlineStr">
        <is>
          <t>P0</t>
        </is>
      </c>
      <c r="P79" s="3" t="inlineStr">
        <is>
          <t>Crítico</t>
        </is>
      </c>
      <c r="Q79" s="3" t="inlineStr">
        <is>
          <t>Obrigatória no escopo da versão</t>
        </is>
      </c>
      <c r="R79" s="10" t="inlineStr">
        <is>
          <t>Autor + agente de IA</t>
        </is>
      </c>
      <c r="S79" s="10" t="inlineStr"/>
      <c r="T79" s="11" t="inlineStr"/>
      <c r="U79" s="3" t="inlineStr">
        <is>
          <t>reports/S08/SL-S08-01.md</t>
        </is>
      </c>
      <c r="V79" s="10" t="inlineStr"/>
      <c r="W79" s="10" t="inlineStr"/>
      <c r="X79" s="3">
        <f>IF(N79="Concluído",IF(AND(S79&lt;&gt;"",ISNUMBER(T79),T79&gt;0,V79&lt;&gt;"",AND(OR(X78="OK",X78="DISPENSADO"))),"OK","REVISAR"),IF(N79="Dispensado (ADR)",IF(AND(LEFT(Q79,11)="Condicional",W79&lt;&gt;"",S79&lt;&gt;"",ISNUMBER(T79),T79&gt;0,V79&lt;&gt;""),"DISPENSADO","REVISAR"),"PENDENTE"))</f>
        <v/>
      </c>
      <c r="Y79" s="10" t="inlineStr"/>
    </row>
    <row r="80" ht="112" customHeight="1">
      <c r="A80" s="3" t="n">
        <v>79</v>
      </c>
      <c r="B80" s="3" t="inlineStr">
        <is>
          <t>SL-S08-02</t>
        </is>
      </c>
      <c r="C80" s="9" t="inlineStr">
        <is>
          <t>v0.1.0</t>
        </is>
      </c>
      <c r="D80" s="9" t="inlineStr">
        <is>
          <t>S08</t>
        </is>
      </c>
      <c r="E80" s="3" t="inlineStr">
        <is>
          <t>Journal / RevisionStore</t>
        </is>
      </c>
      <c r="F80" s="3" t="inlineStr">
        <is>
          <t>Próprio</t>
        </is>
      </c>
      <c r="G80" s="3" t="inlineStr">
        <is>
          <t>Implementação</t>
        </is>
      </c>
      <c r="H80" s="3" t="inlineStr">
        <is>
          <t>Criar escritor único</t>
        </is>
      </c>
      <c r="I80" s="3" t="inlineStr">
        <is>
          <t>Serializar mutações por Vault e validar expected_revision.</t>
        </is>
      </c>
      <c r="J80" s="3" t="inlineStr">
        <is>
          <t>crates/vault/src/writer.rs</t>
        </is>
      </c>
      <c r="K80" s="3" t="inlineStr">
        <is>
          <t>Duas edições concorrentes não substituem uma à outra sem conflito explícito.</t>
        </is>
      </c>
      <c r="L80" s="3" t="inlineStr">
        <is>
          <t>SL-S08-01</t>
        </is>
      </c>
      <c r="M80" s="3" t="inlineStr">
        <is>
          <t>R02; R05; R13; R37</t>
        </is>
      </c>
      <c r="N80" s="10" t="inlineStr">
        <is>
          <t>Não iniciado</t>
        </is>
      </c>
      <c r="O80" s="3" t="inlineStr">
        <is>
          <t>P0</t>
        </is>
      </c>
      <c r="P80" s="3" t="inlineStr">
        <is>
          <t>Crítico</t>
        </is>
      </c>
      <c r="Q80" s="3" t="inlineStr">
        <is>
          <t>Obrigatória no escopo da versão</t>
        </is>
      </c>
      <c r="R80" s="10" t="inlineStr">
        <is>
          <t>Autor + agente de IA</t>
        </is>
      </c>
      <c r="S80" s="10" t="inlineStr"/>
      <c r="T80" s="11" t="inlineStr"/>
      <c r="U80" s="3" t="inlineStr">
        <is>
          <t>reports/S08/SL-S08-02.md</t>
        </is>
      </c>
      <c r="V80" s="10" t="inlineStr"/>
      <c r="W80" s="10" t="inlineStr"/>
      <c r="X80" s="3">
        <f>IF(N80="Concluído",IF(AND(S80&lt;&gt;"",ISNUMBER(T80),T80&gt;0,V80&lt;&gt;"",AND(OR(X79="OK",X79="DISPENSADO"))),"OK","REVISAR"),IF(N80="Dispensado (ADR)",IF(AND(LEFT(Q80,11)="Condicional",W80&lt;&gt;"",S80&lt;&gt;"",ISNUMBER(T80),T80&gt;0,V80&lt;&gt;""),"DISPENSADO","REVISAR"),"PENDENTE"))</f>
        <v/>
      </c>
      <c r="Y80" s="10" t="inlineStr"/>
    </row>
    <row r="81" ht="112" customHeight="1">
      <c r="A81" s="3" t="n">
        <v>80</v>
      </c>
      <c r="B81" s="3" t="inlineStr">
        <is>
          <t>SL-S08-03</t>
        </is>
      </c>
      <c r="C81" s="9" t="inlineStr">
        <is>
          <t>v0.1.0</t>
        </is>
      </c>
      <c r="D81" s="9" t="inlineStr">
        <is>
          <t>S08</t>
        </is>
      </c>
      <c r="E81" s="3" t="inlineStr">
        <is>
          <t>Journal / RevisionStore</t>
        </is>
      </c>
      <c r="F81" s="3" t="inlineStr">
        <is>
          <t>Próprio</t>
        </is>
      </c>
      <c r="G81" s="3" t="inlineStr">
        <is>
          <t>Implementação</t>
        </is>
      </c>
      <c r="H81" s="3" t="inlineStr">
        <is>
          <t>Persistir objetos de revisão</t>
        </is>
      </c>
      <c r="I81" s="3" t="inlineStr">
        <is>
          <t>Armazenar snapshots/deltas necessários antes de anunciar commit.</t>
        </is>
      </c>
      <c r="J81" s="3" t="inlineStr">
        <is>
          <t>crates/history/src/objects.rs</t>
        </is>
      </c>
      <c r="K81" s="3" t="inlineStr">
        <is>
          <t>Toda revisão confirmada possui objetos íntegros para reconstrução.</t>
        </is>
      </c>
      <c r="L81" s="3" t="inlineStr">
        <is>
          <t>SL-S08-02</t>
        </is>
      </c>
      <c r="M81" s="3" t="inlineStr">
        <is>
          <t>R02; R05; R13; R37</t>
        </is>
      </c>
      <c r="N81" s="10" t="inlineStr">
        <is>
          <t>Não iniciado</t>
        </is>
      </c>
      <c r="O81" s="3" t="inlineStr">
        <is>
          <t>P0</t>
        </is>
      </c>
      <c r="P81" s="3" t="inlineStr">
        <is>
          <t>Crítico</t>
        </is>
      </c>
      <c r="Q81" s="3" t="inlineStr">
        <is>
          <t>Obrigatória no escopo da versão</t>
        </is>
      </c>
      <c r="R81" s="10" t="inlineStr">
        <is>
          <t>Autor + agente de IA</t>
        </is>
      </c>
      <c r="S81" s="10" t="inlineStr"/>
      <c r="T81" s="11" t="inlineStr"/>
      <c r="U81" s="3" t="inlineStr">
        <is>
          <t>reports/S08/SL-S08-03.md</t>
        </is>
      </c>
      <c r="V81" s="10" t="inlineStr"/>
      <c r="W81" s="10" t="inlineStr"/>
      <c r="X81" s="3">
        <f>IF(N81="Concluído",IF(AND(S81&lt;&gt;"",ISNUMBER(T81),T81&gt;0,V81&lt;&gt;"",AND(OR(X80="OK",X80="DISPENSADO"))),"OK","REVISAR"),IF(N81="Dispensado (ADR)",IF(AND(LEFT(Q81,11)="Condicional",W81&lt;&gt;"",S81&lt;&gt;"",ISNUMBER(T81),T81&gt;0,V81&lt;&gt;""),"DISPENSADO","REVISAR"),"PENDENTE"))</f>
        <v/>
      </c>
      <c r="Y81" s="10" t="inlineStr"/>
    </row>
    <row r="82" ht="112" customHeight="1">
      <c r="A82" s="3" t="n">
        <v>81</v>
      </c>
      <c r="B82" s="3" t="inlineStr">
        <is>
          <t>SL-S08-04</t>
        </is>
      </c>
      <c r="C82" s="9" t="inlineStr">
        <is>
          <t>v0.1.0</t>
        </is>
      </c>
      <c r="D82" s="9" t="inlineStr">
        <is>
          <t>S08</t>
        </is>
      </c>
      <c r="E82" s="3" t="inlineStr">
        <is>
          <t>Journal / RevisionStore</t>
        </is>
      </c>
      <c r="F82" s="3" t="inlineStr">
        <is>
          <t>Próprio</t>
        </is>
      </c>
      <c r="G82" s="3" t="inlineStr">
        <is>
          <t>Implementação</t>
        </is>
      </c>
      <c r="H82" s="3" t="inlineStr">
        <is>
          <t>Implementar journal</t>
        </is>
      </c>
      <c r="I82" s="3" t="inlineStr">
        <is>
          <t>Registrar eventos, integridade de registros e tratamento de cauda truncada.</t>
        </is>
      </c>
      <c r="J82" s="3" t="inlineStr">
        <is>
          <t>crates/history/src/journal.rs</t>
        </is>
      </c>
      <c r="K82" s="3" t="inlineStr">
        <is>
          <t>Registro parcial não invalida commits anteriores e não é executado como completo.</t>
        </is>
      </c>
      <c r="L82" s="3" t="inlineStr">
        <is>
          <t>SL-S08-03</t>
        </is>
      </c>
      <c r="M82" s="3" t="inlineStr">
        <is>
          <t>R02; R05; R13; R37</t>
        </is>
      </c>
      <c r="N82" s="10" t="inlineStr">
        <is>
          <t>Não iniciado</t>
        </is>
      </c>
      <c r="O82" s="3" t="inlineStr">
        <is>
          <t>P0</t>
        </is>
      </c>
      <c r="P82" s="3" t="inlineStr">
        <is>
          <t>Crítico</t>
        </is>
      </c>
      <c r="Q82" s="3" t="inlineStr">
        <is>
          <t>Obrigatória no escopo da versão</t>
        </is>
      </c>
      <c r="R82" s="10" t="inlineStr">
        <is>
          <t>Autor + agente de IA</t>
        </is>
      </c>
      <c r="S82" s="10" t="inlineStr"/>
      <c r="T82" s="11" t="inlineStr"/>
      <c r="U82" s="3" t="inlineStr">
        <is>
          <t>reports/S08/SL-S08-04.md</t>
        </is>
      </c>
      <c r="V82" s="10" t="inlineStr"/>
      <c r="W82" s="10" t="inlineStr"/>
      <c r="X82" s="3">
        <f>IF(N82="Concluído",IF(AND(S82&lt;&gt;"",ISNUMBER(T82),T82&gt;0,V82&lt;&gt;"",AND(OR(X81="OK",X81="DISPENSADO"))),"OK","REVISAR"),IF(N82="Dispensado (ADR)",IF(AND(LEFT(Q82,11)="Condicional",W82&lt;&gt;"",S82&lt;&gt;"",ISNUMBER(T82),T82&gt;0,V82&lt;&gt;""),"DISPENSADO","REVISAR"),"PENDENTE"))</f>
        <v/>
      </c>
      <c r="Y82" s="10" t="inlineStr"/>
    </row>
    <row r="83" ht="112" customHeight="1">
      <c r="A83" s="3" t="n">
        <v>82</v>
      </c>
      <c r="B83" s="3" t="inlineStr">
        <is>
          <t>SL-S08-05</t>
        </is>
      </c>
      <c r="C83" s="9" t="inlineStr">
        <is>
          <t>v0.1.0</t>
        </is>
      </c>
      <c r="D83" s="9" t="inlineStr">
        <is>
          <t>S08</t>
        </is>
      </c>
      <c r="E83" s="3" t="inlineStr">
        <is>
          <t>Journal / RevisionStore</t>
        </is>
      </c>
      <c r="F83" s="3" t="inlineStr">
        <is>
          <t>Próprio</t>
        </is>
      </c>
      <c r="G83" s="3" t="inlineStr">
        <is>
          <t>Implementação</t>
        </is>
      </c>
      <c r="H83" s="3" t="inlineStr">
        <is>
          <t>Publicar arquivos atômicos</t>
        </is>
      </c>
      <c r="I83" s="3" t="inlineStr">
        <is>
          <t>Usar temporários, flush e troca apropriada; documentar garantias reais de cada SO.</t>
        </is>
      </c>
      <c r="J83" s="3" t="inlineStr">
        <is>
          <t>crates/vault/src/atomic_write.rs</t>
        </is>
      </c>
      <c r="K83" s="3" t="inlineStr">
        <is>
          <t>Leitor observa versão anterior ou nova completa; falhas de disco são propagadas.</t>
        </is>
      </c>
      <c r="L83" s="3" t="inlineStr">
        <is>
          <t>SL-S08-04</t>
        </is>
      </c>
      <c r="M83" s="3" t="inlineStr">
        <is>
          <t>R02; R05; R13; R37</t>
        </is>
      </c>
      <c r="N83" s="10" t="inlineStr">
        <is>
          <t>Não iniciado</t>
        </is>
      </c>
      <c r="O83" s="3" t="inlineStr">
        <is>
          <t>P0</t>
        </is>
      </c>
      <c r="P83" s="3" t="inlineStr">
        <is>
          <t>Crítico</t>
        </is>
      </c>
      <c r="Q83" s="3" t="inlineStr">
        <is>
          <t>Obrigatória no escopo da versão</t>
        </is>
      </c>
      <c r="R83" s="10" t="inlineStr">
        <is>
          <t>Autor + agente de IA</t>
        </is>
      </c>
      <c r="S83" s="10" t="inlineStr"/>
      <c r="T83" s="11" t="inlineStr"/>
      <c r="U83" s="3" t="inlineStr">
        <is>
          <t>reports/S08/SL-S08-05.md</t>
        </is>
      </c>
      <c r="V83" s="10" t="inlineStr"/>
      <c r="W83" s="10" t="inlineStr"/>
      <c r="X83" s="3">
        <f>IF(N83="Concluído",IF(AND(S83&lt;&gt;"",ISNUMBER(T83),T83&gt;0,V83&lt;&gt;"",AND(OR(X82="OK",X82="DISPENSADO"))),"OK","REVISAR"),IF(N83="Dispensado (ADR)",IF(AND(LEFT(Q83,11)="Condicional",W83&lt;&gt;"",S83&lt;&gt;"",ISNUMBER(T83),T83&gt;0,V83&lt;&gt;""),"DISPENSADO","REVISAR"),"PENDENTE"))</f>
        <v/>
      </c>
      <c r="Y83" s="10" t="inlineStr"/>
    </row>
    <row r="84" ht="112" customHeight="1">
      <c r="A84" s="3" t="n">
        <v>83</v>
      </c>
      <c r="B84" s="3" t="inlineStr">
        <is>
          <t>SL-S08-06</t>
        </is>
      </c>
      <c r="C84" s="9" t="inlineStr">
        <is>
          <t>v0.1.0</t>
        </is>
      </c>
      <c r="D84" s="9" t="inlineStr">
        <is>
          <t>S08</t>
        </is>
      </c>
      <c r="E84" s="3" t="inlineStr">
        <is>
          <t>Journal / RevisionStore</t>
        </is>
      </c>
      <c r="F84" s="3" t="inlineStr">
        <is>
          <t>Próprio</t>
        </is>
      </c>
      <c r="G84" s="3" t="inlineStr">
        <is>
          <t>Implementação</t>
        </is>
      </c>
      <c r="H84" s="3" t="inlineStr">
        <is>
          <t>Implementar replay</t>
        </is>
      </c>
      <c r="I84" s="3" t="inlineStr">
        <is>
          <t>Repetir operações confirmadas sem criar cópias ou efeitos extras.</t>
        </is>
      </c>
      <c r="J84" s="3" t="inlineStr">
        <is>
          <t>crates/history/src/replay.rs</t>
        </is>
      </c>
      <c r="K84" s="3" t="inlineStr">
        <is>
          <t>Executar replay duas vezes produz o mesmo estado e contagem de entidades.</t>
        </is>
      </c>
      <c r="L84" s="3" t="inlineStr">
        <is>
          <t>SL-S08-05</t>
        </is>
      </c>
      <c r="M84" s="3" t="inlineStr">
        <is>
          <t>R02; R05; R13; R37</t>
        </is>
      </c>
      <c r="N84" s="10" t="inlineStr">
        <is>
          <t>Não iniciado</t>
        </is>
      </c>
      <c r="O84" s="3" t="inlineStr">
        <is>
          <t>P0</t>
        </is>
      </c>
      <c r="P84" s="3" t="inlineStr">
        <is>
          <t>Crítico</t>
        </is>
      </c>
      <c r="Q84" s="3" t="inlineStr">
        <is>
          <t>Obrigatória no escopo da versão</t>
        </is>
      </c>
      <c r="R84" s="10" t="inlineStr">
        <is>
          <t>Autor + agente de IA</t>
        </is>
      </c>
      <c r="S84" s="10" t="inlineStr"/>
      <c r="T84" s="11" t="inlineStr"/>
      <c r="U84" s="3" t="inlineStr">
        <is>
          <t>reports/S08/SL-S08-06.md</t>
        </is>
      </c>
      <c r="V84" s="10" t="inlineStr"/>
      <c r="W84" s="10" t="inlineStr"/>
      <c r="X84" s="3">
        <f>IF(N84="Concluído",IF(AND(S84&lt;&gt;"",ISNUMBER(T84),T84&gt;0,V84&lt;&gt;"",AND(OR(X83="OK",X83="DISPENSADO"))),"OK","REVISAR"),IF(N84="Dispensado (ADR)",IF(AND(LEFT(Q84,11)="Condicional",W84&lt;&gt;"",S84&lt;&gt;"",ISNUMBER(T84),T84&gt;0,V84&lt;&gt;""),"DISPENSADO","REVISAR"),"PENDENTE"))</f>
        <v/>
      </c>
      <c r="Y84" s="10" t="inlineStr"/>
    </row>
    <row r="85" ht="112" customHeight="1">
      <c r="A85" s="3" t="n">
        <v>84</v>
      </c>
      <c r="B85" s="3" t="inlineStr">
        <is>
          <t>SL-S08-07</t>
        </is>
      </c>
      <c r="C85" s="9" t="inlineStr">
        <is>
          <t>v0.1.0</t>
        </is>
      </c>
      <c r="D85" s="9" t="inlineStr">
        <is>
          <t>S08</t>
        </is>
      </c>
      <c r="E85" s="3" t="inlineStr">
        <is>
          <t>Journal / RevisionStore</t>
        </is>
      </c>
      <c r="F85" s="3" t="inlineStr">
        <is>
          <t>Próprio</t>
        </is>
      </c>
      <c r="G85" s="3" t="inlineStr">
        <is>
          <t>Implementação</t>
        </is>
      </c>
      <c r="H85" s="3" t="inlineStr">
        <is>
          <t>Criar undo semântico</t>
        </is>
      </c>
      <c r="I85" s="3" t="inlineStr">
        <is>
          <t>Reverter edição, tag ou operação de board por nova operação registrada.</t>
        </is>
      </c>
      <c r="J85" s="3" t="inlineStr">
        <is>
          <t>crates/history/src/undo.rs</t>
        </is>
      </c>
      <c r="K85" s="3" t="inlineStr">
        <is>
          <t>Undo preserva proveniência e não apaga a existência do evento original.</t>
        </is>
      </c>
      <c r="L85" s="3" t="inlineStr">
        <is>
          <t>SL-S08-06</t>
        </is>
      </c>
      <c r="M85" s="3" t="inlineStr">
        <is>
          <t>R02; R05; R13; R37</t>
        </is>
      </c>
      <c r="N85" s="10" t="inlineStr">
        <is>
          <t>Não iniciado</t>
        </is>
      </c>
      <c r="O85" s="3" t="inlineStr">
        <is>
          <t>P0</t>
        </is>
      </c>
      <c r="P85" s="3" t="inlineStr">
        <is>
          <t>Crítico</t>
        </is>
      </c>
      <c r="Q85" s="3" t="inlineStr">
        <is>
          <t>Obrigatória no escopo da versão</t>
        </is>
      </c>
      <c r="R85" s="10" t="inlineStr">
        <is>
          <t>Autor + agente de IA</t>
        </is>
      </c>
      <c r="S85" s="10" t="inlineStr"/>
      <c r="T85" s="11" t="inlineStr"/>
      <c r="U85" s="3" t="inlineStr">
        <is>
          <t>reports/S08/SL-S08-07.md</t>
        </is>
      </c>
      <c r="V85" s="10" t="inlineStr"/>
      <c r="W85" s="10" t="inlineStr"/>
      <c r="X85" s="3">
        <f>IF(N85="Concluído",IF(AND(S85&lt;&gt;"",ISNUMBER(T85),T85&gt;0,V85&lt;&gt;"",AND(OR(X84="OK",X84="DISPENSADO"))),"OK","REVISAR"),IF(N85="Dispensado (ADR)",IF(AND(LEFT(Q85,11)="Condicional",W85&lt;&gt;"",S85&lt;&gt;"",ISNUMBER(T85),T85&gt;0,V85&lt;&gt;""),"DISPENSADO","REVISAR"),"PENDENTE"))</f>
        <v/>
      </c>
      <c r="Y85" s="10" t="inlineStr"/>
    </row>
    <row r="86" ht="112" customHeight="1">
      <c r="A86" s="3" t="n">
        <v>85</v>
      </c>
      <c r="B86" s="3" t="inlineStr">
        <is>
          <t>SL-S08-08</t>
        </is>
      </c>
      <c r="C86" s="9" t="inlineStr">
        <is>
          <t>v0.1.0</t>
        </is>
      </c>
      <c r="D86" s="9" t="inlineStr">
        <is>
          <t>S08</t>
        </is>
      </c>
      <c r="E86" s="3" t="inlineStr">
        <is>
          <t>Journal / RevisionStore</t>
        </is>
      </c>
      <c r="F86" s="3" t="inlineStr">
        <is>
          <t>Próprio</t>
        </is>
      </c>
      <c r="G86" s="3" t="inlineStr">
        <is>
          <t>Implementação</t>
        </is>
      </c>
      <c r="H86" s="3" t="inlineStr">
        <is>
          <t>Encadear eventos</t>
        </is>
      </c>
      <c r="I86" s="3" t="inlineStr">
        <is>
          <t>Definir serialização canônica, hashes e verificação do histórico.</t>
        </is>
      </c>
      <c r="J86" s="3" t="inlineStr">
        <is>
          <t>crates/history/src/integrity.rs</t>
        </is>
      </c>
      <c r="K86" s="3" t="inlineStr">
        <is>
          <t>Alteração detectada relativamente ao checkpoint confiável; limite de reescrita total documentado.</t>
        </is>
      </c>
      <c r="L86" s="3" t="inlineStr">
        <is>
          <t>SL-S08-07</t>
        </is>
      </c>
      <c r="M86" s="3" t="inlineStr">
        <is>
          <t>R02; R05; R13; R37</t>
        </is>
      </c>
      <c r="N86" s="10" t="inlineStr">
        <is>
          <t>Não iniciado</t>
        </is>
      </c>
      <c r="O86" s="3" t="inlineStr">
        <is>
          <t>P0</t>
        </is>
      </c>
      <c r="P86" s="3" t="inlineStr">
        <is>
          <t>Crítico</t>
        </is>
      </c>
      <c r="Q86" s="3" t="inlineStr">
        <is>
          <t>Obrigatória no escopo da versão</t>
        </is>
      </c>
      <c r="R86" s="10" t="inlineStr">
        <is>
          <t>Autor + agente de IA</t>
        </is>
      </c>
      <c r="S86" s="10" t="inlineStr"/>
      <c r="T86" s="11" t="inlineStr"/>
      <c r="U86" s="3" t="inlineStr">
        <is>
          <t>reports/S08/SL-S08-08.md</t>
        </is>
      </c>
      <c r="V86" s="10" t="inlineStr"/>
      <c r="W86" s="10" t="inlineStr"/>
      <c r="X86" s="3">
        <f>IF(N86="Concluído",IF(AND(S86&lt;&gt;"",ISNUMBER(T86),T86&gt;0,V86&lt;&gt;"",AND(OR(X85="OK",X85="DISPENSADO"))),"OK","REVISAR"),IF(N86="Dispensado (ADR)",IF(AND(LEFT(Q86,11)="Condicional",W86&lt;&gt;"",S86&lt;&gt;"",ISNUMBER(T86),T86&gt;0,V86&lt;&gt;""),"DISPENSADO","REVISAR"),"PENDENTE"))</f>
        <v/>
      </c>
      <c r="Y86" s="10" t="inlineStr"/>
    </row>
    <row r="87" ht="112" customHeight="1">
      <c r="A87" s="3" t="n">
        <v>86</v>
      </c>
      <c r="B87" s="3" t="inlineStr">
        <is>
          <t>SL-S08-09</t>
        </is>
      </c>
      <c r="C87" s="9" t="inlineStr">
        <is>
          <t>v0.1.0</t>
        </is>
      </c>
      <c r="D87" s="9" t="inlineStr">
        <is>
          <t>S08</t>
        </is>
      </c>
      <c r="E87" s="3" t="inlineStr">
        <is>
          <t>Journal / RevisionStore</t>
        </is>
      </c>
      <c r="F87" s="3" t="inlineStr">
        <is>
          <t>Próprio</t>
        </is>
      </c>
      <c r="G87" s="3" t="inlineStr">
        <is>
          <t>Teste</t>
        </is>
      </c>
      <c r="H87" s="3" t="inlineStr">
        <is>
          <t>Injetar falhas de I/O</t>
        </is>
      </c>
      <c r="I87" s="3" t="inlineStr">
        <is>
          <t>Simular disco cheio, permissão, flush/rename interrompidos e erro de objeto ausente.</t>
        </is>
      </c>
      <c r="J87" s="3" t="inlineStr">
        <is>
          <t>tests/history/fault-injection/</t>
        </is>
      </c>
      <c r="K87" s="3" t="inlineStr">
        <is>
          <t>App não informa salvo para commit não durável nem remove a única cópia válida.</t>
        </is>
      </c>
      <c r="L87" s="3" t="inlineStr">
        <is>
          <t>SL-S08-08</t>
        </is>
      </c>
      <c r="M87" s="3" t="inlineStr">
        <is>
          <t>R02; R05; R13; R37</t>
        </is>
      </c>
      <c r="N87" s="10" t="inlineStr">
        <is>
          <t>Não iniciado</t>
        </is>
      </c>
      <c r="O87" s="3" t="inlineStr">
        <is>
          <t>P0</t>
        </is>
      </c>
      <c r="P87" s="3" t="inlineStr">
        <is>
          <t>Crítico</t>
        </is>
      </c>
      <c r="Q87" s="3" t="inlineStr">
        <is>
          <t>Obrigatória no escopo da versão</t>
        </is>
      </c>
      <c r="R87" s="10" t="inlineStr">
        <is>
          <t>Autor + agente de IA</t>
        </is>
      </c>
      <c r="S87" s="10" t="inlineStr"/>
      <c r="T87" s="11" t="inlineStr"/>
      <c r="U87" s="3" t="inlineStr">
        <is>
          <t>reports/S08/SL-S08-09.md</t>
        </is>
      </c>
      <c r="V87" s="10" t="inlineStr"/>
      <c r="W87" s="10" t="inlineStr"/>
      <c r="X87" s="3">
        <f>IF(N87="Concluído",IF(AND(S87&lt;&gt;"",ISNUMBER(T87),T87&gt;0,V87&lt;&gt;"",AND(OR(X86="OK",X86="DISPENSADO"))),"OK","REVISAR"),IF(N87="Dispensado (ADR)",IF(AND(LEFT(Q87,11)="Condicional",W87&lt;&gt;"",S87&lt;&gt;"",ISNUMBER(T87),T87&gt;0,V87&lt;&gt;""),"DISPENSADO","REVISAR"),"PENDENTE"))</f>
        <v/>
      </c>
      <c r="Y87" s="10" t="inlineStr"/>
    </row>
    <row r="88" ht="112" customHeight="1">
      <c r="A88" s="3" t="n">
        <v>87</v>
      </c>
      <c r="B88" s="3" t="inlineStr">
        <is>
          <t>SL-S08-10</t>
        </is>
      </c>
      <c r="C88" s="9" t="inlineStr">
        <is>
          <t>v0.1.0</t>
        </is>
      </c>
      <c r="D88" s="9" t="inlineStr">
        <is>
          <t>S08</t>
        </is>
      </c>
      <c r="E88" s="3" t="inlineStr">
        <is>
          <t>Journal / RevisionStore</t>
        </is>
      </c>
      <c r="F88" s="3" t="inlineStr">
        <is>
          <t>Próprio</t>
        </is>
      </c>
      <c r="G88" s="3" t="inlineStr">
        <is>
          <t>Teste</t>
        </is>
      </c>
      <c r="H88" s="3" t="inlineStr">
        <is>
          <t>Medir janela de perda</t>
        </is>
      </c>
      <c r="I88" s="3" t="inlineStr">
        <is>
          <t>Instrumentar timestamps de edição/commit e executar encerramentos controlados.</t>
        </is>
      </c>
      <c r="J88" s="3" t="inlineStr">
        <is>
          <t>reports/durability-window.json</t>
        </is>
      </c>
      <c r="K88" s="3" t="inlineStr">
        <is>
          <t>Janela de 500 ms é medida; teste de processo não é apresentado como teste de queda de energia.</t>
        </is>
      </c>
      <c r="L88" s="3" t="inlineStr">
        <is>
          <t>SL-S08-09</t>
        </is>
      </c>
      <c r="M88" s="3" t="inlineStr">
        <is>
          <t>R02; R05; R13; R37</t>
        </is>
      </c>
      <c r="N88" s="10" t="inlineStr">
        <is>
          <t>Não iniciado</t>
        </is>
      </c>
      <c r="O88" s="3" t="inlineStr">
        <is>
          <t>P0</t>
        </is>
      </c>
      <c r="P88" s="3" t="inlineStr">
        <is>
          <t>Crítico</t>
        </is>
      </c>
      <c r="Q88" s="3" t="inlineStr">
        <is>
          <t>Obrigatória no escopo da versão</t>
        </is>
      </c>
      <c r="R88" s="10" t="inlineStr">
        <is>
          <t>Autor + agente de IA</t>
        </is>
      </c>
      <c r="S88" s="10" t="inlineStr"/>
      <c r="T88" s="11" t="inlineStr"/>
      <c r="U88" s="3" t="inlineStr">
        <is>
          <t>reports/S08/SL-S08-10.md</t>
        </is>
      </c>
      <c r="V88" s="10" t="inlineStr"/>
      <c r="W88" s="10" t="inlineStr"/>
      <c r="X88" s="3">
        <f>IF(N88="Concluído",IF(AND(S88&lt;&gt;"",ISNUMBER(T88),T88&gt;0,V88&lt;&gt;"",AND(OR(X87="OK",X87="DISPENSADO"))),"OK","REVISAR"),IF(N88="Dispensado (ADR)",IF(AND(LEFT(Q88,11)="Condicional",W88&lt;&gt;"",S88&lt;&gt;"",ISNUMBER(T88),T88&gt;0,V88&lt;&gt;""),"DISPENSADO","REVISAR"),"PENDENTE"))</f>
        <v/>
      </c>
      <c r="Y88" s="10" t="inlineStr"/>
    </row>
    <row r="89" ht="98" customHeight="1">
      <c r="A89" s="3" t="n">
        <v>88</v>
      </c>
      <c r="B89" s="12" t="inlineStr">
        <is>
          <t>SL-S08-GATE</t>
        </is>
      </c>
      <c r="C89" s="9" t="inlineStr">
        <is>
          <t>v0.1.0</t>
        </is>
      </c>
      <c r="D89" s="9" t="inlineStr">
        <is>
          <t>S08</t>
        </is>
      </c>
      <c r="E89" s="3" t="inlineStr">
        <is>
          <t>Journal / RevisionStore</t>
        </is>
      </c>
      <c r="F89" s="3" t="inlineStr">
        <is>
          <t>Aceite humano</t>
        </is>
      </c>
      <c r="G89" s="12" t="inlineStr">
        <is>
          <t>Gate</t>
        </is>
      </c>
      <c r="H89" s="12" t="inlineStr">
        <is>
          <t>Aceitar S08 — Implementar transações de arquivos e histórico</t>
        </is>
      </c>
      <c r="I89" s="3" t="inlineStr">
        <is>
          <t>Revisar as dez tarefas, executar a demonstração do sprint, confrontar critérios e registrar decisão go/no-go.</t>
        </is>
      </c>
      <c r="J89" s="3" t="inlineStr">
        <is>
          <t>reports/S08/acceptance.md</t>
        </is>
      </c>
      <c r="K89" s="3" t="inlineStr">
        <is>
          <t>Interromper cada etapa de uma edição e recuperar o último estado confirmado. Todas as dependências aceitas; evidências vinculadas a revisão/ambiente; nenhum blocker de integridade/segurança.</t>
        </is>
      </c>
      <c r="L89" s="3" t="inlineStr">
        <is>
          <t>SL-S08-01; SL-S08-02; SL-S08-03; SL-S08-04; SL-S08-05; SL-S08-06; SL-S08-07; SL-S08-08; SL-S08-09; SL-S08-10</t>
        </is>
      </c>
      <c r="M89" s="3" t="inlineStr">
        <is>
          <t>R02; R05; R13; R37</t>
        </is>
      </c>
      <c r="N89" s="10" t="inlineStr">
        <is>
          <t>Não iniciado</t>
        </is>
      </c>
      <c r="O89" s="3" t="inlineStr">
        <is>
          <t>P0</t>
        </is>
      </c>
      <c r="P89" s="3" t="inlineStr">
        <is>
          <t>Crítico</t>
        </is>
      </c>
      <c r="Q89" s="3" t="inlineStr">
        <is>
          <t>Obrigatória para fechar a versão aprovada</t>
        </is>
      </c>
      <c r="R89" s="10" t="inlineStr">
        <is>
          <t>Autor</t>
        </is>
      </c>
      <c r="S89" s="10" t="inlineStr"/>
      <c r="T89" s="11" t="inlineStr"/>
      <c r="U89" s="3" t="inlineStr">
        <is>
          <t>reports/S08/acceptance.md</t>
        </is>
      </c>
      <c r="V89" s="10" t="inlineStr"/>
      <c r="W89" s="10" t="inlineStr"/>
      <c r="X89" s="3">
        <f>IF(N89="Concluído",IF(AND(S89&lt;&gt;"",ISNUMBER(T89),T89&gt;0,V89&lt;&gt;"",AND(OR(X79="OK",X79="DISPENSADO"),OR(X80="OK",X80="DISPENSADO"),OR(X81="OK",X81="DISPENSADO"),OR(X82="OK",X82="DISPENSADO"),OR(X83="OK",X83="DISPENSADO"),OR(X84="OK",X84="DISPENSADO"),OR(X85="OK",X85="DISPENSADO"),OR(X86="OK",X86="DISPENSADO"),OR(X87="OK",X87="DISPENSADO"),OR(X88="OK",X88="DISPENSADO"))),"OK","REVISAR"),IF(N89="Dispensado (ADR)",IF(AND(LEFT(Q89,11)="Condicional",W89&lt;&gt;"",S89&lt;&gt;"",ISNUMBER(T89),T89&gt;0,V89&lt;&gt;""),"DISPENSADO","REVISAR"),"PENDENTE"))</f>
        <v/>
      </c>
      <c r="Y89" s="10" t="inlineStr"/>
    </row>
    <row r="90" ht="112" customHeight="1">
      <c r="A90" s="3" t="n">
        <v>89</v>
      </c>
      <c r="B90" s="3" t="inlineStr">
        <is>
          <t>SL-S09-01</t>
        </is>
      </c>
      <c r="C90" s="9" t="inlineStr">
        <is>
          <t>v0.1.0</t>
        </is>
      </c>
      <c r="D90" s="9" t="inlineStr">
        <is>
          <t>S09</t>
        </is>
      </c>
      <c r="E90" s="3" t="inlineStr">
        <is>
          <t>VaultGuard / ToolBroker</t>
        </is>
      </c>
      <c r="F90" s="3" t="inlineStr">
        <is>
          <t>Próprio</t>
        </is>
      </c>
      <c r="G90" s="3" t="inlineStr">
        <is>
          <t>Contrato</t>
        </is>
      </c>
      <c r="H90" s="3" t="inlineStr">
        <is>
          <t>Definir capabilities de I/O</t>
        </is>
      </c>
      <c r="I90" s="3" t="inlineStr">
        <is>
          <t>Vincular ator, workspace, objetos permitidos, operação, expiração e revisão.</t>
        </is>
      </c>
      <c r="J90" s="3" t="inlineStr">
        <is>
          <t>schemas/io-capability.json</t>
        </is>
      </c>
      <c r="K90" s="3" t="inlineStr">
        <is>
          <t>Capacidade de leitura não autoriza escrita nem acesso a outro workspace.</t>
        </is>
      </c>
      <c r="L90" s="3" t="inlineStr">
        <is>
          <t>SL-S07-GATE; SL-S08-GATE</t>
        </is>
      </c>
      <c r="M90" s="3" t="inlineStr">
        <is>
          <t>R06; R08; R34</t>
        </is>
      </c>
      <c r="N90" s="10" t="inlineStr">
        <is>
          <t>Não iniciado</t>
        </is>
      </c>
      <c r="O90" s="3" t="inlineStr">
        <is>
          <t>P0</t>
        </is>
      </c>
      <c r="P90" s="3" t="inlineStr">
        <is>
          <t>Crítico</t>
        </is>
      </c>
      <c r="Q90" s="3" t="inlineStr">
        <is>
          <t>Obrigatória no escopo da versão</t>
        </is>
      </c>
      <c r="R90" s="10" t="inlineStr">
        <is>
          <t>Autor + agente de IA</t>
        </is>
      </c>
      <c r="S90" s="10" t="inlineStr"/>
      <c r="T90" s="11" t="inlineStr"/>
      <c r="U90" s="3" t="inlineStr">
        <is>
          <t>reports/S09/SL-S09-01.md</t>
        </is>
      </c>
      <c r="V90" s="10" t="inlineStr"/>
      <c r="W90" s="10" t="inlineStr"/>
      <c r="X90" s="3">
        <f>IF(N90="Concluído",IF(AND(S90&lt;&gt;"",ISNUMBER(T90),T90&gt;0,V90&lt;&gt;"",AND(OR(X78="OK",X78="DISPENSADO"),OR(X89="OK",X89="DISPENSADO"))),"OK","REVISAR"),IF(N90="Dispensado (ADR)",IF(AND(LEFT(Q90,11)="Condicional",W90&lt;&gt;"",S90&lt;&gt;"",ISNUMBER(T90),T90&gt;0,V90&lt;&gt;""),"DISPENSADO","REVISAR"),"PENDENTE"))</f>
        <v/>
      </c>
      <c r="Y90" s="10" t="inlineStr"/>
    </row>
    <row r="91" ht="112" customHeight="1">
      <c r="A91" s="3" t="n">
        <v>90</v>
      </c>
      <c r="B91" s="3" t="inlineStr">
        <is>
          <t>SL-S09-02</t>
        </is>
      </c>
      <c r="C91" s="9" t="inlineStr">
        <is>
          <t>v0.1.0</t>
        </is>
      </c>
      <c r="D91" s="9" t="inlineStr">
        <is>
          <t>S09</t>
        </is>
      </c>
      <c r="E91" s="3" t="inlineStr">
        <is>
          <t>VaultGuard / ToolBroker</t>
        </is>
      </c>
      <c r="F91" s="3" t="inlineStr">
        <is>
          <t>Próprio</t>
        </is>
      </c>
      <c r="G91" s="3" t="inlineStr">
        <is>
          <t>Implementação</t>
        </is>
      </c>
      <c r="H91" s="3" t="inlineStr">
        <is>
          <t>Implementar resolução por IDs</t>
        </is>
      </c>
      <c r="I91" s="3" t="inlineStr">
        <is>
          <t>Converter referências em objetos autorizados dentro do Core.</t>
        </is>
      </c>
      <c r="J91" s="3" t="inlineStr">
        <is>
          <t>crates/security/src/object_broker.rs</t>
        </is>
      </c>
      <c r="K91" s="3" t="inlineStr">
        <is>
          <t>Texto vindo do modelo não pode se tornar path arbitrário por concatenação.</t>
        </is>
      </c>
      <c r="L91" s="3" t="inlineStr">
        <is>
          <t>SL-S09-01</t>
        </is>
      </c>
      <c r="M91" s="3" t="inlineStr">
        <is>
          <t>R06; R08; R34</t>
        </is>
      </c>
      <c r="N91" s="10" t="inlineStr">
        <is>
          <t>Não iniciado</t>
        </is>
      </c>
      <c r="O91" s="3" t="inlineStr">
        <is>
          <t>P0</t>
        </is>
      </c>
      <c r="P91" s="3" t="inlineStr">
        <is>
          <t>Crítico</t>
        </is>
      </c>
      <c r="Q91" s="3" t="inlineStr">
        <is>
          <t>Obrigatória no escopo da versão</t>
        </is>
      </c>
      <c r="R91" s="10" t="inlineStr">
        <is>
          <t>Autor + agente de IA</t>
        </is>
      </c>
      <c r="S91" s="10" t="inlineStr"/>
      <c r="T91" s="11" t="inlineStr"/>
      <c r="U91" s="3" t="inlineStr">
        <is>
          <t>reports/S09/SL-S09-02.md</t>
        </is>
      </c>
      <c r="V91" s="10" t="inlineStr"/>
      <c r="W91" s="10" t="inlineStr"/>
      <c r="X91" s="3">
        <f>IF(N91="Concluído",IF(AND(S91&lt;&gt;"",ISNUMBER(T91),T91&gt;0,V91&lt;&gt;"",AND(OR(X90="OK",X90="DISPENSADO"))),"OK","REVISAR"),IF(N91="Dispensado (ADR)",IF(AND(LEFT(Q91,11)="Condicional",W91&lt;&gt;"",S91&lt;&gt;"",ISNUMBER(T91),T91&gt;0,V91&lt;&gt;""),"DISPENSADO","REVISAR"),"PENDENTE"))</f>
        <v/>
      </c>
      <c r="Y91" s="10" t="inlineStr"/>
    </row>
    <row r="92" ht="112" customHeight="1">
      <c r="A92" s="3" t="n">
        <v>91</v>
      </c>
      <c r="B92" s="3" t="inlineStr">
        <is>
          <t>SL-S09-03</t>
        </is>
      </c>
      <c r="C92" s="9" t="inlineStr">
        <is>
          <t>v0.1.0</t>
        </is>
      </c>
      <c r="D92" s="9" t="inlineStr">
        <is>
          <t>S09</t>
        </is>
      </c>
      <c r="E92" s="3" t="inlineStr">
        <is>
          <t>VaultGuard / ToolBroker</t>
        </is>
      </c>
      <c r="F92" s="3" t="inlineStr">
        <is>
          <t>Próprio</t>
        </is>
      </c>
      <c r="G92" s="3" t="inlineStr">
        <is>
          <t>Implementação</t>
        </is>
      </c>
      <c r="H92" s="3" t="inlineStr">
        <is>
          <t>Implementar abertura Linux</t>
        </is>
      </c>
      <c r="I92" s="3" t="inlineStr">
        <is>
          <t>Usar diretório-base/handle e resolução restrita conforme kernel disponível.</t>
        </is>
      </c>
      <c r="J92" s="3" t="inlineStr">
        <is>
          <t>crates/security/src/fs/linux.rs</t>
        </is>
      </c>
      <c r="K92" s="3" t="inlineStr">
        <is>
          <t>Troca de symlink durante acesso não sai do escopo; recurso ausente tem política fail-closed.</t>
        </is>
      </c>
      <c r="L92" s="3" t="inlineStr">
        <is>
          <t>SL-S09-02</t>
        </is>
      </c>
      <c r="M92" s="3" t="inlineStr">
        <is>
          <t>R06; R08; R34</t>
        </is>
      </c>
      <c r="N92" s="10" t="inlineStr">
        <is>
          <t>Não iniciado</t>
        </is>
      </c>
      <c r="O92" s="3" t="inlineStr">
        <is>
          <t>P0</t>
        </is>
      </c>
      <c r="P92" s="3" t="inlineStr">
        <is>
          <t>Crítico</t>
        </is>
      </c>
      <c r="Q92" s="3" t="inlineStr">
        <is>
          <t>Obrigatória no escopo da versão</t>
        </is>
      </c>
      <c r="R92" s="10" t="inlineStr">
        <is>
          <t>Autor + agente de IA</t>
        </is>
      </c>
      <c r="S92" s="10" t="inlineStr"/>
      <c r="T92" s="11" t="inlineStr"/>
      <c r="U92" s="3" t="inlineStr">
        <is>
          <t>reports/S09/SL-S09-03.md</t>
        </is>
      </c>
      <c r="V92" s="10" t="inlineStr"/>
      <c r="W92" s="10" t="inlineStr"/>
      <c r="X92" s="3">
        <f>IF(N92="Concluído",IF(AND(S92&lt;&gt;"",ISNUMBER(T92),T92&gt;0,V92&lt;&gt;"",AND(OR(X91="OK",X91="DISPENSADO"))),"OK","REVISAR"),IF(N92="Dispensado (ADR)",IF(AND(LEFT(Q92,11)="Condicional",W92&lt;&gt;"",S92&lt;&gt;"",ISNUMBER(T92),T92&gt;0,V92&lt;&gt;""),"DISPENSADO","REVISAR"),"PENDENTE"))</f>
        <v/>
      </c>
      <c r="Y92" s="10" t="inlineStr"/>
    </row>
    <row r="93" ht="112" customHeight="1">
      <c r="A93" s="3" t="n">
        <v>92</v>
      </c>
      <c r="B93" s="3" t="inlineStr">
        <is>
          <t>SL-S09-04</t>
        </is>
      </c>
      <c r="C93" s="9" t="inlineStr">
        <is>
          <t>v0.1.0</t>
        </is>
      </c>
      <c r="D93" s="9" t="inlineStr">
        <is>
          <t>S09</t>
        </is>
      </c>
      <c r="E93" s="3" t="inlineStr">
        <is>
          <t>VaultGuard / ToolBroker</t>
        </is>
      </c>
      <c r="F93" s="3" t="inlineStr">
        <is>
          <t>Próprio</t>
        </is>
      </c>
      <c r="G93" s="3" t="inlineStr">
        <is>
          <t>Implementação</t>
        </is>
      </c>
      <c r="H93" s="3" t="inlineStr">
        <is>
          <t>Implementar abertura Windows</t>
        </is>
      </c>
      <c r="I93" s="3" t="inlineStr">
        <is>
          <t>Tratar handles, reparse points, junctions e canonicalização por mecanismo efetivo.</t>
        </is>
      </c>
      <c r="J93" s="3" t="inlineStr">
        <is>
          <t>crates/security/src/fs/windows.rs</t>
        </is>
      </c>
      <c r="K93" s="3" t="inlineStr">
        <is>
          <t>Junction trocada e path especial não contornam a autorização.</t>
        </is>
      </c>
      <c r="L93" s="3" t="inlineStr">
        <is>
          <t>SL-S09-03</t>
        </is>
      </c>
      <c r="M93" s="3" t="inlineStr">
        <is>
          <t>R06; R08; R34</t>
        </is>
      </c>
      <c r="N93" s="10" t="inlineStr">
        <is>
          <t>Não iniciado</t>
        </is>
      </c>
      <c r="O93" s="3" t="inlineStr">
        <is>
          <t>P0</t>
        </is>
      </c>
      <c r="P93" s="3" t="inlineStr">
        <is>
          <t>Crítico</t>
        </is>
      </c>
      <c r="Q93" s="3" t="inlineStr">
        <is>
          <t>Obrigatória no escopo da versão</t>
        </is>
      </c>
      <c r="R93" s="10" t="inlineStr">
        <is>
          <t>Autor + agente de IA</t>
        </is>
      </c>
      <c r="S93" s="10" t="inlineStr"/>
      <c r="T93" s="11" t="inlineStr"/>
      <c r="U93" s="3" t="inlineStr">
        <is>
          <t>reports/S09/SL-S09-04.md</t>
        </is>
      </c>
      <c r="V93" s="10" t="inlineStr"/>
      <c r="W93" s="10" t="inlineStr"/>
      <c r="X93" s="3">
        <f>IF(N93="Concluído",IF(AND(S93&lt;&gt;"",ISNUMBER(T93),T93&gt;0,V93&lt;&gt;"",AND(OR(X92="OK",X92="DISPENSADO"))),"OK","REVISAR"),IF(N93="Dispensado (ADR)",IF(AND(LEFT(Q93,11)="Condicional",W93&lt;&gt;"",S93&lt;&gt;"",ISNUMBER(T93),T93&gt;0,V93&lt;&gt;""),"DISPENSADO","REVISAR"),"PENDENTE"))</f>
        <v/>
      </c>
      <c r="Y93" s="10" t="inlineStr"/>
    </row>
    <row r="94" ht="112" customHeight="1">
      <c r="A94" s="3" t="n">
        <v>93</v>
      </c>
      <c r="B94" s="3" t="inlineStr">
        <is>
          <t>SL-S09-05</t>
        </is>
      </c>
      <c r="C94" s="9" t="inlineStr">
        <is>
          <t>v0.1.0</t>
        </is>
      </c>
      <c r="D94" s="9" t="inlineStr">
        <is>
          <t>S09</t>
        </is>
      </c>
      <c r="E94" s="3" t="inlineStr">
        <is>
          <t>VaultGuard / ToolBroker</t>
        </is>
      </c>
      <c r="F94" s="3" t="inlineStr">
        <is>
          <t>Próprio</t>
        </is>
      </c>
      <c r="G94" s="3" t="inlineStr">
        <is>
          <t>Implementação</t>
        </is>
      </c>
      <c r="H94" s="3" t="inlineStr">
        <is>
          <t>Implementar abertura macOS</t>
        </is>
      </c>
      <c r="I94" s="3" t="inlineStr">
        <is>
          <t>Usar primitivas relativas/handles e política de links consistente com o contrato.</t>
        </is>
      </c>
      <c r="J94" s="3" t="inlineStr">
        <is>
          <t>crates/security/src/fs/macos.rs</t>
        </is>
      </c>
      <c r="K94" s="3" t="inlineStr">
        <is>
          <t>Testes nativos demonstram contenção; não se reutiliza apenas canonicalize seguido de open.</t>
        </is>
      </c>
      <c r="L94" s="3" t="inlineStr">
        <is>
          <t>SL-S09-04</t>
        </is>
      </c>
      <c r="M94" s="3" t="inlineStr">
        <is>
          <t>R06; R08; R34</t>
        </is>
      </c>
      <c r="N94" s="10" t="inlineStr">
        <is>
          <t>Não iniciado</t>
        </is>
      </c>
      <c r="O94" s="3" t="inlineStr">
        <is>
          <t>P0</t>
        </is>
      </c>
      <c r="P94" s="3" t="inlineStr">
        <is>
          <t>Crítico</t>
        </is>
      </c>
      <c r="Q94" s="3" t="inlineStr">
        <is>
          <t>Obrigatória no escopo da versão</t>
        </is>
      </c>
      <c r="R94" s="10" t="inlineStr">
        <is>
          <t>Autor + agente de IA</t>
        </is>
      </c>
      <c r="S94" s="10" t="inlineStr"/>
      <c r="T94" s="11" t="inlineStr"/>
      <c r="U94" s="3" t="inlineStr">
        <is>
          <t>reports/S09/SL-S09-05.md</t>
        </is>
      </c>
      <c r="V94" s="10" t="inlineStr"/>
      <c r="W94" s="10" t="inlineStr"/>
      <c r="X94" s="3">
        <f>IF(N94="Concluído",IF(AND(S94&lt;&gt;"",ISNUMBER(T94),T94&gt;0,V94&lt;&gt;"",AND(OR(X93="OK",X93="DISPENSADO"))),"OK","REVISAR"),IF(N94="Dispensado (ADR)",IF(AND(LEFT(Q94,11)="Condicional",W94&lt;&gt;"",S94&lt;&gt;"",ISNUMBER(T94),T94&gt;0,V94&lt;&gt;""),"DISPENSADO","REVISAR"),"PENDENTE"))</f>
        <v/>
      </c>
      <c r="Y94" s="10" t="inlineStr"/>
    </row>
    <row r="95" ht="112" customHeight="1">
      <c r="A95" s="3" t="n">
        <v>94</v>
      </c>
      <c r="B95" s="3" t="inlineStr">
        <is>
          <t>SL-S09-06</t>
        </is>
      </c>
      <c r="C95" s="9" t="inlineStr">
        <is>
          <t>v0.1.0</t>
        </is>
      </c>
      <c r="D95" s="9" t="inlineStr">
        <is>
          <t>S09</t>
        </is>
      </c>
      <c r="E95" s="3" t="inlineStr">
        <is>
          <t>VaultGuard / ToolBroker</t>
        </is>
      </c>
      <c r="F95" s="3" t="inlineStr">
        <is>
          <t>Próprio</t>
        </is>
      </c>
      <c r="G95" s="3" t="inlineStr">
        <is>
          <t>Implementação</t>
        </is>
      </c>
      <c r="H95" s="3" t="inlineStr">
        <is>
          <t>Limitar leitura e escrita</t>
        </is>
      </c>
      <c r="I95" s="3" t="inlineStr">
        <is>
          <t>Aplicar tamanho, tipo e destino permitido; evitar arquivos especiais inesperados.</t>
        </is>
      </c>
      <c r="J95" s="3" t="inlineStr">
        <is>
          <t>crates/security/src/io_limits.rs</t>
        </is>
      </c>
      <c r="K95" s="3" t="inlineStr">
        <is>
          <t>Arquivo/dispositivo excessivo ou tipo indevido é rejeitado antes de consumo sem limite.</t>
        </is>
      </c>
      <c r="L95" s="3" t="inlineStr">
        <is>
          <t>SL-S09-05</t>
        </is>
      </c>
      <c r="M95" s="3" t="inlineStr">
        <is>
          <t>R06; R08; R34</t>
        </is>
      </c>
      <c r="N95" s="10" t="inlineStr">
        <is>
          <t>Não iniciado</t>
        </is>
      </c>
      <c r="O95" s="3" t="inlineStr">
        <is>
          <t>P0</t>
        </is>
      </c>
      <c r="P95" s="3" t="inlineStr">
        <is>
          <t>Crítico</t>
        </is>
      </c>
      <c r="Q95" s="3" t="inlineStr">
        <is>
          <t>Obrigatória no escopo da versão</t>
        </is>
      </c>
      <c r="R95" s="10" t="inlineStr">
        <is>
          <t>Autor + agente de IA</t>
        </is>
      </c>
      <c r="S95" s="10" t="inlineStr"/>
      <c r="T95" s="11" t="inlineStr"/>
      <c r="U95" s="3" t="inlineStr">
        <is>
          <t>reports/S09/SL-S09-06.md</t>
        </is>
      </c>
      <c r="V95" s="10" t="inlineStr"/>
      <c r="W95" s="10" t="inlineStr"/>
      <c r="X95" s="3">
        <f>IF(N95="Concluído",IF(AND(S95&lt;&gt;"",ISNUMBER(T95),T95&gt;0,V95&lt;&gt;"",AND(OR(X94="OK",X94="DISPENSADO"))),"OK","REVISAR"),IF(N95="Dispensado (ADR)",IF(AND(LEFT(Q95,11)="Condicional",W95&lt;&gt;"",S95&lt;&gt;"",ISNUMBER(T95),T95&gt;0,V95&lt;&gt;""),"DISPENSADO","REVISAR"),"PENDENTE"))</f>
        <v/>
      </c>
      <c r="Y95" s="10" t="inlineStr"/>
    </row>
    <row r="96" ht="112" customHeight="1">
      <c r="A96" s="3" t="n">
        <v>95</v>
      </c>
      <c r="B96" s="3" t="inlineStr">
        <is>
          <t>SL-S09-07</t>
        </is>
      </c>
      <c r="C96" s="9" t="inlineStr">
        <is>
          <t>v0.1.0</t>
        </is>
      </c>
      <c r="D96" s="9" t="inlineStr">
        <is>
          <t>S09</t>
        </is>
      </c>
      <c r="E96" s="3" t="inlineStr">
        <is>
          <t>VaultGuard / ToolBroker</t>
        </is>
      </c>
      <c r="F96" s="3" t="inlineStr">
        <is>
          <t>Próprio</t>
        </is>
      </c>
      <c r="G96" s="3" t="inlineStr">
        <is>
          <t>Implementação</t>
        </is>
      </c>
      <c r="H96" s="3" t="inlineStr">
        <is>
          <t>Autorizar fontes compartilhadas</t>
        </is>
      </c>
      <c r="I96" s="3" t="inlineStr">
        <is>
          <t>Separar assets/origens read-only de conteúdo privado de workspaces.</t>
        </is>
      </c>
      <c r="J96" s="3" t="inlineStr">
        <is>
          <t>crates/security/src/source_scope.rs</t>
        </is>
      </c>
      <c r="K96" s="3" t="inlineStr">
        <is>
          <t>Fonte aprovada pode ser lida sem conceder o diretório global inteiro.</t>
        </is>
      </c>
      <c r="L96" s="3" t="inlineStr">
        <is>
          <t>SL-S09-06</t>
        </is>
      </c>
      <c r="M96" s="3" t="inlineStr">
        <is>
          <t>R06; R08; R34</t>
        </is>
      </c>
      <c r="N96" s="10" t="inlineStr">
        <is>
          <t>Não iniciado</t>
        </is>
      </c>
      <c r="O96" s="3" t="inlineStr">
        <is>
          <t>P0</t>
        </is>
      </c>
      <c r="P96" s="3" t="inlineStr">
        <is>
          <t>Crítico</t>
        </is>
      </c>
      <c r="Q96" s="3" t="inlineStr">
        <is>
          <t>Obrigatória no escopo da versão</t>
        </is>
      </c>
      <c r="R96" s="10" t="inlineStr">
        <is>
          <t>Autor + agente de IA</t>
        </is>
      </c>
      <c r="S96" s="10" t="inlineStr"/>
      <c r="T96" s="11" t="inlineStr"/>
      <c r="U96" s="3" t="inlineStr">
        <is>
          <t>reports/S09/SL-S09-07.md</t>
        </is>
      </c>
      <c r="V96" s="10" t="inlineStr"/>
      <c r="W96" s="10" t="inlineStr"/>
      <c r="X96" s="3">
        <f>IF(N96="Concluído",IF(AND(S96&lt;&gt;"",ISNUMBER(T96),T96&gt;0,V96&lt;&gt;"",AND(OR(X95="OK",X95="DISPENSADO"))),"OK","REVISAR"),IF(N96="Dispensado (ADR)",IF(AND(LEFT(Q96,11)="Condicional",W96&lt;&gt;"",S96&lt;&gt;"",ISNUMBER(T96),T96&gt;0,V96&lt;&gt;""),"DISPENSADO","REVISAR"),"PENDENTE"))</f>
        <v/>
      </c>
      <c r="Y96" s="10" t="inlineStr"/>
    </row>
    <row r="97" ht="112" customHeight="1">
      <c r="A97" s="3" t="n">
        <v>96</v>
      </c>
      <c r="B97" s="3" t="inlineStr">
        <is>
          <t>SL-S09-08</t>
        </is>
      </c>
      <c r="C97" s="9" t="inlineStr">
        <is>
          <t>v0.1.0</t>
        </is>
      </c>
      <c r="D97" s="9" t="inlineStr">
        <is>
          <t>S09</t>
        </is>
      </c>
      <c r="E97" s="3" t="inlineStr">
        <is>
          <t>VaultGuard / ToolBroker</t>
        </is>
      </c>
      <c r="F97" s="3" t="inlineStr">
        <is>
          <t>Próprio</t>
        </is>
      </c>
      <c r="G97" s="3" t="inlineStr">
        <is>
          <t>Teste</t>
        </is>
      </c>
      <c r="H97" s="3" t="inlineStr">
        <is>
          <t>Criar corridas controladas</t>
        </is>
      </c>
      <c r="I97" s="3" t="inlineStr">
        <is>
          <t>Trocar symlinks/diretórios em loop de teste durante leituras.</t>
        </is>
      </c>
      <c r="J97" s="3" t="inlineStr">
        <is>
          <t>tests/security/toctou/</t>
        </is>
      </c>
      <c r="K97" s="3" t="inlineStr">
        <is>
          <t>Harness registra nenhuma leitura de sentinela externa; falhas não são ignoradas.</t>
        </is>
      </c>
      <c r="L97" s="3" t="inlineStr">
        <is>
          <t>SL-S09-07</t>
        </is>
      </c>
      <c r="M97" s="3" t="inlineStr">
        <is>
          <t>R06; R08; R34</t>
        </is>
      </c>
      <c r="N97" s="10" t="inlineStr">
        <is>
          <t>Não iniciado</t>
        </is>
      </c>
      <c r="O97" s="3" t="inlineStr">
        <is>
          <t>P0</t>
        </is>
      </c>
      <c r="P97" s="3" t="inlineStr">
        <is>
          <t>Crítico</t>
        </is>
      </c>
      <c r="Q97" s="3" t="inlineStr">
        <is>
          <t>Obrigatória no escopo da versão</t>
        </is>
      </c>
      <c r="R97" s="10" t="inlineStr">
        <is>
          <t>Autor + agente de IA</t>
        </is>
      </c>
      <c r="S97" s="10" t="inlineStr"/>
      <c r="T97" s="11" t="inlineStr"/>
      <c r="U97" s="3" t="inlineStr">
        <is>
          <t>reports/S09/SL-S09-08.md</t>
        </is>
      </c>
      <c r="V97" s="10" t="inlineStr"/>
      <c r="W97" s="10" t="inlineStr"/>
      <c r="X97" s="3">
        <f>IF(N97="Concluído",IF(AND(S97&lt;&gt;"",ISNUMBER(T97),T97&gt;0,V97&lt;&gt;"",AND(OR(X96="OK",X96="DISPENSADO"))),"OK","REVISAR"),IF(N97="Dispensado (ADR)",IF(AND(LEFT(Q97,11)="Condicional",W97&lt;&gt;"",S97&lt;&gt;"",ISNUMBER(T97),T97&gt;0,V97&lt;&gt;""),"DISPENSADO","REVISAR"),"PENDENTE"))</f>
        <v/>
      </c>
      <c r="Y97" s="10" t="inlineStr"/>
    </row>
    <row r="98" ht="112" customHeight="1">
      <c r="A98" s="3" t="n">
        <v>97</v>
      </c>
      <c r="B98" s="3" t="inlineStr">
        <is>
          <t>SL-S09-09</t>
        </is>
      </c>
      <c r="C98" s="9" t="inlineStr">
        <is>
          <t>v0.1.0</t>
        </is>
      </c>
      <c r="D98" s="9" t="inlineStr">
        <is>
          <t>S09</t>
        </is>
      </c>
      <c r="E98" s="3" t="inlineStr">
        <is>
          <t>VaultGuard / ToolBroker</t>
        </is>
      </c>
      <c r="F98" s="3" t="inlineStr">
        <is>
          <t>Próprio</t>
        </is>
      </c>
      <c r="G98" s="3" t="inlineStr">
        <is>
          <t>Teste</t>
        </is>
      </c>
      <c r="H98" s="3" t="inlineStr">
        <is>
          <t>Cobrir nomes hostis e hard links</t>
        </is>
      </c>
      <c r="I98" s="3" t="inlineStr">
        <is>
          <t>Definir política explícita e testar absolutos, UNC, traversal e links.</t>
        </is>
      </c>
      <c r="J98" s="3" t="inlineStr">
        <is>
          <t>tests/security/path-policy/</t>
        </is>
      </c>
      <c r="K98" s="3" t="inlineStr">
        <is>
          <t>Política é aplicada e limitações de hard links/mounts constam do relatório.</t>
        </is>
      </c>
      <c r="L98" s="3" t="inlineStr">
        <is>
          <t>SL-S09-08</t>
        </is>
      </c>
      <c r="M98" s="3" t="inlineStr">
        <is>
          <t>R06; R08; R34</t>
        </is>
      </c>
      <c r="N98" s="10" t="inlineStr">
        <is>
          <t>Não iniciado</t>
        </is>
      </c>
      <c r="O98" s="3" t="inlineStr">
        <is>
          <t>P0</t>
        </is>
      </c>
      <c r="P98" s="3" t="inlineStr">
        <is>
          <t>Crítico</t>
        </is>
      </c>
      <c r="Q98" s="3" t="inlineStr">
        <is>
          <t>Obrigatória no escopo da versão</t>
        </is>
      </c>
      <c r="R98" s="10" t="inlineStr">
        <is>
          <t>Autor + agente de IA</t>
        </is>
      </c>
      <c r="S98" s="10" t="inlineStr"/>
      <c r="T98" s="11" t="inlineStr"/>
      <c r="U98" s="3" t="inlineStr">
        <is>
          <t>reports/S09/SL-S09-09.md</t>
        </is>
      </c>
      <c r="V98" s="10" t="inlineStr"/>
      <c r="W98" s="10" t="inlineStr"/>
      <c r="X98" s="3">
        <f>IF(N98="Concluído",IF(AND(S98&lt;&gt;"",ISNUMBER(T98),T98&gt;0,V98&lt;&gt;"",AND(OR(X97="OK",X97="DISPENSADO"))),"OK","REVISAR"),IF(N98="Dispensado (ADR)",IF(AND(LEFT(Q98,11)="Condicional",W98&lt;&gt;"",S98&lt;&gt;"",ISNUMBER(T98),T98&gt;0,V98&lt;&gt;""),"DISPENSADO","REVISAR"),"PENDENTE"))</f>
        <v/>
      </c>
      <c r="Y98" s="10" t="inlineStr"/>
    </row>
    <row r="99" ht="112" customHeight="1">
      <c r="A99" s="3" t="n">
        <v>98</v>
      </c>
      <c r="B99" s="3" t="inlineStr">
        <is>
          <t>SL-S09-10</t>
        </is>
      </c>
      <c r="C99" s="9" t="inlineStr">
        <is>
          <t>v0.1.0</t>
        </is>
      </c>
      <c r="D99" s="9" t="inlineStr">
        <is>
          <t>S09</t>
        </is>
      </c>
      <c r="E99" s="3" t="inlineStr">
        <is>
          <t>VaultGuard / ToolBroker</t>
        </is>
      </c>
      <c r="F99" s="3" t="inlineStr">
        <is>
          <t>Próprio</t>
        </is>
      </c>
      <c r="G99" s="3" t="inlineStr">
        <is>
          <t>Teste</t>
        </is>
      </c>
      <c r="H99" s="3" t="inlineStr">
        <is>
          <t>Auditar APIs de filesystem</t>
        </is>
      </c>
      <c r="I99" s="3" t="inlineStr">
        <is>
          <t>Procurar acessos diretos fora dos módulos autorizados e criar regra de revisão.</t>
        </is>
      </c>
      <c r="J99" s="3" t="inlineStr">
        <is>
          <t>reports/security/fs-authority.md</t>
        </is>
      </c>
      <c r="K99" s="3" t="inlineStr">
        <is>
          <t>Fluxos de aplicação não têm bypass conhecido do broker para operações com dados não confiáveis.</t>
        </is>
      </c>
      <c r="L99" s="3" t="inlineStr">
        <is>
          <t>SL-S09-09</t>
        </is>
      </c>
      <c r="M99" s="3" t="inlineStr">
        <is>
          <t>R06; R08; R34</t>
        </is>
      </c>
      <c r="N99" s="10" t="inlineStr">
        <is>
          <t>Não iniciado</t>
        </is>
      </c>
      <c r="O99" s="3" t="inlineStr">
        <is>
          <t>P0</t>
        </is>
      </c>
      <c r="P99" s="3" t="inlineStr">
        <is>
          <t>Crítico</t>
        </is>
      </c>
      <c r="Q99" s="3" t="inlineStr">
        <is>
          <t>Obrigatória no escopo da versão</t>
        </is>
      </c>
      <c r="R99" s="10" t="inlineStr">
        <is>
          <t>Autor + agente de IA</t>
        </is>
      </c>
      <c r="S99" s="10" t="inlineStr"/>
      <c r="T99" s="11" t="inlineStr"/>
      <c r="U99" s="3" t="inlineStr">
        <is>
          <t>reports/S09/SL-S09-10.md</t>
        </is>
      </c>
      <c r="V99" s="10" t="inlineStr"/>
      <c r="W99" s="10" t="inlineStr"/>
      <c r="X99" s="3">
        <f>IF(N99="Concluído",IF(AND(S99&lt;&gt;"",ISNUMBER(T99),T99&gt;0,V99&lt;&gt;"",AND(OR(X98="OK",X98="DISPENSADO"))),"OK","REVISAR"),IF(N99="Dispensado (ADR)",IF(AND(LEFT(Q99,11)="Condicional",W99&lt;&gt;"",S99&lt;&gt;"",ISNUMBER(T99),T99&gt;0,V99&lt;&gt;""),"DISPENSADO","REVISAR"),"PENDENTE"))</f>
        <v/>
      </c>
      <c r="Y99" s="10" t="inlineStr"/>
    </row>
    <row r="100" ht="98" customHeight="1">
      <c r="A100" s="3" t="n">
        <v>99</v>
      </c>
      <c r="B100" s="12" t="inlineStr">
        <is>
          <t>SL-S09-GATE</t>
        </is>
      </c>
      <c r="C100" s="9" t="inlineStr">
        <is>
          <t>v0.1.0</t>
        </is>
      </c>
      <c r="D100" s="9" t="inlineStr">
        <is>
          <t>S09</t>
        </is>
      </c>
      <c r="E100" s="3" t="inlineStr">
        <is>
          <t>VaultGuard / ToolBroker</t>
        </is>
      </c>
      <c r="F100" s="3" t="inlineStr">
        <is>
          <t>Aceite humano</t>
        </is>
      </c>
      <c r="G100" s="12" t="inlineStr">
        <is>
          <t>Gate</t>
        </is>
      </c>
      <c r="H100" s="12" t="inlineStr">
        <is>
          <t>Aceitar S09 — Implementar broker de arquivos e defesa TOCTOU</t>
        </is>
      </c>
      <c r="I100" s="3" t="inlineStr">
        <is>
          <t>Revisar as dez tarefas, executar a demonstração do sprint, confrontar critérios e registrar decisão go/no-go.</t>
        </is>
      </c>
      <c r="J100" s="3" t="inlineStr">
        <is>
          <t>reports/S09/acceptance.md</t>
        </is>
      </c>
      <c r="K100" s="3" t="inlineStr">
        <is>
          <t>Solicitar um arquivo permitido e negar escapes durante resolução e concorrência. Todas as dependências aceitas; evidências vinculadas a revisão/ambiente; nenhum blocker de integridade/segurança.</t>
        </is>
      </c>
      <c r="L100" s="3" t="inlineStr">
        <is>
          <t>SL-S09-01; SL-S09-02; SL-S09-03; SL-S09-04; SL-S09-05; SL-S09-06; SL-S09-07; SL-S09-08; SL-S09-09; SL-S09-10</t>
        </is>
      </c>
      <c r="M100" s="3" t="inlineStr">
        <is>
          <t>R06; R08; R34</t>
        </is>
      </c>
      <c r="N100" s="10" t="inlineStr">
        <is>
          <t>Não iniciado</t>
        </is>
      </c>
      <c r="O100" s="3" t="inlineStr">
        <is>
          <t>P0</t>
        </is>
      </c>
      <c r="P100" s="3" t="inlineStr">
        <is>
          <t>Crítico</t>
        </is>
      </c>
      <c r="Q100" s="3" t="inlineStr">
        <is>
          <t>Obrigatória para fechar a versão aprovada</t>
        </is>
      </c>
      <c r="R100" s="10" t="inlineStr">
        <is>
          <t>Autor</t>
        </is>
      </c>
      <c r="S100" s="10" t="inlineStr"/>
      <c r="T100" s="11" t="inlineStr"/>
      <c r="U100" s="3" t="inlineStr">
        <is>
          <t>reports/S09/acceptance.md</t>
        </is>
      </c>
      <c r="V100" s="10" t="inlineStr"/>
      <c r="W100" s="10" t="inlineStr"/>
      <c r="X100" s="3">
        <f>IF(N100="Concluído",IF(AND(S100&lt;&gt;"",ISNUMBER(T100),T100&gt;0,V100&lt;&gt;"",AND(OR(X90="OK",X90="DISPENSADO"),OR(X91="OK",X91="DISPENSADO"),OR(X92="OK",X92="DISPENSADO"),OR(X93="OK",X93="DISPENSADO"),OR(X94="OK",X94="DISPENSADO"),OR(X95="OK",X95="DISPENSADO"),OR(X96="OK",X96="DISPENSADO"),OR(X97="OK",X97="DISPENSADO"),OR(X98="OK",X98="DISPENSADO"),OR(X99="OK",X99="DISPENSADO"))),"OK","REVISAR"),IF(N100="Dispensado (ADR)",IF(AND(LEFT(Q100,11)="Condicional",W100&lt;&gt;"",S100&lt;&gt;"",ISNUMBER(T100),T100&gt;0,V100&lt;&gt;""),"DISPENSADO","REVISAR"),"PENDENTE"))</f>
        <v/>
      </c>
      <c r="Y100" s="10" t="inlineStr"/>
    </row>
    <row r="101" ht="112" customHeight="1">
      <c r="A101" s="3" t="n">
        <v>100</v>
      </c>
      <c r="B101" s="3" t="inlineStr">
        <is>
          <t>SL-S10-01</t>
        </is>
      </c>
      <c r="C101" s="9" t="inlineStr">
        <is>
          <t>v0.1.0</t>
        </is>
      </c>
      <c r="D101" s="9" t="inlineStr">
        <is>
          <t>S10</t>
        </is>
      </c>
      <c r="E101" s="3" t="inlineStr">
        <is>
          <t>Watcher / projeções</t>
        </is>
      </c>
      <c r="F101" s="3" t="inlineStr">
        <is>
          <t>Próprio</t>
        </is>
      </c>
      <c r="G101" s="3" t="inlineStr">
        <is>
          <t>Implementação</t>
        </is>
      </c>
      <c r="H101" s="3" t="inlineStr">
        <is>
          <t>Integrar watcher</t>
        </is>
      </c>
      <c r="I101" s="3" t="inlineStr">
        <is>
          <t>Debounce eventos, distinguir escrita própria e tratar sequência rename/delete/create.</t>
        </is>
      </c>
      <c r="J101" s="3" t="inlineStr">
        <is>
          <t>crates/vault/src/watch.rs</t>
        </is>
      </c>
      <c r="K101" s="3" t="inlineStr">
        <is>
          <t>Uma escrita do Core não gera loop infinito de reimportação.</t>
        </is>
      </c>
      <c r="L101" s="3" t="inlineStr">
        <is>
          <t>SL-S08-GATE; SL-S09-GATE</t>
        </is>
      </c>
      <c r="M101" s="3" t="inlineStr">
        <is>
          <t>R02; R04; R05; R21</t>
        </is>
      </c>
      <c r="N101" s="10" t="inlineStr">
        <is>
          <t>Não iniciado</t>
        </is>
      </c>
      <c r="O101" s="3" t="inlineStr">
        <is>
          <t>P0</t>
        </is>
      </c>
      <c r="P101" s="3" t="inlineStr">
        <is>
          <t>Crítico</t>
        </is>
      </c>
      <c r="Q101" s="3" t="inlineStr">
        <is>
          <t>Obrigatória no escopo da versão</t>
        </is>
      </c>
      <c r="R101" s="10" t="inlineStr">
        <is>
          <t>Autor + agente de IA</t>
        </is>
      </c>
      <c r="S101" s="10" t="inlineStr"/>
      <c r="T101" s="11" t="inlineStr"/>
      <c r="U101" s="3" t="inlineStr">
        <is>
          <t>reports/S10/SL-S10-01.md</t>
        </is>
      </c>
      <c r="V101" s="10" t="inlineStr"/>
      <c r="W101" s="10" t="inlineStr"/>
      <c r="X101" s="3">
        <f>IF(N101="Concluído",IF(AND(S101&lt;&gt;"",ISNUMBER(T101),T101&gt;0,V101&lt;&gt;"",AND(OR(X89="OK",X89="DISPENSADO"),OR(X100="OK",X100="DISPENSADO"))),"OK","REVISAR"),IF(N101="Dispensado (ADR)",IF(AND(LEFT(Q101,11)="Condicional",W101&lt;&gt;"",S101&lt;&gt;"",ISNUMBER(T101),T101&gt;0,V101&lt;&gt;""),"DISPENSADO","REVISAR"),"PENDENTE"))</f>
        <v/>
      </c>
      <c r="Y101" s="10" t="inlineStr"/>
    </row>
    <row r="102" ht="112" customHeight="1">
      <c r="A102" s="3" t="n">
        <v>101</v>
      </c>
      <c r="B102" s="3" t="inlineStr">
        <is>
          <t>SL-S10-02</t>
        </is>
      </c>
      <c r="C102" s="9" t="inlineStr">
        <is>
          <t>v0.1.0</t>
        </is>
      </c>
      <c r="D102" s="9" t="inlineStr">
        <is>
          <t>S10</t>
        </is>
      </c>
      <c r="E102" s="3" t="inlineStr">
        <is>
          <t>Watcher / projeções</t>
        </is>
      </c>
      <c r="F102" s="3" t="inlineStr">
        <is>
          <t>Próprio</t>
        </is>
      </c>
      <c r="G102" s="3" t="inlineStr">
        <is>
          <t>Implementação</t>
        </is>
      </c>
      <c r="H102" s="3" t="inlineStr">
        <is>
          <t>Criar reconciliação por scan</t>
        </is>
      </c>
      <c r="I102" s="3" t="inlineStr">
        <is>
          <t>Comparar hashes/revisões e descobrir mudanças perdidas pelo watcher.</t>
        </is>
      </c>
      <c r="J102" s="3" t="inlineStr">
        <is>
          <t>crates/vault/src/reconcile.rs</t>
        </is>
      </c>
      <c r="K102" s="3" t="inlineStr">
        <is>
          <t>Eventos descartados intencionalmente são recuperados pela varredura posterior.</t>
        </is>
      </c>
      <c r="L102" s="3" t="inlineStr">
        <is>
          <t>SL-S10-01</t>
        </is>
      </c>
      <c r="M102" s="3" t="inlineStr">
        <is>
          <t>R02; R04; R05; R21</t>
        </is>
      </c>
      <c r="N102" s="10" t="inlineStr">
        <is>
          <t>Não iniciado</t>
        </is>
      </c>
      <c r="O102" s="3" t="inlineStr">
        <is>
          <t>P0</t>
        </is>
      </c>
      <c r="P102" s="3" t="inlineStr">
        <is>
          <t>Crítico</t>
        </is>
      </c>
      <c r="Q102" s="3" t="inlineStr">
        <is>
          <t>Obrigatória no escopo da versão</t>
        </is>
      </c>
      <c r="R102" s="10" t="inlineStr">
        <is>
          <t>Autor + agente de IA</t>
        </is>
      </c>
      <c r="S102" s="10" t="inlineStr"/>
      <c r="T102" s="11" t="inlineStr"/>
      <c r="U102" s="3" t="inlineStr">
        <is>
          <t>reports/S10/SL-S10-02.md</t>
        </is>
      </c>
      <c r="V102" s="10" t="inlineStr"/>
      <c r="W102" s="10" t="inlineStr"/>
      <c r="X102" s="3">
        <f>IF(N102="Concluído",IF(AND(S102&lt;&gt;"",ISNUMBER(T102),T102&gt;0,V102&lt;&gt;"",AND(OR(X101="OK",X101="DISPENSADO"))),"OK","REVISAR"),IF(N102="Dispensado (ADR)",IF(AND(LEFT(Q102,11)="Condicional",W102&lt;&gt;"",S102&lt;&gt;"",ISNUMBER(T102),T102&gt;0,V102&lt;&gt;""),"DISPENSADO","REVISAR"),"PENDENTE"))</f>
        <v/>
      </c>
      <c r="Y102" s="10" t="inlineStr"/>
    </row>
    <row r="103" ht="112" customHeight="1">
      <c r="A103" s="3" t="n">
        <v>102</v>
      </c>
      <c r="B103" s="3" t="inlineStr">
        <is>
          <t>SL-S10-03</t>
        </is>
      </c>
      <c r="C103" s="9" t="inlineStr">
        <is>
          <t>v0.1.0</t>
        </is>
      </c>
      <c r="D103" s="9" t="inlineStr">
        <is>
          <t>S10</t>
        </is>
      </c>
      <c r="E103" s="3" t="inlineStr">
        <is>
          <t>Watcher / projeções</t>
        </is>
      </c>
      <c r="F103" s="3" t="inlineStr">
        <is>
          <t>Próprio</t>
        </is>
      </c>
      <c r="G103" s="3" t="inlineStr">
        <is>
          <t>Implementação</t>
        </is>
      </c>
      <c r="H103" s="3" t="inlineStr">
        <is>
          <t>Resolver renomeação por ID</t>
        </is>
      </c>
      <c r="I103" s="3" t="inlineStr">
        <is>
          <t>Atualizar localização sem recriar nota e sem quebrar referências.</t>
        </is>
      </c>
      <c r="J103" s="3" t="inlineStr">
        <is>
          <t>crates/vault/src/relocation.rs</t>
        </is>
      </c>
      <c r="K103" s="3" t="inlineStr">
        <is>
          <t>Citações e ocorrências continuam apontando para a mesma identidade.</t>
        </is>
      </c>
      <c r="L103" s="3" t="inlineStr">
        <is>
          <t>SL-S10-02</t>
        </is>
      </c>
      <c r="M103" s="3" t="inlineStr">
        <is>
          <t>R02; R04; R05; R21</t>
        </is>
      </c>
      <c r="N103" s="10" t="inlineStr">
        <is>
          <t>Não iniciado</t>
        </is>
      </c>
      <c r="O103" s="3" t="inlineStr">
        <is>
          <t>P0</t>
        </is>
      </c>
      <c r="P103" s="3" t="inlineStr">
        <is>
          <t>Crítico</t>
        </is>
      </c>
      <c r="Q103" s="3" t="inlineStr">
        <is>
          <t>Obrigatória no escopo da versão</t>
        </is>
      </c>
      <c r="R103" s="10" t="inlineStr">
        <is>
          <t>Autor + agente de IA</t>
        </is>
      </c>
      <c r="S103" s="10" t="inlineStr"/>
      <c r="T103" s="11" t="inlineStr"/>
      <c r="U103" s="3" t="inlineStr">
        <is>
          <t>reports/S10/SL-S10-03.md</t>
        </is>
      </c>
      <c r="V103" s="10" t="inlineStr"/>
      <c r="W103" s="10" t="inlineStr"/>
      <c r="X103" s="3">
        <f>IF(N103="Concluído",IF(AND(S103&lt;&gt;"",ISNUMBER(T103),T103&gt;0,V103&lt;&gt;"",AND(OR(X102="OK",X102="DISPENSADO"))),"OK","REVISAR"),IF(N103="Dispensado (ADR)",IF(AND(LEFT(Q103,11)="Condicional",W103&lt;&gt;"",S103&lt;&gt;"",ISNUMBER(T103),T103&gt;0,V103&lt;&gt;""),"DISPENSADO","REVISAR"),"PENDENTE"))</f>
        <v/>
      </c>
      <c r="Y103" s="10" t="inlineStr"/>
    </row>
    <row r="104" ht="112" customHeight="1">
      <c r="A104" s="3" t="n">
        <v>103</v>
      </c>
      <c r="B104" s="3" t="inlineStr">
        <is>
          <t>SL-S10-04</t>
        </is>
      </c>
      <c r="C104" s="9" t="inlineStr">
        <is>
          <t>v0.1.0</t>
        </is>
      </c>
      <c r="D104" s="9" t="inlineStr">
        <is>
          <t>S10</t>
        </is>
      </c>
      <c r="E104" s="3" t="inlineStr">
        <is>
          <t>Watcher / projeções</t>
        </is>
      </c>
      <c r="F104" s="3" t="inlineStr">
        <is>
          <t>Próprio</t>
        </is>
      </c>
      <c r="G104" s="3" t="inlineStr">
        <is>
          <t>Implementação</t>
        </is>
      </c>
      <c r="H104" s="3" t="inlineStr">
        <is>
          <t>Detectar edição concorrente</t>
        </is>
      </c>
      <c r="I104" s="3" t="inlineStr">
        <is>
          <t>Comparar base, estado em edição e mudança externa.</t>
        </is>
      </c>
      <c r="J104" s="3" t="inlineStr">
        <is>
          <t>crates/domain/src/conflict.rs</t>
        </is>
      </c>
      <c r="K104" s="3" t="inlineStr">
        <is>
          <t>Nenhuma estratégia last-write-wins silenciosa destrói alteração autoral.</t>
        </is>
      </c>
      <c r="L104" s="3" t="inlineStr">
        <is>
          <t>SL-S10-03</t>
        </is>
      </c>
      <c r="M104" s="3" t="inlineStr">
        <is>
          <t>R02; R04; R05; R21</t>
        </is>
      </c>
      <c r="N104" s="10" t="inlineStr">
        <is>
          <t>Não iniciado</t>
        </is>
      </c>
      <c r="O104" s="3" t="inlineStr">
        <is>
          <t>P0</t>
        </is>
      </c>
      <c r="P104" s="3" t="inlineStr">
        <is>
          <t>Crítico</t>
        </is>
      </c>
      <c r="Q104" s="3" t="inlineStr">
        <is>
          <t>Obrigatória no escopo da versão</t>
        </is>
      </c>
      <c r="R104" s="10" t="inlineStr">
        <is>
          <t>Autor + agente de IA</t>
        </is>
      </c>
      <c r="S104" s="10" t="inlineStr"/>
      <c r="T104" s="11" t="inlineStr"/>
      <c r="U104" s="3" t="inlineStr">
        <is>
          <t>reports/S10/SL-S10-04.md</t>
        </is>
      </c>
      <c r="V104" s="10" t="inlineStr"/>
      <c r="W104" s="10" t="inlineStr"/>
      <c r="X104" s="3">
        <f>IF(N104="Concluído",IF(AND(S104&lt;&gt;"",ISNUMBER(T104),T104&gt;0,V104&lt;&gt;"",AND(OR(X103="OK",X103="DISPENSADO"))),"OK","REVISAR"),IF(N104="Dispensado (ADR)",IF(AND(LEFT(Q104,11)="Condicional",W104&lt;&gt;"",S104&lt;&gt;"",ISNUMBER(T104),T104&gt;0,V104&lt;&gt;""),"DISPENSADO","REVISAR"),"PENDENTE"))</f>
        <v/>
      </c>
      <c r="Y104" s="10" t="inlineStr"/>
    </row>
    <row r="105" ht="112" customHeight="1">
      <c r="A105" s="3" t="n">
        <v>104</v>
      </c>
      <c r="B105" s="3" t="inlineStr">
        <is>
          <t>SL-S10-05</t>
        </is>
      </c>
      <c r="C105" s="9" t="inlineStr">
        <is>
          <t>v0.1.0</t>
        </is>
      </c>
      <c r="D105" s="9" t="inlineStr">
        <is>
          <t>S10</t>
        </is>
      </c>
      <c r="E105" s="3" t="inlineStr">
        <is>
          <t>Watcher / projeções</t>
        </is>
      </c>
      <c r="F105" s="3" t="inlineStr">
        <is>
          <t>Próprio</t>
        </is>
      </c>
      <c r="G105" s="3" t="inlineStr">
        <is>
          <t>Implementação</t>
        </is>
      </c>
      <c r="H105" s="3" t="inlineStr">
        <is>
          <t>Criar UI de conflito</t>
        </is>
      </c>
      <c r="I105" s="3" t="inlineStr">
        <is>
          <t>Mostrar versões, salvar cópia e permitir resolução explícita.</t>
        </is>
      </c>
      <c r="J105" s="3" t="inlineStr">
        <is>
          <t>apps/desktop/src/conflicts/</t>
        </is>
      </c>
      <c r="K105" s="3" t="inlineStr">
        <is>
          <t>Cancelar resolução conserva as duas versões e não bloqueia todo o Vault.</t>
        </is>
      </c>
      <c r="L105" s="3" t="inlineStr">
        <is>
          <t>SL-S10-04</t>
        </is>
      </c>
      <c r="M105" s="3" t="inlineStr">
        <is>
          <t>R02; R04; R05; R21</t>
        </is>
      </c>
      <c r="N105" s="10" t="inlineStr">
        <is>
          <t>Não iniciado</t>
        </is>
      </c>
      <c r="O105" s="3" t="inlineStr">
        <is>
          <t>P0</t>
        </is>
      </c>
      <c r="P105" s="3" t="inlineStr">
        <is>
          <t>Crítico</t>
        </is>
      </c>
      <c r="Q105" s="3" t="inlineStr">
        <is>
          <t>Obrigatória no escopo da versão</t>
        </is>
      </c>
      <c r="R105" s="10" t="inlineStr">
        <is>
          <t>Autor + agente de IA</t>
        </is>
      </c>
      <c r="S105" s="10" t="inlineStr"/>
      <c r="T105" s="11" t="inlineStr"/>
      <c r="U105" s="3" t="inlineStr">
        <is>
          <t>reports/S10/SL-S10-05.md</t>
        </is>
      </c>
      <c r="V105" s="10" t="inlineStr"/>
      <c r="W105" s="10" t="inlineStr"/>
      <c r="X105" s="3">
        <f>IF(N105="Concluído",IF(AND(S105&lt;&gt;"",ISNUMBER(T105),T105&gt;0,V105&lt;&gt;"",AND(OR(X104="OK",X104="DISPENSADO"))),"OK","REVISAR"),IF(N105="Dispensado (ADR)",IF(AND(LEFT(Q105,11)="Condicional",W105&lt;&gt;"",S105&lt;&gt;"",ISNUMBER(T105),T105&gt;0,V105&lt;&gt;""),"DISPENSADO","REVISAR"),"PENDENTE"))</f>
        <v/>
      </c>
      <c r="Y105" s="10" t="inlineStr"/>
    </row>
    <row r="106" ht="112" customHeight="1">
      <c r="A106" s="3" t="n">
        <v>105</v>
      </c>
      <c r="B106" s="3" t="inlineStr">
        <is>
          <t>SL-S10-06</t>
        </is>
      </c>
      <c r="C106" s="9" t="inlineStr">
        <is>
          <t>v0.1.0</t>
        </is>
      </c>
      <c r="D106" s="9" t="inlineStr">
        <is>
          <t>S10</t>
        </is>
      </c>
      <c r="E106" s="3" t="inlineStr">
        <is>
          <t>Watcher / projeções</t>
        </is>
      </c>
      <c r="F106" s="3" t="inlineStr">
        <is>
          <t>Próprio</t>
        </is>
      </c>
      <c r="G106" s="3" t="inlineStr">
        <is>
          <t>Implementação</t>
        </is>
      </c>
      <c r="H106" s="3" t="inlineStr">
        <is>
          <t>Criar projeção SQLite</t>
        </is>
      </c>
      <c r="I106" s="3" t="inlineStr">
        <is>
          <t>Indexar inventário/revisões para navegação sem torná-lo canônico.</t>
        </is>
      </c>
      <c r="J106" s="3" t="inlineStr">
        <is>
          <t>crates/index/src/catalog.rs</t>
        </is>
      </c>
      <c r="K106" s="3" t="inlineStr">
        <is>
          <t>Apagar DB e reconstruir produz inventário equivalente ao scan direto.</t>
        </is>
      </c>
      <c r="L106" s="3" t="inlineStr">
        <is>
          <t>SL-S10-05</t>
        </is>
      </c>
      <c r="M106" s="3" t="inlineStr">
        <is>
          <t>R02; R04; R05; R21</t>
        </is>
      </c>
      <c r="N106" s="10" t="inlineStr">
        <is>
          <t>Não iniciado</t>
        </is>
      </c>
      <c r="O106" s="3" t="inlineStr">
        <is>
          <t>P0</t>
        </is>
      </c>
      <c r="P106" s="3" t="inlineStr">
        <is>
          <t>Crítico</t>
        </is>
      </c>
      <c r="Q106" s="3" t="inlineStr">
        <is>
          <t>Obrigatória no escopo da versão</t>
        </is>
      </c>
      <c r="R106" s="10" t="inlineStr">
        <is>
          <t>Autor + agente de IA</t>
        </is>
      </c>
      <c r="S106" s="10" t="inlineStr"/>
      <c r="T106" s="11" t="inlineStr"/>
      <c r="U106" s="3" t="inlineStr">
        <is>
          <t>reports/S10/SL-S10-06.md</t>
        </is>
      </c>
      <c r="V106" s="10" t="inlineStr"/>
      <c r="W106" s="10" t="inlineStr"/>
      <c r="X106" s="3">
        <f>IF(N106="Concluído",IF(AND(S106&lt;&gt;"",ISNUMBER(T106),T106&gt;0,V106&lt;&gt;"",AND(OR(X105="OK",X105="DISPENSADO"))),"OK","REVISAR"),IF(N106="Dispensado (ADR)",IF(AND(LEFT(Q106,11)="Condicional",W106&lt;&gt;"",S106&lt;&gt;"",ISNUMBER(T106),T106&gt;0,V106&lt;&gt;""),"DISPENSADO","REVISAR"),"PENDENTE"))</f>
        <v/>
      </c>
      <c r="Y106" s="10" t="inlineStr"/>
    </row>
    <row r="107" ht="112" customHeight="1">
      <c r="A107" s="3" t="n">
        <v>106</v>
      </c>
      <c r="B107" s="3" t="inlineStr">
        <is>
          <t>SL-S10-07</t>
        </is>
      </c>
      <c r="C107" s="9" t="inlineStr">
        <is>
          <t>v0.1.0</t>
        </is>
      </c>
      <c r="D107" s="9" t="inlineStr">
        <is>
          <t>S10</t>
        </is>
      </c>
      <c r="E107" s="3" t="inlineStr">
        <is>
          <t>Watcher / projeções</t>
        </is>
      </c>
      <c r="F107" s="3" t="inlineStr">
        <is>
          <t>Próprio</t>
        </is>
      </c>
      <c r="G107" s="3" t="inlineStr">
        <is>
          <t>Implementação</t>
        </is>
      </c>
      <c r="H107" s="3" t="inlineStr">
        <is>
          <t>Registrar eventos de invalidação</t>
        </is>
      </c>
      <c r="I107" s="3" t="inlineStr">
        <is>
          <t>Emitir mudança de texto, metadado e topologia separadamente.</t>
        </is>
      </c>
      <c r="J107" s="3" t="inlineStr">
        <is>
          <t>crates/domain/src/change_events.rs</t>
        </is>
      </c>
      <c r="K107" s="3" t="inlineStr">
        <is>
          <t>Mudança de posição não é tratada como alteração do corpo textual.</t>
        </is>
      </c>
      <c r="L107" s="3" t="inlineStr">
        <is>
          <t>SL-S10-06</t>
        </is>
      </c>
      <c r="M107" s="3" t="inlineStr">
        <is>
          <t>R02; R04; R05; R21</t>
        </is>
      </c>
      <c r="N107" s="10" t="inlineStr">
        <is>
          <t>Não iniciado</t>
        </is>
      </c>
      <c r="O107" s="3" t="inlineStr">
        <is>
          <t>P0</t>
        </is>
      </c>
      <c r="P107" s="3" t="inlineStr">
        <is>
          <t>Crítico</t>
        </is>
      </c>
      <c r="Q107" s="3" t="inlineStr">
        <is>
          <t>Obrigatória no escopo da versão</t>
        </is>
      </c>
      <c r="R107" s="10" t="inlineStr">
        <is>
          <t>Autor + agente de IA</t>
        </is>
      </c>
      <c r="S107" s="10" t="inlineStr"/>
      <c r="T107" s="11" t="inlineStr"/>
      <c r="U107" s="3" t="inlineStr">
        <is>
          <t>reports/S10/SL-S10-07.md</t>
        </is>
      </c>
      <c r="V107" s="10" t="inlineStr"/>
      <c r="W107" s="10" t="inlineStr"/>
      <c r="X107" s="3">
        <f>IF(N107="Concluído",IF(AND(S107&lt;&gt;"",ISNUMBER(T107),T107&gt;0,V107&lt;&gt;"",AND(OR(X106="OK",X106="DISPENSADO"))),"OK","REVISAR"),IF(N107="Dispensado (ADR)",IF(AND(LEFT(Q107,11)="Condicional",W107&lt;&gt;"",S107&lt;&gt;"",ISNUMBER(T107),T107&gt;0,V107&lt;&gt;""),"DISPENSADO","REVISAR"),"PENDENTE"))</f>
        <v/>
      </c>
      <c r="Y107" s="10" t="inlineStr"/>
    </row>
    <row r="108" ht="112" customHeight="1">
      <c r="A108" s="3" t="n">
        <v>107</v>
      </c>
      <c r="B108" s="3" t="inlineStr">
        <is>
          <t>SL-S10-08</t>
        </is>
      </c>
      <c r="C108" s="9" t="inlineStr">
        <is>
          <t>v0.1.0</t>
        </is>
      </c>
      <c r="D108" s="9" t="inlineStr">
        <is>
          <t>S10</t>
        </is>
      </c>
      <c r="E108" s="3" t="inlineStr">
        <is>
          <t>Watcher / projeções</t>
        </is>
      </c>
      <c r="F108" s="3" t="inlineStr">
        <is>
          <t>Próprio</t>
        </is>
      </c>
      <c r="G108" s="3" t="inlineStr">
        <is>
          <t>Implementação</t>
        </is>
      </c>
      <c r="H108" s="3" t="inlineStr">
        <is>
          <t>Invalidar tombstones</t>
        </is>
      </c>
      <c r="I108" s="3" t="inlineStr">
        <is>
          <t>Remover projeções de itens excluídos e impedir ressurreição por job atrasado.</t>
        </is>
      </c>
      <c r="J108" s="3" t="inlineStr">
        <is>
          <t>crates/index/src/tombstones.rs</t>
        </is>
      </c>
      <c r="K108" s="3" t="inlineStr">
        <is>
          <t>Resultado de revisão anterior não recria material excluído.</t>
        </is>
      </c>
      <c r="L108" s="3" t="inlineStr">
        <is>
          <t>SL-S10-07</t>
        </is>
      </c>
      <c r="M108" s="3" t="inlineStr">
        <is>
          <t>R02; R04; R05; R21</t>
        </is>
      </c>
      <c r="N108" s="10" t="inlineStr">
        <is>
          <t>Não iniciado</t>
        </is>
      </c>
      <c r="O108" s="3" t="inlineStr">
        <is>
          <t>P0</t>
        </is>
      </c>
      <c r="P108" s="3" t="inlineStr">
        <is>
          <t>Crítico</t>
        </is>
      </c>
      <c r="Q108" s="3" t="inlineStr">
        <is>
          <t>Obrigatória no escopo da versão</t>
        </is>
      </c>
      <c r="R108" s="10" t="inlineStr">
        <is>
          <t>Autor + agente de IA</t>
        </is>
      </c>
      <c r="S108" s="10" t="inlineStr"/>
      <c r="T108" s="11" t="inlineStr"/>
      <c r="U108" s="3" t="inlineStr">
        <is>
          <t>reports/S10/SL-S10-08.md</t>
        </is>
      </c>
      <c r="V108" s="10" t="inlineStr"/>
      <c r="W108" s="10" t="inlineStr"/>
      <c r="X108" s="3">
        <f>IF(N108="Concluído",IF(AND(S108&lt;&gt;"",ISNUMBER(T108),T108&gt;0,V108&lt;&gt;"",AND(OR(X107="OK",X107="DISPENSADO"))),"OK","REVISAR"),IF(N108="Dispensado (ADR)",IF(AND(LEFT(Q108,11)="Condicional",W108&lt;&gt;"",S108&lt;&gt;"",ISNUMBER(T108),T108&gt;0,V108&lt;&gt;""),"DISPENSADO","REVISAR"),"PENDENTE"))</f>
        <v/>
      </c>
      <c r="Y108" s="10" t="inlineStr"/>
    </row>
    <row r="109" ht="112" customHeight="1">
      <c r="A109" s="3" t="n">
        <v>108</v>
      </c>
      <c r="B109" s="3" t="inlineStr">
        <is>
          <t>SL-S10-09</t>
        </is>
      </c>
      <c r="C109" s="9" t="inlineStr">
        <is>
          <t>v0.1.0</t>
        </is>
      </c>
      <c r="D109" s="9" t="inlineStr">
        <is>
          <t>S10</t>
        </is>
      </c>
      <c r="E109" s="3" t="inlineStr">
        <is>
          <t>Watcher / projeções</t>
        </is>
      </c>
      <c r="F109" s="3" t="inlineStr">
        <is>
          <t>Próprio</t>
        </is>
      </c>
      <c r="G109" s="3" t="inlineStr">
        <is>
          <t>Teste</t>
        </is>
      </c>
      <c r="H109" s="3" t="inlineStr">
        <is>
          <t>Testar importação externa parcial</t>
        </is>
      </c>
      <c r="I109" s="3" t="inlineStr">
        <is>
          <t>Cobrir arquivo ainda sendo escrito, frontmatter inválido e lock externo.</t>
        </is>
      </c>
      <c r="J109" s="3" t="inlineStr">
        <is>
          <t>tests/vault/external-edits/</t>
        </is>
      </c>
      <c r="K109" s="3" t="inlineStr">
        <is>
          <t>App aguarda/reporta erro sem normalizar arquivo incompleto de modo destrutivo.</t>
        </is>
      </c>
      <c r="L109" s="3" t="inlineStr">
        <is>
          <t>SL-S10-08</t>
        </is>
      </c>
      <c r="M109" s="3" t="inlineStr">
        <is>
          <t>R02; R04; R05; R21</t>
        </is>
      </c>
      <c r="N109" s="10" t="inlineStr">
        <is>
          <t>Não iniciado</t>
        </is>
      </c>
      <c r="O109" s="3" t="inlineStr">
        <is>
          <t>P0</t>
        </is>
      </c>
      <c r="P109" s="3" t="inlineStr">
        <is>
          <t>Crítico</t>
        </is>
      </c>
      <c r="Q109" s="3" t="inlineStr">
        <is>
          <t>Obrigatória no escopo da versão</t>
        </is>
      </c>
      <c r="R109" s="10" t="inlineStr">
        <is>
          <t>Autor + agente de IA</t>
        </is>
      </c>
      <c r="S109" s="10" t="inlineStr"/>
      <c r="T109" s="11" t="inlineStr"/>
      <c r="U109" s="3" t="inlineStr">
        <is>
          <t>reports/S10/SL-S10-09.md</t>
        </is>
      </c>
      <c r="V109" s="10" t="inlineStr"/>
      <c r="W109" s="10" t="inlineStr"/>
      <c r="X109" s="3">
        <f>IF(N109="Concluído",IF(AND(S109&lt;&gt;"",ISNUMBER(T109),T109&gt;0,V109&lt;&gt;"",AND(OR(X108="OK",X108="DISPENSADO"))),"OK","REVISAR"),IF(N109="Dispensado (ADR)",IF(AND(LEFT(Q109,11)="Condicional",W109&lt;&gt;"",S109&lt;&gt;"",ISNUMBER(T109),T109&gt;0,V109&lt;&gt;""),"DISPENSADO","REVISAR"),"PENDENTE"))</f>
        <v/>
      </c>
      <c r="Y109" s="10" t="inlineStr"/>
    </row>
    <row r="110" ht="112" customHeight="1">
      <c r="A110" s="3" t="n">
        <v>109</v>
      </c>
      <c r="B110" s="3" t="inlineStr">
        <is>
          <t>SL-S10-10</t>
        </is>
      </c>
      <c r="C110" s="9" t="inlineStr">
        <is>
          <t>v0.1.0</t>
        </is>
      </c>
      <c r="D110" s="9" t="inlineStr">
        <is>
          <t>S10</t>
        </is>
      </c>
      <c r="E110" s="3" t="inlineStr">
        <is>
          <t>Watcher / projeções</t>
        </is>
      </c>
      <c r="F110" s="3" t="inlineStr">
        <is>
          <t>Próprio</t>
        </is>
      </c>
      <c r="G110" s="3" t="inlineStr">
        <is>
          <t>Teste</t>
        </is>
      </c>
      <c r="H110" s="3" t="inlineStr">
        <is>
          <t>Validar reconstrução repetida</t>
        </is>
      </c>
      <c r="I110" s="3" t="inlineStr">
        <is>
          <t>Executar rebuild em Vault com referências e conflitos conhecidos.</t>
        </is>
      </c>
      <c r="J110" s="3" t="inlineStr">
        <is>
          <t>reports/rebuild-catalog.json</t>
        </is>
      </c>
      <c r="K110" s="3" t="inlineStr">
        <is>
          <t>Duas reconstruções têm as mesmas entidades e não alteram arquivos canônicos.</t>
        </is>
      </c>
      <c r="L110" s="3" t="inlineStr">
        <is>
          <t>SL-S10-09</t>
        </is>
      </c>
      <c r="M110" s="3" t="inlineStr">
        <is>
          <t>R02; R04; R05; R21</t>
        </is>
      </c>
      <c r="N110" s="10" t="inlineStr">
        <is>
          <t>Não iniciado</t>
        </is>
      </c>
      <c r="O110" s="3" t="inlineStr">
        <is>
          <t>P0</t>
        </is>
      </c>
      <c r="P110" s="3" t="inlineStr">
        <is>
          <t>Crítico</t>
        </is>
      </c>
      <c r="Q110" s="3" t="inlineStr">
        <is>
          <t>Obrigatória no escopo da versão</t>
        </is>
      </c>
      <c r="R110" s="10" t="inlineStr">
        <is>
          <t>Autor + agente de IA</t>
        </is>
      </c>
      <c r="S110" s="10" t="inlineStr"/>
      <c r="T110" s="11" t="inlineStr"/>
      <c r="U110" s="3" t="inlineStr">
        <is>
          <t>reports/S10/SL-S10-10.md</t>
        </is>
      </c>
      <c r="V110" s="10" t="inlineStr"/>
      <c r="W110" s="10" t="inlineStr"/>
      <c r="X110" s="3">
        <f>IF(N110="Concluído",IF(AND(S110&lt;&gt;"",ISNUMBER(T110),T110&gt;0,V110&lt;&gt;"",AND(OR(X109="OK",X109="DISPENSADO"))),"OK","REVISAR"),IF(N110="Dispensado (ADR)",IF(AND(LEFT(Q110,11)="Condicional",W110&lt;&gt;"",S110&lt;&gt;"",ISNUMBER(T110),T110&gt;0,V110&lt;&gt;""),"DISPENSADO","REVISAR"),"PENDENTE"))</f>
        <v/>
      </c>
      <c r="Y110" s="10" t="inlineStr"/>
    </row>
    <row r="111" ht="98" customHeight="1">
      <c r="A111" s="3" t="n">
        <v>110</v>
      </c>
      <c r="B111" s="12" t="inlineStr">
        <is>
          <t>SL-S10-GATE</t>
        </is>
      </c>
      <c r="C111" s="9" t="inlineStr">
        <is>
          <t>v0.1.0</t>
        </is>
      </c>
      <c r="D111" s="9" t="inlineStr">
        <is>
          <t>S10</t>
        </is>
      </c>
      <c r="E111" s="3" t="inlineStr">
        <is>
          <t>Watcher / projeções</t>
        </is>
      </c>
      <c r="F111" s="3" t="inlineStr">
        <is>
          <t>Aceite humano</t>
        </is>
      </c>
      <c r="G111" s="12" t="inlineStr">
        <is>
          <t>Gate</t>
        </is>
      </c>
      <c r="H111" s="12" t="inlineStr">
        <is>
          <t>Aceitar S10 — Reconciliar alterações externas e reconstruir índices</t>
        </is>
      </c>
      <c r="I111" s="3" t="inlineStr">
        <is>
          <t>Revisar as dez tarefas, executar a demonstração do sprint, confrontar critérios e registrar decisão go/no-go.</t>
        </is>
      </c>
      <c r="J111" s="3" t="inlineStr">
        <is>
          <t>reports/S10/acceptance.md</t>
        </is>
      </c>
      <c r="K111" s="3" t="inlineStr">
        <is>
          <t>Editar/renomear fora do app, perder um evento de watcher e reconciliar sem perda. Todas as dependências aceitas; evidências vinculadas a revisão/ambiente; nenhum blocker de integridade/segurança.</t>
        </is>
      </c>
      <c r="L111" s="3" t="inlineStr">
        <is>
          <t>SL-S10-01; SL-S10-02; SL-S10-03; SL-S10-04; SL-S10-05; SL-S10-06; SL-S10-07; SL-S10-08; SL-S10-09; SL-S10-10</t>
        </is>
      </c>
      <c r="M111" s="3" t="inlineStr">
        <is>
          <t>R02; R04; R05; R21</t>
        </is>
      </c>
      <c r="N111" s="10" t="inlineStr">
        <is>
          <t>Não iniciado</t>
        </is>
      </c>
      <c r="O111" s="3" t="inlineStr">
        <is>
          <t>P0</t>
        </is>
      </c>
      <c r="P111" s="3" t="inlineStr">
        <is>
          <t>Crítico</t>
        </is>
      </c>
      <c r="Q111" s="3" t="inlineStr">
        <is>
          <t>Obrigatória para fechar a versão aprovada</t>
        </is>
      </c>
      <c r="R111" s="10" t="inlineStr">
        <is>
          <t>Autor</t>
        </is>
      </c>
      <c r="S111" s="10" t="inlineStr"/>
      <c r="T111" s="11" t="inlineStr"/>
      <c r="U111" s="3" t="inlineStr">
        <is>
          <t>reports/S10/acceptance.md</t>
        </is>
      </c>
      <c r="V111" s="10" t="inlineStr"/>
      <c r="W111" s="10" t="inlineStr"/>
      <c r="X111" s="3">
        <f>IF(N111="Concluído",IF(AND(S111&lt;&gt;"",ISNUMBER(T111),T111&gt;0,V111&lt;&gt;"",AND(OR(X101="OK",X101="DISPENSADO"),OR(X102="OK",X102="DISPENSADO"),OR(X103="OK",X103="DISPENSADO"),OR(X104="OK",X104="DISPENSADO"),OR(X105="OK",X105="DISPENSADO"),OR(X106="OK",X106="DISPENSADO"),OR(X107="OK",X107="DISPENSADO"),OR(X108="OK",X108="DISPENSADO"),OR(X109="OK",X109="DISPENSADO"),OR(X110="OK",X110="DISPENSADO"))),"OK","REVISAR"),IF(N111="Dispensado (ADR)",IF(AND(LEFT(Q111,11)="Condicional",W111&lt;&gt;"",S111&lt;&gt;"",ISNUMBER(T111),T111&gt;0,V111&lt;&gt;""),"DISPENSADO","REVISAR"),"PENDENTE"))</f>
        <v/>
      </c>
      <c r="Y111" s="10" t="inlineStr"/>
    </row>
    <row r="112" ht="112" customHeight="1">
      <c r="A112" s="3" t="n">
        <v>111</v>
      </c>
      <c r="B112" s="3" t="inlineStr">
        <is>
          <t>SL-S11-01</t>
        </is>
      </c>
      <c r="C112" s="9" t="inlineStr">
        <is>
          <t>v0.1.0</t>
        </is>
      </c>
      <c r="D112" s="9" t="inlineStr">
        <is>
          <t>S11</t>
        </is>
      </c>
      <c r="E112" s="3" t="inlineStr">
        <is>
          <t>Vault / integração</t>
        </is>
      </c>
      <c r="F112" s="3" t="inlineStr">
        <is>
          <t>Próprio</t>
        </is>
      </c>
      <c r="G112" s="3" t="inlineStr">
        <is>
          <t>Implementação</t>
        </is>
      </c>
      <c r="H112" s="3" t="inlineStr">
        <is>
          <t>Criar comando validate</t>
        </is>
      </c>
      <c r="I112" s="3" t="inlineStr">
        <is>
          <t>Inspecionar schemas, referências, objetos e journal sem efetuar reparo automático.</t>
        </is>
      </c>
      <c r="J112" s="3" t="inlineStr">
        <is>
          <t>tooling/vault-cli/validate</t>
        </is>
      </c>
      <c r="K112" s="3" t="inlineStr">
        <is>
          <t>Relatório distingue erro canônico, cache inválido e aviso recuperável.</t>
        </is>
      </c>
      <c r="L112" s="3" t="inlineStr">
        <is>
          <t>SL-S07-GATE; SL-S08-GATE; SL-S09-GATE; SL-S10-GATE</t>
        </is>
      </c>
      <c r="M112" s="3" t="inlineStr">
        <is>
          <t>R02; R05; R06; R07; R29; R34</t>
        </is>
      </c>
      <c r="N112" s="10" t="inlineStr">
        <is>
          <t>Não iniciado</t>
        </is>
      </c>
      <c r="O112" s="3" t="inlineStr">
        <is>
          <t>P0</t>
        </is>
      </c>
      <c r="P112" s="3" t="inlineStr">
        <is>
          <t>Crítico</t>
        </is>
      </c>
      <c r="Q112" s="3" t="inlineStr">
        <is>
          <t>Obrigatória no escopo da versão</t>
        </is>
      </c>
      <c r="R112" s="10" t="inlineStr">
        <is>
          <t>Autor + agente de IA</t>
        </is>
      </c>
      <c r="S112" s="10" t="inlineStr"/>
      <c r="T112" s="11" t="inlineStr"/>
      <c r="U112" s="3" t="inlineStr">
        <is>
          <t>reports/S11/SL-S11-01.md</t>
        </is>
      </c>
      <c r="V112" s="10" t="inlineStr"/>
      <c r="W112" s="10" t="inlineStr"/>
      <c r="X112" s="3">
        <f>IF(N112="Concluído",IF(AND(S112&lt;&gt;"",ISNUMBER(T112),T112&gt;0,V112&lt;&gt;"",AND(OR(X78="OK",X78="DISPENSADO"),OR(X89="OK",X89="DISPENSADO"),OR(X100="OK",X100="DISPENSADO"),OR(X111="OK",X111="DISPENSADO"))),"OK","REVISAR"),IF(N112="Dispensado (ADR)",IF(AND(LEFT(Q112,11)="Condicional",W112&lt;&gt;"",S112&lt;&gt;"",ISNUMBER(T112),T112&gt;0,V112&lt;&gt;""),"DISPENSADO","REVISAR"),"PENDENTE"))</f>
        <v/>
      </c>
      <c r="Y112" s="10" t="inlineStr"/>
    </row>
    <row r="113" ht="112" customHeight="1">
      <c r="A113" s="3" t="n">
        <v>112</v>
      </c>
      <c r="B113" s="3" t="inlineStr">
        <is>
          <t>SL-S11-02</t>
        </is>
      </c>
      <c r="C113" s="9" t="inlineStr">
        <is>
          <t>v0.1.0</t>
        </is>
      </c>
      <c r="D113" s="9" t="inlineStr">
        <is>
          <t>S11</t>
        </is>
      </c>
      <c r="E113" s="3" t="inlineStr">
        <is>
          <t>Vault / integração</t>
        </is>
      </c>
      <c r="F113" s="3" t="inlineStr">
        <is>
          <t>Próprio</t>
        </is>
      </c>
      <c r="G113" s="3" t="inlineStr">
        <is>
          <t>Implementação</t>
        </is>
      </c>
      <c r="H113" s="3" t="inlineStr">
        <is>
          <t>Criar comando rebuild</t>
        </is>
      </c>
      <c r="I113" s="3" t="inlineStr">
        <is>
          <t>Recriar projeções a partir de snapshot coerente e trocar índice ao concluir.</t>
        </is>
      </c>
      <c r="J113" s="3" t="inlineStr">
        <is>
          <t>tooling/vault-cli/rebuild</t>
        </is>
      </c>
      <c r="K113" s="3" t="inlineStr">
        <is>
          <t>Interrupção conserva o índice anterior ou retorna modo degradado; não altera autoria.</t>
        </is>
      </c>
      <c r="L113" s="3" t="inlineStr">
        <is>
          <t>SL-S11-01</t>
        </is>
      </c>
      <c r="M113" s="3" t="inlineStr">
        <is>
          <t>R02; R05; R06; R07; R29; R34</t>
        </is>
      </c>
      <c r="N113" s="10" t="inlineStr">
        <is>
          <t>Não iniciado</t>
        </is>
      </c>
      <c r="O113" s="3" t="inlineStr">
        <is>
          <t>P0</t>
        </is>
      </c>
      <c r="P113" s="3" t="inlineStr">
        <is>
          <t>Crítico</t>
        </is>
      </c>
      <c r="Q113" s="3" t="inlineStr">
        <is>
          <t>Obrigatória no escopo da versão</t>
        </is>
      </c>
      <c r="R113" s="10" t="inlineStr">
        <is>
          <t>Autor + agente de IA</t>
        </is>
      </c>
      <c r="S113" s="10" t="inlineStr"/>
      <c r="T113" s="11" t="inlineStr"/>
      <c r="U113" s="3" t="inlineStr">
        <is>
          <t>reports/S11/SL-S11-02.md</t>
        </is>
      </c>
      <c r="V113" s="10" t="inlineStr"/>
      <c r="W113" s="10" t="inlineStr"/>
      <c r="X113" s="3">
        <f>IF(N113="Concluído",IF(AND(S113&lt;&gt;"",ISNUMBER(T113),T113&gt;0,V113&lt;&gt;"",AND(OR(X112="OK",X112="DISPENSADO"))),"OK","REVISAR"),IF(N113="Dispensado (ADR)",IF(AND(LEFT(Q113,11)="Condicional",W113&lt;&gt;"",S113&lt;&gt;"",ISNUMBER(T113),T113&gt;0,V113&lt;&gt;""),"DISPENSADO","REVISAR"),"PENDENTE"))</f>
        <v/>
      </c>
      <c r="Y113" s="10" t="inlineStr"/>
    </row>
    <row r="114" ht="112" customHeight="1">
      <c r="A114" s="3" t="n">
        <v>113</v>
      </c>
      <c r="B114" s="3" t="inlineStr">
        <is>
          <t>SL-S11-03</t>
        </is>
      </c>
      <c r="C114" s="9" t="inlineStr">
        <is>
          <t>v0.1.0</t>
        </is>
      </c>
      <c r="D114" s="9" t="inlineStr">
        <is>
          <t>S11</t>
        </is>
      </c>
      <c r="E114" s="3" t="inlineStr">
        <is>
          <t>Vault / integração</t>
        </is>
      </c>
      <c r="F114" s="3" t="inlineStr">
        <is>
          <t>Próprio</t>
        </is>
      </c>
      <c r="G114" s="3" t="inlineStr">
        <is>
          <t>Implementação</t>
        </is>
      </c>
      <c r="H114" s="3" t="inlineStr">
        <is>
          <t>Criar recuperação assistida</t>
        </is>
      </c>
      <c r="I114" s="3" t="inlineStr">
        <is>
          <t>Listar revisões recuperáveis e pedir confirmação antes de publicar reparo.</t>
        </is>
      </c>
      <c r="J114" s="3" t="inlineStr">
        <is>
          <t>tooling/vault-cli/recover</t>
        </is>
      </c>
      <c r="K114" s="3" t="inlineStr">
        <is>
          <t>Preview corresponde ao resultado e existe ponto de retorno.</t>
        </is>
      </c>
      <c r="L114" s="3" t="inlineStr">
        <is>
          <t>SL-S11-02</t>
        </is>
      </c>
      <c r="M114" s="3" t="inlineStr">
        <is>
          <t>R02; R05; R06; R07; R29; R34</t>
        </is>
      </c>
      <c r="N114" s="10" t="inlineStr">
        <is>
          <t>Não iniciado</t>
        </is>
      </c>
      <c r="O114" s="3" t="inlineStr">
        <is>
          <t>P0</t>
        </is>
      </c>
      <c r="P114" s="3" t="inlineStr">
        <is>
          <t>Crítico</t>
        </is>
      </c>
      <c r="Q114" s="3" t="inlineStr">
        <is>
          <t>Obrigatória no escopo da versão</t>
        </is>
      </c>
      <c r="R114" s="10" t="inlineStr">
        <is>
          <t>Autor + agente de IA</t>
        </is>
      </c>
      <c r="S114" s="10" t="inlineStr"/>
      <c r="T114" s="11" t="inlineStr"/>
      <c r="U114" s="3" t="inlineStr">
        <is>
          <t>reports/S11/SL-S11-03.md</t>
        </is>
      </c>
      <c r="V114" s="10" t="inlineStr"/>
      <c r="W114" s="10" t="inlineStr"/>
      <c r="X114" s="3">
        <f>IF(N114="Concluído",IF(AND(S114&lt;&gt;"",ISNUMBER(T114),T114&gt;0,V114&lt;&gt;"",AND(OR(X113="OK",X113="DISPENSADO"))),"OK","REVISAR"),IF(N114="Dispensado (ADR)",IF(AND(LEFT(Q114,11)="Condicional",W114&lt;&gt;"",S114&lt;&gt;"",ISNUMBER(T114),T114&gt;0,V114&lt;&gt;""),"DISPENSADO","REVISAR"),"PENDENTE"))</f>
        <v/>
      </c>
      <c r="Y114" s="10" t="inlineStr"/>
    </row>
    <row r="115" ht="112" customHeight="1">
      <c r="A115" s="3" t="n">
        <v>114</v>
      </c>
      <c r="B115" s="3" t="inlineStr">
        <is>
          <t>SL-S11-04</t>
        </is>
      </c>
      <c r="C115" s="9" t="inlineStr">
        <is>
          <t>v0.1.0</t>
        </is>
      </c>
      <c r="D115" s="9" t="inlineStr">
        <is>
          <t>S11</t>
        </is>
      </c>
      <c r="E115" s="3" t="inlineStr">
        <is>
          <t>Vault / integração</t>
        </is>
      </c>
      <c r="F115" s="3" t="inlineStr">
        <is>
          <t>Próprio</t>
        </is>
      </c>
      <c r="G115" s="3" t="inlineStr">
        <is>
          <t>Implementação</t>
        </is>
      </c>
      <c r="H115" s="3" t="inlineStr">
        <is>
          <t>Criar exportação canônica</t>
        </is>
      </c>
      <c r="I115" s="3" t="inlineStr">
        <is>
          <t>Exportar manifest, textos, topologia, assets e histórico conforme perfil.</t>
        </is>
      </c>
      <c r="J115" s="3" t="inlineStr">
        <is>
          <t>tooling/vault-cli/export</t>
        </is>
      </c>
      <c r="K115" s="3" t="inlineStr">
        <is>
          <t>Vault exportado valida numa raiz diferente sem dados da máquina original.</t>
        </is>
      </c>
      <c r="L115" s="3" t="inlineStr">
        <is>
          <t>SL-S11-03</t>
        </is>
      </c>
      <c r="M115" s="3" t="inlineStr">
        <is>
          <t>R02; R05; R06; R07; R29; R34</t>
        </is>
      </c>
      <c r="N115" s="10" t="inlineStr">
        <is>
          <t>Não iniciado</t>
        </is>
      </c>
      <c r="O115" s="3" t="inlineStr">
        <is>
          <t>P0</t>
        </is>
      </c>
      <c r="P115" s="3" t="inlineStr">
        <is>
          <t>Crítico</t>
        </is>
      </c>
      <c r="Q115" s="3" t="inlineStr">
        <is>
          <t>Obrigatória no escopo da versão</t>
        </is>
      </c>
      <c r="R115" s="10" t="inlineStr">
        <is>
          <t>Autor + agente de IA</t>
        </is>
      </c>
      <c r="S115" s="10" t="inlineStr"/>
      <c r="T115" s="11" t="inlineStr"/>
      <c r="U115" s="3" t="inlineStr">
        <is>
          <t>reports/S11/SL-S11-04.md</t>
        </is>
      </c>
      <c r="V115" s="10" t="inlineStr"/>
      <c r="W115" s="10" t="inlineStr"/>
      <c r="X115" s="3">
        <f>IF(N115="Concluído",IF(AND(S115&lt;&gt;"",ISNUMBER(T115),T115&gt;0,V115&lt;&gt;"",AND(OR(X114="OK",X114="DISPENSADO"))),"OK","REVISAR"),IF(N115="Dispensado (ADR)",IF(AND(LEFT(Q115,11)="Condicional",W115&lt;&gt;"",S115&lt;&gt;"",ISNUMBER(T115),T115&gt;0,V115&lt;&gt;""),"DISPENSADO","REVISAR"),"PENDENTE"))</f>
        <v/>
      </c>
      <c r="Y115" s="10" t="inlineStr"/>
    </row>
    <row r="116" ht="112" customHeight="1">
      <c r="A116" s="3" t="n">
        <v>115</v>
      </c>
      <c r="B116" s="3" t="inlineStr">
        <is>
          <t>SL-S11-05</t>
        </is>
      </c>
      <c r="C116" s="9" t="inlineStr">
        <is>
          <t>v0.1.0</t>
        </is>
      </c>
      <c r="D116" s="9" t="inlineStr">
        <is>
          <t>S11</t>
        </is>
      </c>
      <c r="E116" s="3" t="inlineStr">
        <is>
          <t>Vault / integração</t>
        </is>
      </c>
      <c r="F116" s="3" t="inlineStr">
        <is>
          <t>Próprio</t>
        </is>
      </c>
      <c r="G116" s="3" t="inlineStr">
        <is>
          <t>Teste</t>
        </is>
      </c>
      <c r="H116" s="3" t="inlineStr">
        <is>
          <t>Executar matriz de crashes</t>
        </is>
      </c>
      <c r="I116" s="3" t="inlineStr">
        <is>
          <t>Interromper commits em todos os pontos instrumentados e comparar resultados.</t>
        </is>
      </c>
      <c r="J116" s="3" t="inlineStr">
        <is>
          <t>reports/v0.1/crash-matrix.json</t>
        </is>
      </c>
      <c r="K116" s="3" t="inlineStr">
        <is>
          <t>Nenhum estado confirmado fica irrecuperável nas falhas modeladas.</t>
        </is>
      </c>
      <c r="L116" s="3" t="inlineStr">
        <is>
          <t>SL-S11-04</t>
        </is>
      </c>
      <c r="M116" s="3" t="inlineStr">
        <is>
          <t>R02; R05; R06; R07; R29; R34</t>
        </is>
      </c>
      <c r="N116" s="10" t="inlineStr">
        <is>
          <t>Não iniciado</t>
        </is>
      </c>
      <c r="O116" s="3" t="inlineStr">
        <is>
          <t>P0</t>
        </is>
      </c>
      <c r="P116" s="3" t="inlineStr">
        <is>
          <t>Crítico</t>
        </is>
      </c>
      <c r="Q116" s="3" t="inlineStr">
        <is>
          <t>Obrigatória no escopo da versão</t>
        </is>
      </c>
      <c r="R116" s="10" t="inlineStr">
        <is>
          <t>Autor + agente de IA</t>
        </is>
      </c>
      <c r="S116" s="10" t="inlineStr"/>
      <c r="T116" s="11" t="inlineStr"/>
      <c r="U116" s="3" t="inlineStr">
        <is>
          <t>reports/S11/SL-S11-05.md</t>
        </is>
      </c>
      <c r="V116" s="10" t="inlineStr"/>
      <c r="W116" s="10" t="inlineStr"/>
      <c r="X116" s="3">
        <f>IF(N116="Concluído",IF(AND(S116&lt;&gt;"",ISNUMBER(T116),T116&gt;0,V116&lt;&gt;"",AND(OR(X115="OK",X115="DISPENSADO"))),"OK","REVISAR"),IF(N116="Dispensado (ADR)",IF(AND(LEFT(Q116,11)="Condicional",W116&lt;&gt;"",S116&lt;&gt;"",ISNUMBER(T116),T116&gt;0,V116&lt;&gt;""),"DISPENSADO","REVISAR"),"PENDENTE"))</f>
        <v/>
      </c>
      <c r="Y116" s="10" t="inlineStr"/>
    </row>
    <row r="117" ht="112" customHeight="1">
      <c r="A117" s="3" t="n">
        <v>116</v>
      </c>
      <c r="B117" s="3" t="inlineStr">
        <is>
          <t>SL-S11-06</t>
        </is>
      </c>
      <c r="C117" s="9" t="inlineStr">
        <is>
          <t>v0.1.0</t>
        </is>
      </c>
      <c r="D117" s="9" t="inlineStr">
        <is>
          <t>S11</t>
        </is>
      </c>
      <c r="E117" s="3" t="inlineStr">
        <is>
          <t>Vault / integração</t>
        </is>
      </c>
      <c r="F117" s="3" t="inlineStr">
        <is>
          <t>Próprio</t>
        </is>
      </c>
      <c r="G117" s="3" t="inlineStr">
        <is>
          <t>Teste</t>
        </is>
      </c>
      <c r="H117" s="3" t="inlineStr">
        <is>
          <t>Executar ensaio de energia/disco</t>
        </is>
      </c>
      <c r="I117" s="3" t="inlineStr">
        <is>
          <t>Documentar setup seguro e limitações; usar ambiente descartável apropriado.</t>
        </is>
      </c>
      <c r="J117" s="3" t="inlineStr">
        <is>
          <t>reports/v0.1/power-failure.md</t>
        </is>
      </c>
      <c r="K117" s="3" t="inlineStr">
        <is>
          <t>Não há afirmação de durabilidade física baseada apenas em matar processo.</t>
        </is>
      </c>
      <c r="L117" s="3" t="inlineStr">
        <is>
          <t>SL-S11-05</t>
        </is>
      </c>
      <c r="M117" s="3" t="inlineStr">
        <is>
          <t>R02; R05; R06; R07; R29; R34</t>
        </is>
      </c>
      <c r="N117" s="10" t="inlineStr">
        <is>
          <t>Não iniciado</t>
        </is>
      </c>
      <c r="O117" s="3" t="inlineStr">
        <is>
          <t>P0</t>
        </is>
      </c>
      <c r="P117" s="3" t="inlineStr">
        <is>
          <t>Crítico</t>
        </is>
      </c>
      <c r="Q117" s="3" t="inlineStr">
        <is>
          <t>Obrigatória no escopo da versão</t>
        </is>
      </c>
      <c r="R117" s="10" t="inlineStr">
        <is>
          <t>Autor + agente de IA</t>
        </is>
      </c>
      <c r="S117" s="10" t="inlineStr"/>
      <c r="T117" s="11" t="inlineStr"/>
      <c r="U117" s="3" t="inlineStr">
        <is>
          <t>reports/S11/SL-S11-06.md</t>
        </is>
      </c>
      <c r="V117" s="10" t="inlineStr"/>
      <c r="W117" s="10" t="inlineStr"/>
      <c r="X117" s="3">
        <f>IF(N117="Concluído",IF(AND(S117&lt;&gt;"",ISNUMBER(T117),T117&gt;0,V117&lt;&gt;"",AND(OR(X116="OK",X116="DISPENSADO"))),"OK","REVISAR"),IF(N117="Dispensado (ADR)",IF(AND(LEFT(Q117,11)="Condicional",W117&lt;&gt;"",S117&lt;&gt;"",ISNUMBER(T117),T117&gt;0,V117&lt;&gt;""),"DISPENSADO","REVISAR"),"PENDENTE"))</f>
        <v/>
      </c>
      <c r="Y117" s="10" t="inlineStr"/>
    </row>
    <row r="118" ht="112" customHeight="1">
      <c r="A118" s="3" t="n">
        <v>117</v>
      </c>
      <c r="B118" s="3" t="inlineStr">
        <is>
          <t>SL-S11-07</t>
        </is>
      </c>
      <c r="C118" s="9" t="inlineStr">
        <is>
          <t>v0.1.0</t>
        </is>
      </c>
      <c r="D118" s="9" t="inlineStr">
        <is>
          <t>S11</t>
        </is>
      </c>
      <c r="E118" s="3" t="inlineStr">
        <is>
          <t>Vault / integração</t>
        </is>
      </c>
      <c r="F118" s="3" t="inlineStr">
        <is>
          <t>Próprio</t>
        </is>
      </c>
      <c r="G118" s="3" t="inlineStr">
        <is>
          <t>Teste</t>
        </is>
      </c>
      <c r="H118" s="3" t="inlineStr">
        <is>
          <t>Apagar todos os caches</t>
        </is>
      </c>
      <c r="I118" s="3" t="inlineStr">
        <is>
          <t>Remover SQL/MPK/projeções previstas e executar a recuperação completa.</t>
        </is>
      </c>
      <c r="J118" s="3" t="inlineStr">
        <is>
          <t>reports/v0.1/cache-destruction.json</t>
        </is>
      </c>
      <c r="K118" s="3" t="inlineStr">
        <is>
          <t>Conteúdo, referências e histórico autoral são preservados byte a byte ou semanticamente conforme contrato.</t>
        </is>
      </c>
      <c r="L118" s="3" t="inlineStr">
        <is>
          <t>SL-S11-06</t>
        </is>
      </c>
      <c r="M118" s="3" t="inlineStr">
        <is>
          <t>R02; R05; R06; R07; R29; R34</t>
        </is>
      </c>
      <c r="N118" s="10" t="inlineStr">
        <is>
          <t>Não iniciado</t>
        </is>
      </c>
      <c r="O118" s="3" t="inlineStr">
        <is>
          <t>P0</t>
        </is>
      </c>
      <c r="P118" s="3" t="inlineStr">
        <is>
          <t>Crítico</t>
        </is>
      </c>
      <c r="Q118" s="3" t="inlineStr">
        <is>
          <t>Obrigatória no escopo da versão</t>
        </is>
      </c>
      <c r="R118" s="10" t="inlineStr">
        <is>
          <t>Autor + agente de IA</t>
        </is>
      </c>
      <c r="S118" s="10" t="inlineStr"/>
      <c r="T118" s="11" t="inlineStr"/>
      <c r="U118" s="3" t="inlineStr">
        <is>
          <t>reports/S11/SL-S11-07.md</t>
        </is>
      </c>
      <c r="V118" s="10" t="inlineStr"/>
      <c r="W118" s="10" t="inlineStr"/>
      <c r="X118" s="3">
        <f>IF(N118="Concluído",IF(AND(S118&lt;&gt;"",ISNUMBER(T118),T118&gt;0,V118&lt;&gt;"",AND(OR(X117="OK",X117="DISPENSADO"))),"OK","REVISAR"),IF(N118="Dispensado (ADR)",IF(AND(LEFT(Q118,11)="Condicional",W118&lt;&gt;"",S118&lt;&gt;"",ISNUMBER(T118),T118&gt;0,V118&lt;&gt;""),"DISPENSADO","REVISAR"),"PENDENTE"))</f>
        <v/>
      </c>
      <c r="Y118" s="10" t="inlineStr"/>
    </row>
    <row r="119" ht="112" customHeight="1">
      <c r="A119" s="3" t="n">
        <v>118</v>
      </c>
      <c r="B119" s="3" t="inlineStr">
        <is>
          <t>SL-S11-08</t>
        </is>
      </c>
      <c r="C119" s="9" t="inlineStr">
        <is>
          <t>v0.1.0</t>
        </is>
      </c>
      <c r="D119" s="9" t="inlineStr">
        <is>
          <t>S11</t>
        </is>
      </c>
      <c r="E119" s="3" t="inlineStr">
        <is>
          <t>Vault / integração</t>
        </is>
      </c>
      <c r="F119" s="3" t="inlineStr">
        <is>
          <t>Próprio</t>
        </is>
      </c>
      <c r="G119" s="3" t="inlineStr">
        <is>
          <t>Documentação</t>
        </is>
      </c>
      <c r="H119" s="3" t="inlineStr">
        <is>
          <t>Escrever manual do formato</t>
        </is>
      </c>
      <c r="I119" s="3" t="inlineStr">
        <is>
          <t>Explicar diretórios, autoridade, recovery e edição externa.</t>
        </is>
      </c>
      <c r="J119" s="3" t="inlineStr">
        <is>
          <t>docs/vault/format-v0.md</t>
        </is>
      </c>
      <c r="K119" s="3" t="inlineStr">
        <is>
          <t>Outro implementador consegue localizar dados sem abrir o app.</t>
        </is>
      </c>
      <c r="L119" s="3" t="inlineStr">
        <is>
          <t>SL-S11-07</t>
        </is>
      </c>
      <c r="M119" s="3" t="inlineStr">
        <is>
          <t>R02; R05; R06; R07; R29; R34</t>
        </is>
      </c>
      <c r="N119" s="10" t="inlineStr">
        <is>
          <t>Não iniciado</t>
        </is>
      </c>
      <c r="O119" s="3" t="inlineStr">
        <is>
          <t>P0</t>
        </is>
      </c>
      <c r="P119" s="3" t="inlineStr">
        <is>
          <t>Crítico</t>
        </is>
      </c>
      <c r="Q119" s="3" t="inlineStr">
        <is>
          <t>Obrigatória no escopo da versão</t>
        </is>
      </c>
      <c r="R119" s="10" t="inlineStr">
        <is>
          <t>Autor + agente de IA</t>
        </is>
      </c>
      <c r="S119" s="10" t="inlineStr"/>
      <c r="T119" s="11" t="inlineStr"/>
      <c r="U119" s="3" t="inlineStr">
        <is>
          <t>reports/S11/SL-S11-08.md</t>
        </is>
      </c>
      <c r="V119" s="10" t="inlineStr"/>
      <c r="W119" s="10" t="inlineStr"/>
      <c r="X119" s="3">
        <f>IF(N119="Concluído",IF(AND(S119&lt;&gt;"",ISNUMBER(T119),T119&gt;0,V119&lt;&gt;"",AND(OR(X118="OK",X118="DISPENSADO"))),"OK","REVISAR"),IF(N119="Dispensado (ADR)",IF(AND(LEFT(Q119,11)="Condicional",W119&lt;&gt;"",S119&lt;&gt;"",ISNUMBER(T119),T119&gt;0,V119&lt;&gt;""),"DISPENSADO","REVISAR"),"PENDENTE"))</f>
        <v/>
      </c>
      <c r="Y119" s="10" t="inlineStr"/>
    </row>
    <row r="120" ht="112" customHeight="1">
      <c r="A120" s="3" t="n">
        <v>119</v>
      </c>
      <c r="B120" s="3" t="inlineStr">
        <is>
          <t>SL-S11-09</t>
        </is>
      </c>
      <c r="C120" s="9" t="inlineStr">
        <is>
          <t>v0.1.0</t>
        </is>
      </c>
      <c r="D120" s="9" t="inlineStr">
        <is>
          <t>S11</t>
        </is>
      </c>
      <c r="E120" s="3" t="inlineStr">
        <is>
          <t>Vault / integração</t>
        </is>
      </c>
      <c r="F120" s="3" t="inlineStr">
        <is>
          <t>Próprio</t>
        </is>
      </c>
      <c r="G120" s="3" t="inlineStr">
        <is>
          <t>Licença</t>
        </is>
      </c>
      <c r="H120" s="3" t="inlineStr">
        <is>
          <t>Empacotar alpha técnica</t>
        </is>
      </c>
      <c r="I120" s="3" t="inlineStr">
        <is>
          <t>Anexar manifests, avisos, fontes e limitações dos alvos efetivamente testados.</t>
        </is>
      </c>
      <c r="J120" s="3" t="inlineStr">
        <is>
          <t>release/v0.1.0/</t>
        </is>
      </c>
      <c r="K120" s="3" t="inlineStr">
        <is>
          <t>Pacote não afirma conter editor/canvas/IA prontos nem homologação ausente.</t>
        </is>
      </c>
      <c r="L120" s="3" t="inlineStr">
        <is>
          <t>SL-S11-08</t>
        </is>
      </c>
      <c r="M120" s="3" t="inlineStr">
        <is>
          <t>R02; R05; R06; R07; R29; R34</t>
        </is>
      </c>
      <c r="N120" s="10" t="inlineStr">
        <is>
          <t>Não iniciado</t>
        </is>
      </c>
      <c r="O120" s="3" t="inlineStr">
        <is>
          <t>P0</t>
        </is>
      </c>
      <c r="P120" s="3" t="inlineStr">
        <is>
          <t>Crítico</t>
        </is>
      </c>
      <c r="Q120" s="3" t="inlineStr">
        <is>
          <t>Obrigatória no escopo da versão</t>
        </is>
      </c>
      <c r="R120" s="10" t="inlineStr">
        <is>
          <t>Autor</t>
        </is>
      </c>
      <c r="S120" s="10" t="inlineStr"/>
      <c r="T120" s="11" t="inlineStr"/>
      <c r="U120" s="3" t="inlineStr">
        <is>
          <t>reports/S11/SL-S11-09.md</t>
        </is>
      </c>
      <c r="V120" s="10" t="inlineStr"/>
      <c r="W120" s="10" t="inlineStr"/>
      <c r="X120" s="3">
        <f>IF(N120="Concluído",IF(AND(S120&lt;&gt;"",ISNUMBER(T120),T120&gt;0,V120&lt;&gt;"",AND(OR(X119="OK",X119="DISPENSADO"))),"OK","REVISAR"),IF(N120="Dispensado (ADR)",IF(AND(LEFT(Q120,11)="Condicional",W120&lt;&gt;"",S120&lt;&gt;"",ISNUMBER(T120),T120&gt;0,V120&lt;&gt;""),"DISPENSADO","REVISAR"),"PENDENTE"))</f>
        <v/>
      </c>
      <c r="Y120" s="10" t="inlineStr"/>
    </row>
    <row r="121" ht="112" customHeight="1">
      <c r="A121" s="3" t="n">
        <v>120</v>
      </c>
      <c r="B121" s="3" t="inlineStr">
        <is>
          <t>SL-S11-10</t>
        </is>
      </c>
      <c r="C121" s="9" t="inlineStr">
        <is>
          <t>v0.1.0</t>
        </is>
      </c>
      <c r="D121" s="9" t="inlineStr">
        <is>
          <t>S11</t>
        </is>
      </c>
      <c r="E121" s="3" t="inlineStr">
        <is>
          <t>Vault / integração</t>
        </is>
      </c>
      <c r="F121" s="3" t="inlineStr">
        <is>
          <t>Próprio</t>
        </is>
      </c>
      <c r="G121" s="3" t="inlineStr">
        <is>
          <t>Teste</t>
        </is>
      </c>
      <c r="H121" s="3" t="inlineStr">
        <is>
          <t>Gravar demonstração de aceite</t>
        </is>
      </c>
      <c r="I121" s="3" t="inlineStr">
        <is>
          <t>Repetir jornada do sprint em instalação de desenvolvimento limpa.</t>
        </is>
      </c>
      <c r="J121" s="3" t="inlineStr">
        <is>
          <t>reports/v0.1/acceptance.md</t>
        </is>
      </c>
      <c r="K121" s="3" t="inlineStr">
        <is>
          <t>Autor aprova com logs, hashes e pendências; problemas de integridade bloqueiam a tag.</t>
        </is>
      </c>
      <c r="L121" s="3" t="inlineStr">
        <is>
          <t>SL-S11-09</t>
        </is>
      </c>
      <c r="M121" s="3" t="inlineStr">
        <is>
          <t>R02; R05; R06; R07; R29; R34</t>
        </is>
      </c>
      <c r="N121" s="10" t="inlineStr">
        <is>
          <t>Não iniciado</t>
        </is>
      </c>
      <c r="O121" s="3" t="inlineStr">
        <is>
          <t>P0</t>
        </is>
      </c>
      <c r="P121" s="3" t="inlineStr">
        <is>
          <t>Crítico</t>
        </is>
      </c>
      <c r="Q121" s="3" t="inlineStr">
        <is>
          <t>Obrigatória no escopo da versão</t>
        </is>
      </c>
      <c r="R121" s="10" t="inlineStr">
        <is>
          <t>Autor + agente de IA</t>
        </is>
      </c>
      <c r="S121" s="10" t="inlineStr"/>
      <c r="T121" s="11" t="inlineStr"/>
      <c r="U121" s="3" t="inlineStr">
        <is>
          <t>reports/S11/SL-S11-10.md</t>
        </is>
      </c>
      <c r="V121" s="10" t="inlineStr"/>
      <c r="W121" s="10" t="inlineStr"/>
      <c r="X121" s="3">
        <f>IF(N121="Concluído",IF(AND(S121&lt;&gt;"",ISNUMBER(T121),T121&gt;0,V121&lt;&gt;"",AND(OR(X120="OK",X120="DISPENSADO"))),"OK","REVISAR"),IF(N121="Dispensado (ADR)",IF(AND(LEFT(Q121,11)="Condicional",W121&lt;&gt;"",S121&lt;&gt;"",ISNUMBER(T121),T121&gt;0,V121&lt;&gt;""),"DISPENSADO","REVISAR"),"PENDENTE"))</f>
        <v/>
      </c>
      <c r="Y121" s="10" t="inlineStr"/>
    </row>
    <row r="122" ht="98" customHeight="1">
      <c r="A122" s="3" t="n">
        <v>121</v>
      </c>
      <c r="B122" s="12" t="inlineStr">
        <is>
          <t>SL-S11-GATE</t>
        </is>
      </c>
      <c r="C122" s="9" t="inlineStr">
        <is>
          <t>v0.1.0</t>
        </is>
      </c>
      <c r="D122" s="9" t="inlineStr">
        <is>
          <t>S11</t>
        </is>
      </c>
      <c r="E122" s="3" t="inlineStr">
        <is>
          <t>Vault / integração</t>
        </is>
      </c>
      <c r="F122" s="3" t="inlineStr">
        <is>
          <t>Aceite humano</t>
        </is>
      </c>
      <c r="G122" s="12" t="inlineStr">
        <is>
          <t>Gate</t>
        </is>
      </c>
      <c r="H122" s="12" t="inlineStr">
        <is>
          <t>Aceitar S11 — Concluir v0.1: recuperação e diagnóstico do Vault</t>
        </is>
      </c>
      <c r="I122" s="3" t="inlineStr">
        <is>
          <t>Revisar as dez tarefas, executar a demonstração do sprint, confrontar critérios e registrar decisão go/no-go.</t>
        </is>
      </c>
      <c r="J122" s="3" t="inlineStr">
        <is>
          <t>reports/S11/acceptance.md</t>
        </is>
      </c>
      <c r="K122" s="3" t="inlineStr">
        <is>
          <t>Criar, modificar, corromper um cache, reconstruir e exportar um Vault local. Todas as dependências aceitas; evidências vinculadas a revisão/ambiente; nenhum blocker de integridade/segurança.</t>
        </is>
      </c>
      <c r="L122" s="3" t="inlineStr">
        <is>
          <t>SL-S11-01; SL-S11-02; SL-S11-03; SL-S11-04; SL-S11-05; SL-S11-06; SL-S11-07; SL-S11-08; SL-S11-09; SL-S11-10</t>
        </is>
      </c>
      <c r="M122" s="3" t="inlineStr">
        <is>
          <t>R02; R05; R06; R07; R29; R34</t>
        </is>
      </c>
      <c r="N122" s="10" t="inlineStr">
        <is>
          <t>Não iniciado</t>
        </is>
      </c>
      <c r="O122" s="3" t="inlineStr">
        <is>
          <t>P0</t>
        </is>
      </c>
      <c r="P122" s="3" t="inlineStr">
        <is>
          <t>Crítico</t>
        </is>
      </c>
      <c r="Q122" s="3" t="inlineStr">
        <is>
          <t>Obrigatória para fechar a versão aprovada</t>
        </is>
      </c>
      <c r="R122" s="10" t="inlineStr">
        <is>
          <t>Autor</t>
        </is>
      </c>
      <c r="S122" s="10" t="inlineStr"/>
      <c r="T122" s="11" t="inlineStr"/>
      <c r="U122" s="3" t="inlineStr">
        <is>
          <t>reports/S11/acceptance.md</t>
        </is>
      </c>
      <c r="V122" s="10" t="inlineStr"/>
      <c r="W122" s="10" t="inlineStr"/>
      <c r="X122" s="3">
        <f>IF(N122="Concluído",IF(AND(S122&lt;&gt;"",ISNUMBER(T122),T122&gt;0,V122&lt;&gt;"",AND(OR(X112="OK",X112="DISPENSADO"),OR(X113="OK",X113="DISPENSADO"),OR(X114="OK",X114="DISPENSADO"),OR(X115="OK",X115="DISPENSADO"),OR(X116="OK",X116="DISPENSADO"),OR(X117="OK",X117="DISPENSADO"),OR(X118="OK",X118="DISPENSADO"),OR(X119="OK",X119="DISPENSADO"),OR(X120="OK",X120="DISPENSADO"),OR(X121="OK",X121="DISPENSADO"))),"OK","REVISAR"),IF(N122="Dispensado (ADR)",IF(AND(LEFT(Q122,11)="Condicional",W122&lt;&gt;"",S122&lt;&gt;"",ISNUMBER(T122),T122&gt;0,V122&lt;&gt;""),"DISPENSADO","REVISAR"),"PENDENTE"))</f>
        <v/>
      </c>
      <c r="Y122" s="10" t="inlineStr"/>
    </row>
    <row r="123" ht="112" customHeight="1">
      <c r="A123" s="3" t="n">
        <v>122</v>
      </c>
      <c r="B123" s="3" t="inlineStr">
        <is>
          <t>SL-S12-01</t>
        </is>
      </c>
      <c r="C123" s="9" t="inlineStr">
        <is>
          <t>v0.2.0</t>
        </is>
      </c>
      <c r="D123" s="9" t="inlineStr">
        <is>
          <t>S12</t>
        </is>
      </c>
      <c r="E123" s="3" t="inlineStr">
        <is>
          <t>BlockSuite / upstream</t>
        </is>
      </c>
      <c r="F123" s="3" t="inlineStr">
        <is>
          <t>Desconstrução</t>
        </is>
      </c>
      <c r="G123" s="3" t="inlineStr">
        <is>
          <t>Upstream</t>
        </is>
      </c>
      <c r="H123" s="3" t="inlineStr">
        <is>
          <t>Revalidar origem e revisão</t>
        </is>
      </c>
      <c r="I123" s="3" t="inlineStr">
        <is>
          <t>Escolher release/commit e árvore standalone/AFFiNE após auditar o recorte.</t>
        </is>
      </c>
      <c r="J123" s="3" t="inlineStr">
        <is>
          <t>upstream/blocksuite/manifest.json</t>
        </is>
      </c>
      <c r="K123" s="3" t="inlineStr">
        <is>
          <t>Revisão imutável e licenças por arquivo registradas; nenhuma decisão depende de canary flutuante.</t>
        </is>
      </c>
      <c r="L123" s="3" t="inlineStr">
        <is>
          <t>SL-S03-GATE; SL-S04-GATE; SL-S06-GATE; SL-S11-GATE</t>
        </is>
      </c>
      <c r="M123" s="3" t="inlineStr">
        <is>
          <t>R03; R10; R30; R33; R34</t>
        </is>
      </c>
      <c r="N123" s="10" t="inlineStr">
        <is>
          <t>Não iniciado</t>
        </is>
      </c>
      <c r="O123" s="3" t="inlineStr">
        <is>
          <t>P0</t>
        </is>
      </c>
      <c r="P123" s="3" t="inlineStr">
        <is>
          <t>Crítico</t>
        </is>
      </c>
      <c r="Q123" s="3" t="inlineStr">
        <is>
          <t>Obrigatória no escopo da versão</t>
        </is>
      </c>
      <c r="R123" s="10" t="inlineStr">
        <is>
          <t>Autor + agente de IA</t>
        </is>
      </c>
      <c r="S123" s="10" t="inlineStr"/>
      <c r="T123" s="11" t="inlineStr"/>
      <c r="U123" s="3" t="inlineStr">
        <is>
          <t>reports/S12/SL-S12-01.md</t>
        </is>
      </c>
      <c r="V123" s="10" t="inlineStr"/>
      <c r="W123" s="10" t="inlineStr"/>
      <c r="X123" s="3">
        <f>IF(N123="Concluído",IF(AND(S123&lt;&gt;"",ISNUMBER(T123),T123&gt;0,V123&lt;&gt;"",AND(OR(X34="OK",X34="DISPENSADO"),OR(X45="OK",X45="DISPENSADO"),OR(X67="OK",X67="DISPENSADO"),OR(X122="OK",X122="DISPENSADO"))),"OK","REVISAR"),IF(N123="Dispensado (ADR)",IF(AND(LEFT(Q123,11)="Condicional",W123&lt;&gt;"",S123&lt;&gt;"",ISNUMBER(T123),T123&gt;0,V123&lt;&gt;""),"DISPENSADO","REVISAR"),"PENDENTE"))</f>
        <v/>
      </c>
      <c r="Y123" s="10" t="inlineStr"/>
    </row>
    <row r="124" ht="112" customHeight="1">
      <c r="A124" s="3" t="n">
        <v>123</v>
      </c>
      <c r="B124" s="3" t="inlineStr">
        <is>
          <t>SL-S12-02</t>
        </is>
      </c>
      <c r="C124" s="9" t="inlineStr">
        <is>
          <t>v0.2.0</t>
        </is>
      </c>
      <c r="D124" s="9" t="inlineStr">
        <is>
          <t>S12</t>
        </is>
      </c>
      <c r="E124" s="3" t="inlineStr">
        <is>
          <t>BlockSuite / upstream</t>
        </is>
      </c>
      <c r="F124" s="3" t="inlineStr">
        <is>
          <t>Desconstrução</t>
        </is>
      </c>
      <c r="G124" s="3" t="inlineStr">
        <is>
          <t>Upstream</t>
        </is>
      </c>
      <c r="H124" s="3" t="inlineStr">
        <is>
          <t>Reproduzir exemplo upstream</t>
        </is>
      </c>
      <c r="I124" s="3" t="inlineStr">
        <is>
          <t>Executar editor mínimo com fixtures antes de modificar código.</t>
        </is>
      </c>
      <c r="J124" s="3" t="inlineStr">
        <is>
          <t>reports/blocksuite/upstream-baseline.md</t>
        </is>
      </c>
      <c r="K124" s="3" t="inlineStr">
        <is>
          <t>Ambiente, comandos e comportamento original registrados; falha de origem não é atribuída ao adapter.</t>
        </is>
      </c>
      <c r="L124" s="3" t="inlineStr">
        <is>
          <t>SL-S12-01</t>
        </is>
      </c>
      <c r="M124" s="3" t="inlineStr">
        <is>
          <t>R03; R10; R30; R33; R34</t>
        </is>
      </c>
      <c r="N124" s="10" t="inlineStr">
        <is>
          <t>Não iniciado</t>
        </is>
      </c>
      <c r="O124" s="3" t="inlineStr">
        <is>
          <t>P0</t>
        </is>
      </c>
      <c r="P124" s="3" t="inlineStr">
        <is>
          <t>Crítico</t>
        </is>
      </c>
      <c r="Q124" s="3" t="inlineStr">
        <is>
          <t>Obrigatória no escopo da versão</t>
        </is>
      </c>
      <c r="R124" s="10" t="inlineStr">
        <is>
          <t>Autor + agente de IA</t>
        </is>
      </c>
      <c r="S124" s="10" t="inlineStr"/>
      <c r="T124" s="11" t="inlineStr"/>
      <c r="U124" s="3" t="inlineStr">
        <is>
          <t>reports/S12/SL-S12-02.md</t>
        </is>
      </c>
      <c r="V124" s="10" t="inlineStr"/>
      <c r="W124" s="10" t="inlineStr"/>
      <c r="X124" s="3">
        <f>IF(N124="Concluído",IF(AND(S124&lt;&gt;"",ISNUMBER(T124),T124&gt;0,V124&lt;&gt;"",AND(OR(X123="OK",X123="DISPENSADO"))),"OK","REVISAR"),IF(N124="Dispensado (ADR)",IF(AND(LEFT(Q124,11)="Condicional",W124&lt;&gt;"",S124&lt;&gt;"",ISNUMBER(T124),T124&gt;0,V124&lt;&gt;""),"DISPENSADO","REVISAR"),"PENDENTE"))</f>
        <v/>
      </c>
      <c r="Y124" s="10" t="inlineStr"/>
    </row>
    <row r="125" ht="112" customHeight="1">
      <c r="A125" s="3" t="n">
        <v>124</v>
      </c>
      <c r="B125" s="3" t="inlineStr">
        <is>
          <t>SL-S12-03</t>
        </is>
      </c>
      <c r="C125" s="9" t="inlineStr">
        <is>
          <t>v0.2.0</t>
        </is>
      </c>
      <c r="D125" s="9" t="inlineStr">
        <is>
          <t>S12</t>
        </is>
      </c>
      <c r="E125" s="3" t="inlineStr">
        <is>
          <t>BlockSuite / upstream</t>
        </is>
      </c>
      <c r="F125" s="3" t="inlineStr">
        <is>
          <t>Desconstrução</t>
        </is>
      </c>
      <c r="G125" s="3" t="inlineStr">
        <is>
          <t>Upstream</t>
        </is>
      </c>
      <c r="H125" s="3" t="inlineStr">
        <is>
          <t>Mapear grafo mínimo</t>
        </is>
      </c>
      <c r="I125" s="3" t="inlineStr">
        <is>
          <t>Rastrear store, std, rich-text, modelos, blocos e dependências workspace.</t>
        </is>
      </c>
      <c r="J125" s="3" t="inlineStr">
        <is>
          <t>upstream/blocksuite/dependency-graph.json</t>
        </is>
      </c>
      <c r="K125" s="3" t="inlineStr">
        <is>
          <t>Todas as dependências de runtime têm origem; copiar três diretórios não é presumido suficiente.</t>
        </is>
      </c>
      <c r="L125" s="3" t="inlineStr">
        <is>
          <t>SL-S12-02</t>
        </is>
      </c>
      <c r="M125" s="3" t="inlineStr">
        <is>
          <t>R03; R10; R30; R33; R34</t>
        </is>
      </c>
      <c r="N125" s="10" t="inlineStr">
        <is>
          <t>Não iniciado</t>
        </is>
      </c>
      <c r="O125" s="3" t="inlineStr">
        <is>
          <t>P0</t>
        </is>
      </c>
      <c r="P125" s="3" t="inlineStr">
        <is>
          <t>Crítico</t>
        </is>
      </c>
      <c r="Q125" s="3" t="inlineStr">
        <is>
          <t>Obrigatória no escopo da versão</t>
        </is>
      </c>
      <c r="R125" s="10" t="inlineStr">
        <is>
          <t>Autor + agente de IA</t>
        </is>
      </c>
      <c r="S125" s="10" t="inlineStr"/>
      <c r="T125" s="11" t="inlineStr"/>
      <c r="U125" s="3" t="inlineStr">
        <is>
          <t>reports/S12/SL-S12-03.md</t>
        </is>
      </c>
      <c r="V125" s="10" t="inlineStr"/>
      <c r="W125" s="10" t="inlineStr"/>
      <c r="X125" s="3">
        <f>IF(N125="Concluído",IF(AND(S125&lt;&gt;"",ISNUMBER(T125),T125&gt;0,V125&lt;&gt;"",AND(OR(X124="OK",X124="DISPENSADO"))),"OK","REVISAR"),IF(N125="Dispensado (ADR)",IF(AND(LEFT(Q125,11)="Condicional",W125&lt;&gt;"",S125&lt;&gt;"",ISNUMBER(T125),T125&gt;0,V125&lt;&gt;""),"DISPENSADO","REVISAR"),"PENDENTE"))</f>
        <v/>
      </c>
      <c r="Y125" s="10" t="inlineStr"/>
    </row>
    <row r="126" ht="112" customHeight="1">
      <c r="A126" s="3" t="n">
        <v>125</v>
      </c>
      <c r="B126" s="3" t="inlineStr">
        <is>
          <t>SL-S12-04</t>
        </is>
      </c>
      <c r="C126" s="9" t="inlineStr">
        <is>
          <t>v0.2.0</t>
        </is>
      </c>
      <c r="D126" s="9" t="inlineStr">
        <is>
          <t>S12</t>
        </is>
      </c>
      <c r="E126" s="3" t="inlineStr">
        <is>
          <t>BlockSuite / upstream</t>
        </is>
      </c>
      <c r="F126" s="3" t="inlineStr">
        <is>
          <t>Desconstrução</t>
        </is>
      </c>
      <c r="G126" s="3" t="inlineStr">
        <is>
          <t>Upstream</t>
        </is>
      </c>
      <c r="H126" s="3" t="inlineStr">
        <is>
          <t>Classificar componentes</t>
        </is>
      </c>
      <c r="I126" s="3" t="inlineStr">
        <is>
          <t>Separar edição, sync, gfx, copilot, cloud e componentes dependentes da aplicação.</t>
        </is>
      </c>
      <c r="J126" s="3" t="inlineStr">
        <is>
          <t>docs/upstream/blocksuite-boundaries.md</t>
        </is>
      </c>
      <c r="K126" s="3" t="inlineStr">
        <is>
          <t>Funcionalidades excluídas não reentram por import agregador não auditado.</t>
        </is>
      </c>
      <c r="L126" s="3" t="inlineStr">
        <is>
          <t>SL-S12-03</t>
        </is>
      </c>
      <c r="M126" s="3" t="inlineStr">
        <is>
          <t>R03; R10; R30; R33; R34</t>
        </is>
      </c>
      <c r="N126" s="10" t="inlineStr">
        <is>
          <t>Não iniciado</t>
        </is>
      </c>
      <c r="O126" s="3" t="inlineStr">
        <is>
          <t>P0</t>
        </is>
      </c>
      <c r="P126" s="3" t="inlineStr">
        <is>
          <t>Crítico</t>
        </is>
      </c>
      <c r="Q126" s="3" t="inlineStr">
        <is>
          <t>Obrigatória no escopo da versão</t>
        </is>
      </c>
      <c r="R126" s="10" t="inlineStr">
        <is>
          <t>Autor + agente de IA</t>
        </is>
      </c>
      <c r="S126" s="10" t="inlineStr"/>
      <c r="T126" s="11" t="inlineStr"/>
      <c r="U126" s="3" t="inlineStr">
        <is>
          <t>reports/S12/SL-S12-04.md</t>
        </is>
      </c>
      <c r="V126" s="10" t="inlineStr"/>
      <c r="W126" s="10" t="inlineStr"/>
      <c r="X126" s="3">
        <f>IF(N126="Concluído",IF(AND(S126&lt;&gt;"",ISNUMBER(T126),T126&gt;0,V126&lt;&gt;"",AND(OR(X125="OK",X125="DISPENSADO"))),"OK","REVISAR"),IF(N126="Dispensado (ADR)",IF(AND(LEFT(Q126,11)="Condicional",W126&lt;&gt;"",S126&lt;&gt;"",ISNUMBER(T126),T126&gt;0,V126&lt;&gt;""),"DISPENSADO","REVISAR"),"PENDENTE"))</f>
        <v/>
      </c>
      <c r="Y126" s="10" t="inlineStr"/>
    </row>
    <row r="127" ht="112" customHeight="1">
      <c r="A127" s="3" t="n">
        <v>126</v>
      </c>
      <c r="B127" s="3" t="inlineStr">
        <is>
          <t>SL-S12-05</t>
        </is>
      </c>
      <c r="C127" s="9" t="inlineStr">
        <is>
          <t>v0.2.0</t>
        </is>
      </c>
      <c r="D127" s="9" t="inlineStr">
        <is>
          <t>S12</t>
        </is>
      </c>
      <c r="E127" s="3" t="inlineStr">
        <is>
          <t>BlockSuite / upstream</t>
        </is>
      </c>
      <c r="F127" s="3" t="inlineStr">
        <is>
          <t>Desconstrução</t>
        </is>
      </c>
      <c r="G127" s="3" t="inlineStr">
        <is>
          <t>Implementação</t>
        </is>
      </c>
      <c r="H127" s="3" t="inlineStr">
        <is>
          <t>Criar pacote facade</t>
        </is>
      </c>
      <c r="I127" s="3" t="inlineStr">
        <is>
          <t>Expor criação/destruição, snapshot, comandos e eventos necessários ao Sandland.</t>
        </is>
      </c>
      <c r="J127" s="3" t="inlineStr">
        <is>
          <t>adapters/blocksuite/</t>
        </is>
      </c>
      <c r="K127" s="3" t="inlineStr">
        <is>
          <t>App não importa internals espalhados por toda a UI.</t>
        </is>
      </c>
      <c r="L127" s="3" t="inlineStr">
        <is>
          <t>SL-S12-04</t>
        </is>
      </c>
      <c r="M127" s="3" t="inlineStr">
        <is>
          <t>R03; R10; R30; R33; R34</t>
        </is>
      </c>
      <c r="N127" s="10" t="inlineStr">
        <is>
          <t>Não iniciado</t>
        </is>
      </c>
      <c r="O127" s="3" t="inlineStr">
        <is>
          <t>P0</t>
        </is>
      </c>
      <c r="P127" s="3" t="inlineStr">
        <is>
          <t>Crítico</t>
        </is>
      </c>
      <c r="Q127" s="3" t="inlineStr">
        <is>
          <t>Obrigatória no escopo da versão</t>
        </is>
      </c>
      <c r="R127" s="10" t="inlineStr">
        <is>
          <t>Autor + agente de IA</t>
        </is>
      </c>
      <c r="S127" s="10" t="inlineStr"/>
      <c r="T127" s="11" t="inlineStr"/>
      <c r="U127" s="3" t="inlineStr">
        <is>
          <t>reports/S12/SL-S12-05.md</t>
        </is>
      </c>
      <c r="V127" s="10" t="inlineStr"/>
      <c r="W127" s="10" t="inlineStr"/>
      <c r="X127" s="3">
        <f>IF(N127="Concluído",IF(AND(S127&lt;&gt;"",ISNUMBER(T127),T127&gt;0,V127&lt;&gt;"",AND(OR(X126="OK",X126="DISPENSADO"))),"OK","REVISAR"),IF(N127="Dispensado (ADR)",IF(AND(LEFT(Q127,11)="Condicional",W127&lt;&gt;"",S127&lt;&gt;"",ISNUMBER(T127),T127&gt;0,V127&lt;&gt;""),"DISPENSADO","REVISAR"),"PENDENTE"))</f>
        <v/>
      </c>
      <c r="Y127" s="10" t="inlineStr"/>
    </row>
    <row r="128" ht="112" customHeight="1">
      <c r="A128" s="3" t="n">
        <v>127</v>
      </c>
      <c r="B128" s="3" t="inlineStr">
        <is>
          <t>SL-S12-06</t>
        </is>
      </c>
      <c r="C128" s="9" t="inlineStr">
        <is>
          <t>v0.2.0</t>
        </is>
      </c>
      <c r="D128" s="9" t="inlineStr">
        <is>
          <t>S12</t>
        </is>
      </c>
      <c r="E128" s="3" t="inlineStr">
        <is>
          <t>BlockSuite / upstream</t>
        </is>
      </c>
      <c r="F128" s="3" t="inlineStr">
        <is>
          <t>Desconstrução</t>
        </is>
      </c>
      <c r="G128" s="3" t="inlineStr">
        <is>
          <t>Implementação</t>
        </is>
      </c>
      <c r="H128" s="3" t="inlineStr">
        <is>
          <t>Fechar resolução de pacotes</t>
        </is>
      </c>
      <c r="I128" s="3" t="inlineStr">
        <is>
          <t>Resolver workspace deps, assets e registro de custom elements sem duplicar Yjs.</t>
        </is>
      </c>
      <c r="J128" s="3" t="inlineStr">
        <is>
          <t>adapters/blocksuite/build/</t>
        </is>
      </c>
      <c r="K128" s="3" t="inlineStr">
        <is>
          <t>Build fora da árvore AFFiNE é reproduzível e não contém imports não resolvidos.</t>
        </is>
      </c>
      <c r="L128" s="3" t="inlineStr">
        <is>
          <t>SL-S12-05</t>
        </is>
      </c>
      <c r="M128" s="3" t="inlineStr">
        <is>
          <t>R03; R10; R30; R33; R34</t>
        </is>
      </c>
      <c r="N128" s="10" t="inlineStr">
        <is>
          <t>Não iniciado</t>
        </is>
      </c>
      <c r="O128" s="3" t="inlineStr">
        <is>
          <t>P0</t>
        </is>
      </c>
      <c r="P128" s="3" t="inlineStr">
        <is>
          <t>Crítico</t>
        </is>
      </c>
      <c r="Q128" s="3" t="inlineStr">
        <is>
          <t>Obrigatória no escopo da versão</t>
        </is>
      </c>
      <c r="R128" s="10" t="inlineStr">
        <is>
          <t>Autor + agente de IA</t>
        </is>
      </c>
      <c r="S128" s="10" t="inlineStr"/>
      <c r="T128" s="11" t="inlineStr"/>
      <c r="U128" s="3" t="inlineStr">
        <is>
          <t>reports/S12/SL-S12-06.md</t>
        </is>
      </c>
      <c r="V128" s="10" t="inlineStr"/>
      <c r="W128" s="10" t="inlineStr"/>
      <c r="X128" s="3">
        <f>IF(N128="Concluído",IF(AND(S128&lt;&gt;"",ISNUMBER(T128),T128&gt;0,V128&lt;&gt;"",AND(OR(X127="OK",X127="DISPENSADO"))),"OK","REVISAR"),IF(N128="Dispensado (ADR)",IF(AND(LEFT(Q128,11)="Condicional",W128&lt;&gt;"",S128&lt;&gt;"",ISNUMBER(T128),T128&gt;0,V128&lt;&gt;""),"DISPENSADO","REVISAR"),"PENDENTE"))</f>
        <v/>
      </c>
      <c r="Y128" s="10" t="inlineStr"/>
    </row>
    <row r="129" ht="112" customHeight="1">
      <c r="A129" s="3" t="n">
        <v>128</v>
      </c>
      <c r="B129" s="3" t="inlineStr">
        <is>
          <t>SL-S12-07</t>
        </is>
      </c>
      <c r="C129" s="9" t="inlineStr">
        <is>
          <t>v0.2.0</t>
        </is>
      </c>
      <c r="D129" s="9" t="inlineStr">
        <is>
          <t>S12</t>
        </is>
      </c>
      <c r="E129" s="3" t="inlineStr">
        <is>
          <t>BlockSuite / upstream</t>
        </is>
      </c>
      <c r="F129" s="3" t="inlineStr">
        <is>
          <t>Desconstrução</t>
        </is>
      </c>
      <c r="G129" s="3" t="inlineStr">
        <is>
          <t>Implementação</t>
        </is>
      </c>
      <c r="H129" s="3" t="inlineStr">
        <is>
          <t>Definir patch set mínimo</t>
        </is>
      </c>
      <c r="I129" s="3" t="inlineStr">
        <is>
          <t>Isolar mudanças indispensáveis e manter comparação contra upstream.</t>
        </is>
      </c>
      <c r="J129" s="3" t="inlineStr">
        <is>
          <t>upstream/blocksuite/patches/</t>
        </is>
      </c>
      <c r="K129" s="3" t="inlineStr">
        <is>
          <t>Cada patch tem motivação/teste; removê-lo revela apenas a diferença documentada.</t>
        </is>
      </c>
      <c r="L129" s="3" t="inlineStr">
        <is>
          <t>SL-S12-06</t>
        </is>
      </c>
      <c r="M129" s="3" t="inlineStr">
        <is>
          <t>R03; R10; R30; R33; R34</t>
        </is>
      </c>
      <c r="N129" s="10" t="inlineStr">
        <is>
          <t>Não iniciado</t>
        </is>
      </c>
      <c r="O129" s="3" t="inlineStr">
        <is>
          <t>P0</t>
        </is>
      </c>
      <c r="P129" s="3" t="inlineStr">
        <is>
          <t>Crítico</t>
        </is>
      </c>
      <c r="Q129" s="3" t="inlineStr">
        <is>
          <t>Obrigatória no escopo da versão</t>
        </is>
      </c>
      <c r="R129" s="10" t="inlineStr">
        <is>
          <t>Autor + agente de IA</t>
        </is>
      </c>
      <c r="S129" s="10" t="inlineStr"/>
      <c r="T129" s="11" t="inlineStr"/>
      <c r="U129" s="3" t="inlineStr">
        <is>
          <t>reports/S12/SL-S12-07.md</t>
        </is>
      </c>
      <c r="V129" s="10" t="inlineStr"/>
      <c r="W129" s="10" t="inlineStr"/>
      <c r="X129" s="3">
        <f>IF(N129="Concluído",IF(AND(S129&lt;&gt;"",ISNUMBER(T129),T129&gt;0,V129&lt;&gt;"",AND(OR(X128="OK",X128="DISPENSADO"))),"OK","REVISAR"),IF(N129="Dispensado (ADR)",IF(AND(LEFT(Q129,11)="Condicional",W129&lt;&gt;"",S129&lt;&gt;"",ISNUMBER(T129),T129&gt;0,V129&lt;&gt;""),"DISPENSADO","REVISAR"),"PENDENTE"))</f>
        <v/>
      </c>
      <c r="Y129" s="10" t="inlineStr"/>
    </row>
    <row r="130" ht="112" customHeight="1">
      <c r="A130" s="3" t="n">
        <v>129</v>
      </c>
      <c r="B130" s="3" t="inlineStr">
        <is>
          <t>SL-S12-08</t>
        </is>
      </c>
      <c r="C130" s="9" t="inlineStr">
        <is>
          <t>v0.2.0</t>
        </is>
      </c>
      <c r="D130" s="9" t="inlineStr">
        <is>
          <t>S12</t>
        </is>
      </c>
      <c r="E130" s="3" t="inlineStr">
        <is>
          <t>BlockSuite / upstream</t>
        </is>
      </c>
      <c r="F130" s="3" t="inlineStr">
        <is>
          <t>Desconstrução</t>
        </is>
      </c>
      <c r="G130" s="3" t="inlineStr">
        <is>
          <t>Teste</t>
        </is>
      </c>
      <c r="H130" s="3" t="inlineStr">
        <is>
          <t>Testar ciclo mount/unmount</t>
        </is>
      </c>
      <c r="I130" s="3" t="inlineStr">
        <is>
          <t>Montar/desmontar editores repetidamente e verificar observers/listeners.</t>
        </is>
      </c>
      <c r="J130" s="3" t="inlineStr">
        <is>
          <t>tests/editor/lifecycle/</t>
        </is>
      </c>
      <c r="K130" s="3" t="inlineStr">
        <is>
          <t>Editor destruído não recebe eventos nem mantém documentos órfãos conhecidos.</t>
        </is>
      </c>
      <c r="L130" s="3" t="inlineStr">
        <is>
          <t>SL-S12-07</t>
        </is>
      </c>
      <c r="M130" s="3" t="inlineStr">
        <is>
          <t>R03; R10; R30; R33; R34</t>
        </is>
      </c>
      <c r="N130" s="10" t="inlineStr">
        <is>
          <t>Não iniciado</t>
        </is>
      </c>
      <c r="O130" s="3" t="inlineStr">
        <is>
          <t>P0</t>
        </is>
      </c>
      <c r="P130" s="3" t="inlineStr">
        <is>
          <t>Crítico</t>
        </is>
      </c>
      <c r="Q130" s="3" t="inlineStr">
        <is>
          <t>Obrigatória no escopo da versão</t>
        </is>
      </c>
      <c r="R130" s="10" t="inlineStr">
        <is>
          <t>Autor + agente de IA</t>
        </is>
      </c>
      <c r="S130" s="10" t="inlineStr"/>
      <c r="T130" s="11" t="inlineStr"/>
      <c r="U130" s="3" t="inlineStr">
        <is>
          <t>reports/S12/SL-S12-08.md</t>
        </is>
      </c>
      <c r="V130" s="10" t="inlineStr"/>
      <c r="W130" s="10" t="inlineStr"/>
      <c r="X130" s="3">
        <f>IF(N130="Concluído",IF(AND(S130&lt;&gt;"",ISNUMBER(T130),T130&gt;0,V130&lt;&gt;"",AND(OR(X129="OK",X129="DISPENSADO"))),"OK","REVISAR"),IF(N130="Dispensado (ADR)",IF(AND(LEFT(Q130,11)="Condicional",W130&lt;&gt;"",S130&lt;&gt;"",ISNUMBER(T130),T130&gt;0,V130&lt;&gt;""),"DISPENSADO","REVISAR"),"PENDENTE"))</f>
        <v/>
      </c>
      <c r="Y130" s="10" t="inlineStr"/>
    </row>
    <row r="131" ht="112" customHeight="1">
      <c r="A131" s="3" t="n">
        <v>130</v>
      </c>
      <c r="B131" s="3" t="inlineStr">
        <is>
          <t>SL-S12-09</t>
        </is>
      </c>
      <c r="C131" s="9" t="inlineStr">
        <is>
          <t>v0.2.0</t>
        </is>
      </c>
      <c r="D131" s="9" t="inlineStr">
        <is>
          <t>S12</t>
        </is>
      </c>
      <c r="E131" s="3" t="inlineStr">
        <is>
          <t>BlockSuite / upstream</t>
        </is>
      </c>
      <c r="F131" s="3" t="inlineStr">
        <is>
          <t>Desconstrução</t>
        </is>
      </c>
      <c r="G131" s="3" t="inlineStr">
        <is>
          <t>Decisão</t>
        </is>
      </c>
      <c r="H131" s="3" t="inlineStr">
        <is>
          <t>Aprovar ADR editorial</t>
        </is>
      </c>
      <c r="I131" s="3" t="inlineStr">
        <is>
          <t>Fixar versão, recorte, risco, estratégia de atualização e fronteira com PixiJS.</t>
        </is>
      </c>
      <c r="J131" s="3" t="inlineStr">
        <is>
          <t>docs/adr/008-editor-engine.md</t>
        </is>
      </c>
      <c r="K131" s="3" t="inlineStr">
        <is>
          <t>Autor ratifica recorte; segundo canvas completo não é incorporado.</t>
        </is>
      </c>
      <c r="L131" s="3" t="inlineStr">
        <is>
          <t>SL-S12-08</t>
        </is>
      </c>
      <c r="M131" s="3" t="inlineStr">
        <is>
          <t>R03; R10; R30; R33; R34</t>
        </is>
      </c>
      <c r="N131" s="10" t="inlineStr">
        <is>
          <t>Não iniciado</t>
        </is>
      </c>
      <c r="O131" s="3" t="inlineStr">
        <is>
          <t>P0</t>
        </is>
      </c>
      <c r="P131" s="3" t="inlineStr">
        <is>
          <t>Crítico</t>
        </is>
      </c>
      <c r="Q131" s="3" t="inlineStr">
        <is>
          <t>Obrigatória no escopo da versão</t>
        </is>
      </c>
      <c r="R131" s="10" t="inlineStr">
        <is>
          <t>Autor</t>
        </is>
      </c>
      <c r="S131" s="10" t="inlineStr"/>
      <c r="T131" s="11" t="inlineStr"/>
      <c r="U131" s="3" t="inlineStr">
        <is>
          <t>reports/S12/SL-S12-09.md</t>
        </is>
      </c>
      <c r="V131" s="10" t="inlineStr"/>
      <c r="W131" s="10" t="inlineStr"/>
      <c r="X131" s="3">
        <f>IF(N131="Concluído",IF(AND(S131&lt;&gt;"",ISNUMBER(T131),T131&gt;0,V131&lt;&gt;"",AND(OR(X130="OK",X130="DISPENSADO"))),"OK","REVISAR"),IF(N131="Dispensado (ADR)",IF(AND(LEFT(Q131,11)="Condicional",W131&lt;&gt;"",S131&lt;&gt;"",ISNUMBER(T131),T131&gt;0,V131&lt;&gt;""),"DISPENSADO","REVISAR"),"PENDENTE"))</f>
        <v/>
      </c>
      <c r="Y131" s="10" t="inlineStr"/>
    </row>
    <row r="132" ht="112" customHeight="1">
      <c r="A132" s="3" t="n">
        <v>131</v>
      </c>
      <c r="B132" s="3" t="inlineStr">
        <is>
          <t>SL-S12-10</t>
        </is>
      </c>
      <c r="C132" s="9" t="inlineStr">
        <is>
          <t>v0.2.0</t>
        </is>
      </c>
      <c r="D132" s="9" t="inlineStr">
        <is>
          <t>S12</t>
        </is>
      </c>
      <c r="E132" s="3" t="inlineStr">
        <is>
          <t>BlockSuite / upstream</t>
        </is>
      </c>
      <c r="F132" s="3" t="inlineStr">
        <is>
          <t>Desconstrução</t>
        </is>
      </c>
      <c r="G132" s="3" t="inlineStr">
        <is>
          <t>Teste</t>
        </is>
      </c>
      <c r="H132" s="3" t="inlineStr">
        <is>
          <t>Medir pacote isolado</t>
        </is>
      </c>
      <c r="I132" s="3" t="inlineStr">
        <is>
          <t>Registrar bundle, memória e dependências carregadas sem app completo.</t>
        </is>
      </c>
      <c r="J132" s="3" t="inlineStr">
        <is>
          <t>reports/blocksuite/isolation.json</t>
        </is>
      </c>
      <c r="K132" s="3" t="inlineStr">
        <is>
          <t>Relatório permite atribuir overhead ao editor e não declara meta de produto já satisfeita.</t>
        </is>
      </c>
      <c r="L132" s="3" t="inlineStr">
        <is>
          <t>SL-S12-09</t>
        </is>
      </c>
      <c r="M132" s="3" t="inlineStr">
        <is>
          <t>R03; R10; R30; R33; R34</t>
        </is>
      </c>
      <c r="N132" s="10" t="inlineStr">
        <is>
          <t>Não iniciado</t>
        </is>
      </c>
      <c r="O132" s="3" t="inlineStr">
        <is>
          <t>P0</t>
        </is>
      </c>
      <c r="P132" s="3" t="inlineStr">
        <is>
          <t>Crítico</t>
        </is>
      </c>
      <c r="Q132" s="3" t="inlineStr">
        <is>
          <t>Obrigatória no escopo da versão</t>
        </is>
      </c>
      <c r="R132" s="10" t="inlineStr">
        <is>
          <t>Autor + agente de IA</t>
        </is>
      </c>
      <c r="S132" s="10" t="inlineStr"/>
      <c r="T132" s="11" t="inlineStr"/>
      <c r="U132" s="3" t="inlineStr">
        <is>
          <t>reports/S12/SL-S12-10.md</t>
        </is>
      </c>
      <c r="V132" s="10" t="inlineStr"/>
      <c r="W132" s="10" t="inlineStr"/>
      <c r="X132" s="3">
        <f>IF(N132="Concluído",IF(AND(S132&lt;&gt;"",ISNUMBER(T132),T132&gt;0,V132&lt;&gt;"",AND(OR(X131="OK",X131="DISPENSADO"))),"OK","REVISAR"),IF(N132="Dispensado (ADR)",IF(AND(LEFT(Q132,11)="Condicional",W132&lt;&gt;"",S132&lt;&gt;"",ISNUMBER(T132),T132&gt;0,V132&lt;&gt;""),"DISPENSADO","REVISAR"),"PENDENTE"))</f>
        <v/>
      </c>
      <c r="Y132" s="10" t="inlineStr"/>
    </row>
    <row r="133" ht="98" customHeight="1">
      <c r="A133" s="3" t="n">
        <v>132</v>
      </c>
      <c r="B133" s="12" t="inlineStr">
        <is>
          <t>SL-S12-GATE</t>
        </is>
      </c>
      <c r="C133" s="9" t="inlineStr">
        <is>
          <t>v0.2.0</t>
        </is>
      </c>
      <c r="D133" s="9" t="inlineStr">
        <is>
          <t>S12</t>
        </is>
      </c>
      <c r="E133" s="3" t="inlineStr">
        <is>
          <t>BlockSuite / upstream</t>
        </is>
      </c>
      <c r="F133" s="3" t="inlineStr">
        <is>
          <t>Aceite humano</t>
        </is>
      </c>
      <c r="G133" s="12" t="inlineStr">
        <is>
          <t>Gate</t>
        </is>
      </c>
      <c r="H133" s="12" t="inlineStr">
        <is>
          <t>Aceitar S12 — Extrair o recorte editorial do BlockSuite</t>
        </is>
      </c>
      <c r="I133" s="3" t="inlineStr">
        <is>
          <t>Revisar as dez tarefas, executar a demonstração do sprint, confrontar critérios e registrar decisão go/no-go.</t>
        </is>
      </c>
      <c r="J133" s="3" t="inlineStr">
        <is>
          <t>reports/S12/acceptance.md</t>
        </is>
      </c>
      <c r="K133" s="3" t="inlineStr">
        <is>
          <t>Editor mínimo funciona fora do monorepo de origem e sua origem/licença é rastreável. Todas as dependências aceitas; evidências vinculadas a revisão/ambiente; nenhum blocker de integridade/segurança.</t>
        </is>
      </c>
      <c r="L133" s="3" t="inlineStr">
        <is>
          <t>SL-S12-01; SL-S12-02; SL-S12-03; SL-S12-04; SL-S12-05; SL-S12-06; SL-S12-07; SL-S12-08; SL-S12-09; SL-S12-10</t>
        </is>
      </c>
      <c r="M133" s="3" t="inlineStr">
        <is>
          <t>R03; R10; R30; R33; R34</t>
        </is>
      </c>
      <c r="N133" s="10" t="inlineStr">
        <is>
          <t>Não iniciado</t>
        </is>
      </c>
      <c r="O133" s="3" t="inlineStr">
        <is>
          <t>P0</t>
        </is>
      </c>
      <c r="P133" s="3" t="inlineStr">
        <is>
          <t>Crítico</t>
        </is>
      </c>
      <c r="Q133" s="3" t="inlineStr">
        <is>
          <t>Obrigatória para fechar a versão aprovada</t>
        </is>
      </c>
      <c r="R133" s="10" t="inlineStr">
        <is>
          <t>Autor</t>
        </is>
      </c>
      <c r="S133" s="10" t="inlineStr"/>
      <c r="T133" s="11" t="inlineStr"/>
      <c r="U133" s="3" t="inlineStr">
        <is>
          <t>reports/S12/acceptance.md</t>
        </is>
      </c>
      <c r="V133" s="10" t="inlineStr"/>
      <c r="W133" s="10" t="inlineStr"/>
      <c r="X133" s="3">
        <f>IF(N133="Concluído",IF(AND(S133&lt;&gt;"",ISNUMBER(T133),T133&gt;0,V133&lt;&gt;"",AND(OR(X123="OK",X123="DISPENSADO"),OR(X124="OK",X124="DISPENSADO"),OR(X125="OK",X125="DISPENSADO"),OR(X126="OK",X126="DISPENSADO"),OR(X127="OK",X127="DISPENSADO"),OR(X128="OK",X128="DISPENSADO"),OR(X129="OK",X129="DISPENSADO"),OR(X130="OK",X130="DISPENSADO"),OR(X131="OK",X131="DISPENSADO"),OR(X132="OK",X132="DISPENSADO"))),"OK","REVISAR"),IF(N133="Dispensado (ADR)",IF(AND(LEFT(Q133,11)="Condicional",W133&lt;&gt;"",S133&lt;&gt;"",ISNUMBER(T133),T133&gt;0,V133&lt;&gt;""),"DISPENSADO","REVISAR"),"PENDENTE"))</f>
        <v/>
      </c>
      <c r="Y133" s="10" t="inlineStr"/>
    </row>
    <row r="134" ht="112" customHeight="1">
      <c r="A134" s="3" t="n">
        <v>133</v>
      </c>
      <c r="B134" s="3" t="inlineStr">
        <is>
          <t>SL-S13-01</t>
        </is>
      </c>
      <c r="C134" s="9" t="inlineStr">
        <is>
          <t>v0.2.0</t>
        </is>
      </c>
      <c r="D134" s="9" t="inlineStr">
        <is>
          <t>S13</t>
        </is>
      </c>
      <c r="E134" s="3" t="inlineStr">
        <is>
          <t>EditorBridge / formato</t>
        </is>
      </c>
      <c r="F134" s="3" t="inlineStr">
        <is>
          <t>Adaptação</t>
        </is>
      </c>
      <c r="G134" s="3" t="inlineStr">
        <is>
          <t>Contrato</t>
        </is>
      </c>
      <c r="H134" s="3" t="inlineStr">
        <is>
          <t>Mapear blocos suportados</t>
        </is>
      </c>
      <c r="I134" s="3" t="inlineStr">
        <is>
          <t>Associar cada tipo aprovado a modelos/views e representação Markdown.</t>
        </is>
      </c>
      <c r="J134" s="3" t="inlineStr">
        <is>
          <t>adapters/blocksuite/block-map.json</t>
        </is>
      </c>
      <c r="K134" s="3" t="inlineStr">
        <is>
          <t>Todo bloco habilitado possui entrada/saída; tipo experimental não aparece como persistível sem codec.</t>
        </is>
      </c>
      <c r="L134" s="3" t="inlineStr">
        <is>
          <t>SL-S02-GATE; SL-S12-GATE</t>
        </is>
      </c>
      <c r="M134" s="3" t="inlineStr">
        <is>
          <t>R02; R04; R10; R13; R32</t>
        </is>
      </c>
      <c r="N134" s="10" t="inlineStr">
        <is>
          <t>Não iniciado</t>
        </is>
      </c>
      <c r="O134" s="3" t="inlineStr">
        <is>
          <t>P0</t>
        </is>
      </c>
      <c r="P134" s="3" t="inlineStr">
        <is>
          <t>Alto</t>
        </is>
      </c>
      <c r="Q134" s="3" t="inlineStr">
        <is>
          <t>Obrigatória no escopo da versão</t>
        </is>
      </c>
      <c r="R134" s="10" t="inlineStr">
        <is>
          <t>Autor + agente de IA</t>
        </is>
      </c>
      <c r="S134" s="10" t="inlineStr"/>
      <c r="T134" s="11" t="inlineStr"/>
      <c r="U134" s="3" t="inlineStr">
        <is>
          <t>reports/S13/SL-S13-01.md</t>
        </is>
      </c>
      <c r="V134" s="10" t="inlineStr"/>
      <c r="W134" s="10" t="inlineStr"/>
      <c r="X134" s="3">
        <f>IF(N134="Concluído",IF(AND(S134&lt;&gt;"",ISNUMBER(T134),T134&gt;0,V134&lt;&gt;"",AND(OR(X23="OK",X23="DISPENSADO"),OR(X133="OK",X133="DISPENSADO"))),"OK","REVISAR"),IF(N134="Dispensado (ADR)",IF(AND(LEFT(Q134,11)="Condicional",W134&lt;&gt;"",S134&lt;&gt;"",ISNUMBER(T134),T134&gt;0,V134&lt;&gt;""),"DISPENSADO","REVISAR"),"PENDENTE"))</f>
        <v/>
      </c>
      <c r="Y134" s="10" t="inlineStr"/>
    </row>
    <row r="135" ht="112" customHeight="1">
      <c r="A135" s="3" t="n">
        <v>134</v>
      </c>
      <c r="B135" s="3" t="inlineStr">
        <is>
          <t>SL-S13-02</t>
        </is>
      </c>
      <c r="C135" s="9" t="inlineStr">
        <is>
          <t>v0.2.0</t>
        </is>
      </c>
      <c r="D135" s="9" t="inlineStr">
        <is>
          <t>S13</t>
        </is>
      </c>
      <c r="E135" s="3" t="inlineStr">
        <is>
          <t>EditorBridge / formato</t>
        </is>
      </c>
      <c r="F135" s="3" t="inlineStr">
        <is>
          <t>Adaptação</t>
        </is>
      </c>
      <c r="G135" s="3" t="inlineStr">
        <is>
          <t>Implementação</t>
        </is>
      </c>
      <c r="H135" s="3" t="inlineStr">
        <is>
          <t>Importar texto estrutural</t>
        </is>
      </c>
      <c r="I135" s="3" t="inlineStr">
        <is>
          <t>Converter títulos, parágrafos, listas e blocos de código preservando conteúdo.</t>
        </is>
      </c>
      <c r="J135" s="3" t="inlineStr">
        <is>
          <t>adapters/blocksuite/import/basic.ts</t>
        </is>
      </c>
      <c r="K135" s="3" t="inlineStr">
        <is>
          <t>Fixtures com listas aninhadas, código e caracteres especiais mantêm significado.</t>
        </is>
      </c>
      <c r="L135" s="3" t="inlineStr">
        <is>
          <t>SL-S13-01</t>
        </is>
      </c>
      <c r="M135" s="3" t="inlineStr">
        <is>
          <t>R02; R04; R10; R13; R32</t>
        </is>
      </c>
      <c r="N135" s="10" t="inlineStr">
        <is>
          <t>Não iniciado</t>
        </is>
      </c>
      <c r="O135" s="3" t="inlineStr">
        <is>
          <t>P1</t>
        </is>
      </c>
      <c r="P135" s="3" t="inlineStr">
        <is>
          <t>Alto</t>
        </is>
      </c>
      <c r="Q135" s="3" t="inlineStr">
        <is>
          <t>Obrigatória no escopo da versão</t>
        </is>
      </c>
      <c r="R135" s="10" t="inlineStr">
        <is>
          <t>Autor + agente de IA</t>
        </is>
      </c>
      <c r="S135" s="10" t="inlineStr"/>
      <c r="T135" s="11" t="inlineStr"/>
      <c r="U135" s="3" t="inlineStr">
        <is>
          <t>reports/S13/SL-S13-02.md</t>
        </is>
      </c>
      <c r="V135" s="10" t="inlineStr"/>
      <c r="W135" s="10" t="inlineStr"/>
      <c r="X135" s="3">
        <f>IF(N135="Concluído",IF(AND(S135&lt;&gt;"",ISNUMBER(T135),T135&gt;0,V135&lt;&gt;"",AND(OR(X134="OK",X134="DISPENSADO"))),"OK","REVISAR"),IF(N135="Dispensado (ADR)",IF(AND(LEFT(Q135,11)="Condicional",W135&lt;&gt;"",S135&lt;&gt;"",ISNUMBER(T135),T135&gt;0,V135&lt;&gt;""),"DISPENSADO","REVISAR"),"PENDENTE"))</f>
        <v/>
      </c>
      <c r="Y135" s="10" t="inlineStr"/>
    </row>
    <row r="136" ht="112" customHeight="1">
      <c r="A136" s="3" t="n">
        <v>135</v>
      </c>
      <c r="B136" s="3" t="inlineStr">
        <is>
          <t>SL-S13-03</t>
        </is>
      </c>
      <c r="C136" s="9" t="inlineStr">
        <is>
          <t>v0.2.0</t>
        </is>
      </c>
      <c r="D136" s="9" t="inlineStr">
        <is>
          <t>S13</t>
        </is>
      </c>
      <c r="E136" s="3" t="inlineStr">
        <is>
          <t>EditorBridge / formato</t>
        </is>
      </c>
      <c r="F136" s="3" t="inlineStr">
        <is>
          <t>Adaptação</t>
        </is>
      </c>
      <c r="G136" s="3" t="inlineStr">
        <is>
          <t>Implementação</t>
        </is>
      </c>
      <c r="H136" s="3" t="inlineStr">
        <is>
          <t>Importar estruturas ricas</t>
        </is>
      </c>
      <c r="I136" s="3" t="inlineStr">
        <is>
          <t>Tratar tabelas, citações, links e mídias no perfil suportado.</t>
        </is>
      </c>
      <c r="J136" s="3" t="inlineStr">
        <is>
          <t>adapters/blocksuite/import/rich.ts</t>
        </is>
      </c>
      <c r="K136" s="3" t="inlineStr">
        <is>
          <t>Elementos não suportados são preservados/opacos ou recusados explicitamente.</t>
        </is>
      </c>
      <c r="L136" s="3" t="inlineStr">
        <is>
          <t>SL-S13-02</t>
        </is>
      </c>
      <c r="M136" s="3" t="inlineStr">
        <is>
          <t>R02; R04; R10; R13; R32</t>
        </is>
      </c>
      <c r="N136" s="10" t="inlineStr">
        <is>
          <t>Não iniciado</t>
        </is>
      </c>
      <c r="O136" s="3" t="inlineStr">
        <is>
          <t>P1</t>
        </is>
      </c>
      <c r="P136" s="3" t="inlineStr">
        <is>
          <t>Alto</t>
        </is>
      </c>
      <c r="Q136" s="3" t="inlineStr">
        <is>
          <t>Obrigatória no escopo da versão</t>
        </is>
      </c>
      <c r="R136" s="10" t="inlineStr">
        <is>
          <t>Autor + agente de IA</t>
        </is>
      </c>
      <c r="S136" s="10" t="inlineStr"/>
      <c r="T136" s="11" t="inlineStr"/>
      <c r="U136" s="3" t="inlineStr">
        <is>
          <t>reports/S13/SL-S13-03.md</t>
        </is>
      </c>
      <c r="V136" s="10" t="inlineStr"/>
      <c r="W136" s="10" t="inlineStr"/>
      <c r="X136" s="3">
        <f>IF(N136="Concluído",IF(AND(S136&lt;&gt;"",ISNUMBER(T136),T136&gt;0,V136&lt;&gt;"",AND(OR(X135="OK",X135="DISPENSADO"))),"OK","REVISAR"),IF(N136="Dispensado (ADR)",IF(AND(LEFT(Q136,11)="Condicional",W136&lt;&gt;"",S136&lt;&gt;"",ISNUMBER(T136),T136&gt;0,V136&lt;&gt;""),"DISPENSADO","REVISAR"),"PENDENTE"))</f>
        <v/>
      </c>
      <c r="Y136" s="10" t="inlineStr"/>
    </row>
    <row r="137" ht="112" customHeight="1">
      <c r="A137" s="3" t="n">
        <v>136</v>
      </c>
      <c r="B137" s="3" t="inlineStr">
        <is>
          <t>SL-S13-04</t>
        </is>
      </c>
      <c r="C137" s="9" t="inlineStr">
        <is>
          <t>v0.2.0</t>
        </is>
      </c>
      <c r="D137" s="9" t="inlineStr">
        <is>
          <t>S13</t>
        </is>
      </c>
      <c r="E137" s="3" t="inlineStr">
        <is>
          <t>EditorBridge / formato</t>
        </is>
      </c>
      <c r="F137" s="3" t="inlineStr">
        <is>
          <t>Adaptação</t>
        </is>
      </c>
      <c r="G137" s="3" t="inlineStr">
        <is>
          <t>Implementação</t>
        </is>
      </c>
      <c r="H137" s="3" t="inlineStr">
        <is>
          <t>Exportar Markdown</t>
        </is>
      </c>
      <c r="I137" s="3" t="inlineStr">
        <is>
          <t>Serializar a estrutura em ordem determinística sem depender da seleção visual.</t>
        </is>
      </c>
      <c r="J137" s="3" t="inlineStr">
        <is>
          <t>adapters/blocksuite/export/markdown.ts</t>
        </is>
      </c>
      <c r="K137" s="3" t="inlineStr">
        <is>
          <t>Exportação de documento completo não omite conteúdo fora da viewport.</t>
        </is>
      </c>
      <c r="L137" s="3" t="inlineStr">
        <is>
          <t>SL-S13-03</t>
        </is>
      </c>
      <c r="M137" s="3" t="inlineStr">
        <is>
          <t>R02; R04; R10; R13; R32</t>
        </is>
      </c>
      <c r="N137" s="10" t="inlineStr">
        <is>
          <t>Não iniciado</t>
        </is>
      </c>
      <c r="O137" s="3" t="inlineStr">
        <is>
          <t>P1</t>
        </is>
      </c>
      <c r="P137" s="3" t="inlineStr">
        <is>
          <t>Alto</t>
        </is>
      </c>
      <c r="Q137" s="3" t="inlineStr">
        <is>
          <t>Obrigatória no escopo da versão</t>
        </is>
      </c>
      <c r="R137" s="10" t="inlineStr">
        <is>
          <t>Autor + agente de IA</t>
        </is>
      </c>
      <c r="S137" s="10" t="inlineStr"/>
      <c r="T137" s="11" t="inlineStr"/>
      <c r="U137" s="3" t="inlineStr">
        <is>
          <t>reports/S13/SL-S13-04.md</t>
        </is>
      </c>
      <c r="V137" s="10" t="inlineStr"/>
      <c r="W137" s="10" t="inlineStr"/>
      <c r="X137" s="3">
        <f>IF(N137="Concluído",IF(AND(S137&lt;&gt;"",ISNUMBER(T137),T137&gt;0,V137&lt;&gt;"",AND(OR(X136="OK",X136="DISPENSADO"))),"OK","REVISAR"),IF(N137="Dispensado (ADR)",IF(AND(LEFT(Q137,11)="Condicional",W137&lt;&gt;"",S137&lt;&gt;"",ISNUMBER(T137),T137&gt;0,V137&lt;&gt;""),"DISPENSADO","REVISAR"),"PENDENTE"))</f>
        <v/>
      </c>
      <c r="Y137" s="10" t="inlineStr"/>
    </row>
    <row r="138" ht="112" customHeight="1">
      <c r="A138" s="3" t="n">
        <v>137</v>
      </c>
      <c r="B138" s="3" t="inlineStr">
        <is>
          <t>SL-S13-05</t>
        </is>
      </c>
      <c r="C138" s="9" t="inlineStr">
        <is>
          <t>v0.2.0</t>
        </is>
      </c>
      <c r="D138" s="9" t="inlineStr">
        <is>
          <t>S13</t>
        </is>
      </c>
      <c r="E138" s="3" t="inlineStr">
        <is>
          <t>EditorBridge / formato</t>
        </is>
      </c>
      <c r="F138" s="3" t="inlineStr">
        <is>
          <t>Adaptação</t>
        </is>
      </c>
      <c r="G138" s="3" t="inlineStr">
        <is>
          <t>Implementação</t>
        </is>
      </c>
      <c r="H138" s="3" t="inlineStr">
        <is>
          <t>Preservar frontmatter</t>
        </is>
      </c>
      <c r="I138" s="3" t="inlineStr">
        <is>
          <t>Manter campos conhecidos/desconhecidos separados do estado de edição.</t>
        </is>
      </c>
      <c r="J138" s="3" t="inlineStr">
        <is>
          <t>adapters/blocksuite/frontmatter.ts</t>
        </is>
      </c>
      <c r="K138" s="3" t="inlineStr">
        <is>
          <t>Abrir/salvar não remove propriedades de ferramentas externas nem muda tipos indevidamente.</t>
        </is>
      </c>
      <c r="L138" s="3" t="inlineStr">
        <is>
          <t>SL-S13-04</t>
        </is>
      </c>
      <c r="M138" s="3" t="inlineStr">
        <is>
          <t>R02; R04; R10; R13; R32</t>
        </is>
      </c>
      <c r="N138" s="10" t="inlineStr">
        <is>
          <t>Não iniciado</t>
        </is>
      </c>
      <c r="O138" s="3" t="inlineStr">
        <is>
          <t>P1</t>
        </is>
      </c>
      <c r="P138" s="3" t="inlineStr">
        <is>
          <t>Alto</t>
        </is>
      </c>
      <c r="Q138" s="3" t="inlineStr">
        <is>
          <t>Obrigatória no escopo da versão</t>
        </is>
      </c>
      <c r="R138" s="10" t="inlineStr">
        <is>
          <t>Autor + agente de IA</t>
        </is>
      </c>
      <c r="S138" s="10" t="inlineStr"/>
      <c r="T138" s="11" t="inlineStr"/>
      <c r="U138" s="3" t="inlineStr">
        <is>
          <t>reports/S13/SL-S13-05.md</t>
        </is>
      </c>
      <c r="V138" s="10" t="inlineStr"/>
      <c r="W138" s="10" t="inlineStr"/>
      <c r="X138" s="3">
        <f>IF(N138="Concluído",IF(AND(S138&lt;&gt;"",ISNUMBER(T138),T138&gt;0,V138&lt;&gt;"",AND(OR(X137="OK",X137="DISPENSADO"))),"OK","REVISAR"),IF(N138="Dispensado (ADR)",IF(AND(LEFT(Q138,11)="Condicional",W138&lt;&gt;"",S138&lt;&gt;"",ISNUMBER(T138),T138&gt;0,V138&lt;&gt;""),"DISPENSADO","REVISAR"),"PENDENTE"))</f>
        <v/>
      </c>
      <c r="Y138" s="10" t="inlineStr"/>
    </row>
    <row r="139" ht="112" customHeight="1">
      <c r="A139" s="3" t="n">
        <v>138</v>
      </c>
      <c r="B139" s="3" t="inlineStr">
        <is>
          <t>SL-S13-06</t>
        </is>
      </c>
      <c r="C139" s="9" t="inlineStr">
        <is>
          <t>v0.2.0</t>
        </is>
      </c>
      <c r="D139" s="9" t="inlineStr">
        <is>
          <t>S13</t>
        </is>
      </c>
      <c r="E139" s="3" t="inlineStr">
        <is>
          <t>EditorBridge / formato</t>
        </is>
      </c>
      <c r="F139" s="3" t="inlineStr">
        <is>
          <t>Adaptação</t>
        </is>
      </c>
      <c r="G139" s="3" t="inlineStr">
        <is>
          <t>Implementação</t>
        </is>
      </c>
      <c r="H139" s="3" t="inlineStr">
        <is>
          <t>Preservar identidade de blocos</t>
        </is>
      </c>
      <c r="I139" s="3" t="inlineStr">
        <is>
          <t>Associar IDs ao formato aprovado e reconciliar alterações externas.</t>
        </is>
      </c>
      <c r="J139" s="3" t="inlineStr">
        <is>
          <t>adapters/blocksuite/identity.ts</t>
        </is>
      </c>
      <c r="K139" s="3" t="inlineStr">
        <is>
          <t>Referência permanece estável em edição simples; mudança ambígua gera estado de reancoragem.</t>
        </is>
      </c>
      <c r="L139" s="3" t="inlineStr">
        <is>
          <t>SL-S13-05</t>
        </is>
      </c>
      <c r="M139" s="3" t="inlineStr">
        <is>
          <t>R02; R04; R10; R13; R32</t>
        </is>
      </c>
      <c r="N139" s="10" t="inlineStr">
        <is>
          <t>Não iniciado</t>
        </is>
      </c>
      <c r="O139" s="3" t="inlineStr">
        <is>
          <t>P1</t>
        </is>
      </c>
      <c r="P139" s="3" t="inlineStr">
        <is>
          <t>Alto</t>
        </is>
      </c>
      <c r="Q139" s="3" t="inlineStr">
        <is>
          <t>Obrigatória no escopo da versão</t>
        </is>
      </c>
      <c r="R139" s="10" t="inlineStr">
        <is>
          <t>Autor + agente de IA</t>
        </is>
      </c>
      <c r="S139" s="10" t="inlineStr"/>
      <c r="T139" s="11" t="inlineStr"/>
      <c r="U139" s="3" t="inlineStr">
        <is>
          <t>reports/S13/SL-S13-06.md</t>
        </is>
      </c>
      <c r="V139" s="10" t="inlineStr"/>
      <c r="W139" s="10" t="inlineStr"/>
      <c r="X139" s="3">
        <f>IF(N139="Concluído",IF(AND(S139&lt;&gt;"",ISNUMBER(T139),T139&gt;0,V139&lt;&gt;"",AND(OR(X138="OK",X138="DISPENSADO"))),"OK","REVISAR"),IF(N139="Dispensado (ADR)",IF(AND(LEFT(Q139,11)="Condicional",W139&lt;&gt;"",S139&lt;&gt;"",ISNUMBER(T139),T139&gt;0,V139&lt;&gt;""),"DISPENSADO","REVISAR"),"PENDENTE"))</f>
        <v/>
      </c>
      <c r="Y139" s="10" t="inlineStr"/>
    </row>
    <row r="140" ht="112" customHeight="1">
      <c r="A140" s="3" t="n">
        <v>139</v>
      </c>
      <c r="B140" s="3" t="inlineStr">
        <is>
          <t>SL-S13-07</t>
        </is>
      </c>
      <c r="C140" s="9" t="inlineStr">
        <is>
          <t>v0.2.0</t>
        </is>
      </c>
      <c r="D140" s="9" t="inlineStr">
        <is>
          <t>S13</t>
        </is>
      </c>
      <c r="E140" s="3" t="inlineStr">
        <is>
          <t>EditorBridge / formato</t>
        </is>
      </c>
      <c r="F140" s="3" t="inlineStr">
        <is>
          <t>Adaptação</t>
        </is>
      </c>
      <c r="G140" s="3" t="inlineStr">
        <is>
          <t>Implementação</t>
        </is>
      </c>
      <c r="H140" s="3" t="inlineStr">
        <is>
          <t>Resolver assets por referência</t>
        </is>
      </c>
      <c r="I140" s="3" t="inlineStr">
        <is>
          <t>Trocar paths absolutos por IDs/hash e broker de leitura.</t>
        </is>
      </c>
      <c r="J140" s="3" t="inlineStr">
        <is>
          <t>adapters/blocksuite/assets.ts</t>
        </is>
      </c>
      <c r="K140" s="3" t="inlineStr">
        <is>
          <t>Conteúdo colado não injeta leitura de arquivo fora do Vault.</t>
        </is>
      </c>
      <c r="L140" s="3" t="inlineStr">
        <is>
          <t>SL-S13-06</t>
        </is>
      </c>
      <c r="M140" s="3" t="inlineStr">
        <is>
          <t>R02; R04; R10; R13; R32</t>
        </is>
      </c>
      <c r="N140" s="10" t="inlineStr">
        <is>
          <t>Não iniciado</t>
        </is>
      </c>
      <c r="O140" s="3" t="inlineStr">
        <is>
          <t>P1</t>
        </is>
      </c>
      <c r="P140" s="3" t="inlineStr">
        <is>
          <t>Alto</t>
        </is>
      </c>
      <c r="Q140" s="3" t="inlineStr">
        <is>
          <t>Obrigatória no escopo da versão</t>
        </is>
      </c>
      <c r="R140" s="10" t="inlineStr">
        <is>
          <t>Autor + agente de IA</t>
        </is>
      </c>
      <c r="S140" s="10" t="inlineStr"/>
      <c r="T140" s="11" t="inlineStr"/>
      <c r="U140" s="3" t="inlineStr">
        <is>
          <t>reports/S13/SL-S13-07.md</t>
        </is>
      </c>
      <c r="V140" s="10" t="inlineStr"/>
      <c r="W140" s="10" t="inlineStr"/>
      <c r="X140" s="3">
        <f>IF(N140="Concluído",IF(AND(S140&lt;&gt;"",ISNUMBER(T140),T140&gt;0,V140&lt;&gt;"",AND(OR(X139="OK",X139="DISPENSADO"))),"OK","REVISAR"),IF(N140="Dispensado (ADR)",IF(AND(LEFT(Q140,11)="Condicional",W140&lt;&gt;"",S140&lt;&gt;"",ISNUMBER(T140),T140&gt;0,V140&lt;&gt;""),"DISPENSADO","REVISAR"),"PENDENTE"))</f>
        <v/>
      </c>
      <c r="Y140" s="10" t="inlineStr"/>
    </row>
    <row r="141" ht="112" customHeight="1">
      <c r="A141" s="3" t="n">
        <v>140</v>
      </c>
      <c r="B141" s="3" t="inlineStr">
        <is>
          <t>SL-S13-08</t>
        </is>
      </c>
      <c r="C141" s="9" t="inlineStr">
        <is>
          <t>v0.2.0</t>
        </is>
      </c>
      <c r="D141" s="9" t="inlineStr">
        <is>
          <t>S13</t>
        </is>
      </c>
      <c r="E141" s="3" t="inlineStr">
        <is>
          <t>EditorBridge / formato</t>
        </is>
      </c>
      <c r="F141" s="3" t="inlineStr">
        <is>
          <t>Adaptação</t>
        </is>
      </c>
      <c r="G141" s="3" t="inlineStr">
        <is>
          <t>Implementação</t>
        </is>
      </c>
      <c r="H141" s="3" t="inlineStr">
        <is>
          <t>Preservar conteúdo desconhecido</t>
        </is>
      </c>
      <c r="I141" s="3" t="inlineStr">
        <is>
          <t>Implementar nó opaco/estado read-only para extensão não compreendida.</t>
        </is>
      </c>
      <c r="J141" s="3" t="inlineStr">
        <is>
          <t>adapters/blocksuite/unknown-block.ts</t>
        </is>
      </c>
      <c r="K141" s="3" t="inlineStr">
        <is>
          <t>Documento novo aberto em versão antiga não perde extensão ao salvar conteúdo conhecido.</t>
        </is>
      </c>
      <c r="L141" s="3" t="inlineStr">
        <is>
          <t>SL-S13-07</t>
        </is>
      </c>
      <c r="M141" s="3" t="inlineStr">
        <is>
          <t>R02; R04; R10; R13; R32</t>
        </is>
      </c>
      <c r="N141" s="10" t="inlineStr">
        <is>
          <t>Não iniciado</t>
        </is>
      </c>
      <c r="O141" s="3" t="inlineStr">
        <is>
          <t>P1</t>
        </is>
      </c>
      <c r="P141" s="3" t="inlineStr">
        <is>
          <t>Alto</t>
        </is>
      </c>
      <c r="Q141" s="3" t="inlineStr">
        <is>
          <t>Obrigatória no escopo da versão</t>
        </is>
      </c>
      <c r="R141" s="10" t="inlineStr">
        <is>
          <t>Autor + agente de IA</t>
        </is>
      </c>
      <c r="S141" s="10" t="inlineStr"/>
      <c r="T141" s="11" t="inlineStr"/>
      <c r="U141" s="3" t="inlineStr">
        <is>
          <t>reports/S13/SL-S13-08.md</t>
        </is>
      </c>
      <c r="V141" s="10" t="inlineStr"/>
      <c r="W141" s="10" t="inlineStr"/>
      <c r="X141" s="3">
        <f>IF(N141="Concluído",IF(AND(S141&lt;&gt;"",ISNUMBER(T141),T141&gt;0,V141&lt;&gt;"",AND(OR(X140="OK",X140="DISPENSADO"))),"OK","REVISAR"),IF(N141="Dispensado (ADR)",IF(AND(LEFT(Q141,11)="Condicional",W141&lt;&gt;"",S141&lt;&gt;"",ISNUMBER(T141),T141&gt;0,V141&lt;&gt;""),"DISPENSADO","REVISAR"),"PENDENTE"))</f>
        <v/>
      </c>
      <c r="Y141" s="10" t="inlineStr"/>
    </row>
    <row r="142" ht="112" customHeight="1">
      <c r="A142" s="3" t="n">
        <v>141</v>
      </c>
      <c r="B142" s="3" t="inlineStr">
        <is>
          <t>SL-S13-09</t>
        </is>
      </c>
      <c r="C142" s="9" t="inlineStr">
        <is>
          <t>v0.2.0</t>
        </is>
      </c>
      <c r="D142" s="9" t="inlineStr">
        <is>
          <t>S13</t>
        </is>
      </c>
      <c r="E142" s="3" t="inlineStr">
        <is>
          <t>EditorBridge / formato</t>
        </is>
      </c>
      <c r="F142" s="3" t="inlineStr">
        <is>
          <t>Adaptação</t>
        </is>
      </c>
      <c r="G142" s="3" t="inlineStr">
        <is>
          <t>Teste</t>
        </is>
      </c>
      <c r="H142" s="3" t="inlineStr">
        <is>
          <t>Executar golden round-trip</t>
        </is>
      </c>
      <c r="I142" s="3" t="inlineStr">
        <is>
          <t>Comparar entrada, snapshot intermediário e saída com critérios sintáticos/semânticos definidos.</t>
        </is>
      </c>
      <c r="J142" s="3" t="inlineStr">
        <is>
          <t>tests/editor/roundtrip/</t>
        </is>
      </c>
      <c r="K142" s="3" t="inlineStr">
        <is>
          <t>Formatação permitida pode normalizar, mas textos, IDs e referências não desaparecem.</t>
        </is>
      </c>
      <c r="L142" s="3" t="inlineStr">
        <is>
          <t>SL-S13-08</t>
        </is>
      </c>
      <c r="M142" s="3" t="inlineStr">
        <is>
          <t>R02; R04; R10; R13; R32</t>
        </is>
      </c>
      <c r="N142" s="10" t="inlineStr">
        <is>
          <t>Não iniciado</t>
        </is>
      </c>
      <c r="O142" s="3" t="inlineStr">
        <is>
          <t>P1</t>
        </is>
      </c>
      <c r="P142" s="3" t="inlineStr">
        <is>
          <t>Alto</t>
        </is>
      </c>
      <c r="Q142" s="3" t="inlineStr">
        <is>
          <t>Obrigatória no escopo da versão</t>
        </is>
      </c>
      <c r="R142" s="10" t="inlineStr">
        <is>
          <t>Autor + agente de IA</t>
        </is>
      </c>
      <c r="S142" s="10" t="inlineStr"/>
      <c r="T142" s="11" t="inlineStr"/>
      <c r="U142" s="3" t="inlineStr">
        <is>
          <t>reports/S13/SL-S13-09.md</t>
        </is>
      </c>
      <c r="V142" s="10" t="inlineStr"/>
      <c r="W142" s="10" t="inlineStr"/>
      <c r="X142" s="3">
        <f>IF(N142="Concluído",IF(AND(S142&lt;&gt;"",ISNUMBER(T142),T142&gt;0,V142&lt;&gt;"",AND(OR(X141="OK",X141="DISPENSADO"))),"OK","REVISAR"),IF(N142="Dispensado (ADR)",IF(AND(LEFT(Q142,11)="Condicional",W142&lt;&gt;"",S142&lt;&gt;"",ISNUMBER(T142),T142&gt;0,V142&lt;&gt;""),"DISPENSADO","REVISAR"),"PENDENTE"))</f>
        <v/>
      </c>
      <c r="Y142" s="10" t="inlineStr"/>
    </row>
    <row r="143" ht="112" customHeight="1">
      <c r="A143" s="3" t="n">
        <v>142</v>
      </c>
      <c r="B143" s="3" t="inlineStr">
        <is>
          <t>SL-S13-10</t>
        </is>
      </c>
      <c r="C143" s="9" t="inlineStr">
        <is>
          <t>v0.2.0</t>
        </is>
      </c>
      <c r="D143" s="9" t="inlineStr">
        <is>
          <t>S13</t>
        </is>
      </c>
      <c r="E143" s="3" t="inlineStr">
        <is>
          <t>EditorBridge / formato</t>
        </is>
      </c>
      <c r="F143" s="3" t="inlineStr">
        <is>
          <t>Adaptação</t>
        </is>
      </c>
      <c r="G143" s="3" t="inlineStr">
        <is>
          <t>Teste</t>
        </is>
      </c>
      <c r="H143" s="3" t="inlineStr">
        <is>
          <t>Fuzzar import/export</t>
        </is>
      </c>
      <c r="I143" s="3" t="inlineStr">
        <is>
          <t>Gerar Markdown/frontmatter truncados e combinações de blocos.</t>
        </is>
      </c>
      <c r="J143" s="3" t="inlineStr">
        <is>
          <t>tests/editor/codec-fuzz/</t>
        </is>
      </c>
      <c r="K143" s="3" t="inlineStr">
        <is>
          <t>Erro é recuperável e não produz publicação parcial ou loop sem limite.</t>
        </is>
      </c>
      <c r="L143" s="3" t="inlineStr">
        <is>
          <t>SL-S13-09</t>
        </is>
      </c>
      <c r="M143" s="3" t="inlineStr">
        <is>
          <t>R02; R04; R10; R13; R32</t>
        </is>
      </c>
      <c r="N143" s="10" t="inlineStr">
        <is>
          <t>Não iniciado</t>
        </is>
      </c>
      <c r="O143" s="3" t="inlineStr">
        <is>
          <t>P1</t>
        </is>
      </c>
      <c r="P143" s="3" t="inlineStr">
        <is>
          <t>Alto</t>
        </is>
      </c>
      <c r="Q143" s="3" t="inlineStr">
        <is>
          <t>Obrigatória no escopo da versão</t>
        </is>
      </c>
      <c r="R143" s="10" t="inlineStr">
        <is>
          <t>Autor + agente de IA</t>
        </is>
      </c>
      <c r="S143" s="10" t="inlineStr"/>
      <c r="T143" s="11" t="inlineStr"/>
      <c r="U143" s="3" t="inlineStr">
        <is>
          <t>reports/S13/SL-S13-10.md</t>
        </is>
      </c>
      <c r="V143" s="10" t="inlineStr"/>
      <c r="W143" s="10" t="inlineStr"/>
      <c r="X143" s="3">
        <f>IF(N143="Concluído",IF(AND(S143&lt;&gt;"",ISNUMBER(T143),T143&gt;0,V143&lt;&gt;"",AND(OR(X142="OK",X142="DISPENSADO"))),"OK","REVISAR"),IF(N143="Dispensado (ADR)",IF(AND(LEFT(Q143,11)="Condicional",W143&lt;&gt;"",S143&lt;&gt;"",ISNUMBER(T143),T143&gt;0,V143&lt;&gt;""),"DISPENSADO","REVISAR"),"PENDENTE"))</f>
        <v/>
      </c>
      <c r="Y143" s="10" t="inlineStr"/>
    </row>
    <row r="144" ht="98" customHeight="1">
      <c r="A144" s="3" t="n">
        <v>143</v>
      </c>
      <c r="B144" s="12" t="inlineStr">
        <is>
          <t>SL-S13-GATE</t>
        </is>
      </c>
      <c r="C144" s="9" t="inlineStr">
        <is>
          <t>v0.2.0</t>
        </is>
      </c>
      <c r="D144" s="9" t="inlineStr">
        <is>
          <t>S13</t>
        </is>
      </c>
      <c r="E144" s="3" t="inlineStr">
        <is>
          <t>EditorBridge / formato</t>
        </is>
      </c>
      <c r="F144" s="3" t="inlineStr">
        <is>
          <t>Aceite humano</t>
        </is>
      </c>
      <c r="G144" s="12" t="inlineStr">
        <is>
          <t>Gate</t>
        </is>
      </c>
      <c r="H144" s="12" t="inlineStr">
        <is>
          <t>Aceitar S13 — Implementar ponte Markdown ↔ BlockSuite</t>
        </is>
      </c>
      <c r="I144" s="3" t="inlineStr">
        <is>
          <t>Revisar as dez tarefas, executar a demonstração do sprint, confrontar critérios e registrar decisão go/no-go.</t>
        </is>
      </c>
      <c r="J144" s="3" t="inlineStr">
        <is>
          <t>reports/S13/acceptance.md</t>
        </is>
      </c>
      <c r="K144" s="3" t="inlineStr">
        <is>
          <t>Abrir Markdown externo, editar no BlockSuite e preservar a semântica e metadados. Todas as dependências aceitas; evidências vinculadas a revisão/ambiente; nenhum blocker de integridade/segurança.</t>
        </is>
      </c>
      <c r="L144" s="3" t="inlineStr">
        <is>
          <t>SL-S13-01; SL-S13-02; SL-S13-03; SL-S13-04; SL-S13-05; SL-S13-06; SL-S13-07; SL-S13-08; SL-S13-09; SL-S13-10</t>
        </is>
      </c>
      <c r="M144" s="3" t="inlineStr">
        <is>
          <t>R02; R04; R10; R13; R32</t>
        </is>
      </c>
      <c r="N144" s="10" t="inlineStr">
        <is>
          <t>Não iniciado</t>
        </is>
      </c>
      <c r="O144" s="3" t="inlineStr">
        <is>
          <t>P0</t>
        </is>
      </c>
      <c r="P144" s="3" t="inlineStr">
        <is>
          <t>Alto</t>
        </is>
      </c>
      <c r="Q144" s="3" t="inlineStr">
        <is>
          <t>Obrigatória para fechar a versão aprovada</t>
        </is>
      </c>
      <c r="R144" s="10" t="inlineStr">
        <is>
          <t>Autor</t>
        </is>
      </c>
      <c r="S144" s="10" t="inlineStr"/>
      <c r="T144" s="11" t="inlineStr"/>
      <c r="U144" s="3" t="inlineStr">
        <is>
          <t>reports/S13/acceptance.md</t>
        </is>
      </c>
      <c r="V144" s="10" t="inlineStr"/>
      <c r="W144" s="10" t="inlineStr"/>
      <c r="X144" s="3">
        <f>IF(N144="Concluído",IF(AND(S144&lt;&gt;"",ISNUMBER(T144),T144&gt;0,V144&lt;&gt;"",AND(OR(X134="OK",X134="DISPENSADO"),OR(X135="OK",X135="DISPENSADO"),OR(X136="OK",X136="DISPENSADO"),OR(X137="OK",X137="DISPENSADO"),OR(X138="OK",X138="DISPENSADO"),OR(X139="OK",X139="DISPENSADO"),OR(X140="OK",X140="DISPENSADO"),OR(X141="OK",X141="DISPENSADO"),OR(X142="OK",X142="DISPENSADO"),OR(X143="OK",X143="DISPENSADO"))),"OK","REVISAR"),IF(N144="Dispensado (ADR)",IF(AND(LEFT(Q144,11)="Condicional",W144&lt;&gt;"",S144&lt;&gt;"",ISNUMBER(T144),T144&gt;0,V144&lt;&gt;""),"DISPENSADO","REVISAR"),"PENDENTE"))</f>
        <v/>
      </c>
      <c r="Y144" s="10" t="inlineStr"/>
    </row>
    <row r="145" ht="112" customHeight="1">
      <c r="A145" s="3" t="n">
        <v>144</v>
      </c>
      <c r="B145" s="3" t="inlineStr">
        <is>
          <t>SL-S14-01</t>
        </is>
      </c>
      <c r="C145" s="9" t="inlineStr">
        <is>
          <t>v0.2.0</t>
        </is>
      </c>
      <c r="D145" s="9" t="inlineStr">
        <is>
          <t>S14</t>
        </is>
      </c>
      <c r="E145" s="3" t="inlineStr">
        <is>
          <t>BlockSuite / domínio</t>
        </is>
      </c>
      <c r="F145" s="3" t="inlineStr">
        <is>
          <t>Integração</t>
        </is>
      </c>
      <c r="G145" s="3" t="inlineStr">
        <is>
          <t>Implementação</t>
        </is>
      </c>
      <c r="H145" s="3" t="inlineStr">
        <is>
          <t>Adaptar eventos de edição</t>
        </is>
      </c>
      <c r="I145" s="3" t="inlineStr">
        <is>
          <t>Transformar mudanças do editor em operações com base_revision.</t>
        </is>
      </c>
      <c r="J145" s="3" t="inlineStr">
        <is>
          <t>adapters/blocksuite/change-adapter.ts</t>
        </is>
      </c>
      <c r="K145" s="3" t="inlineStr">
        <is>
          <t>Duas sessões desatualizadas não publicam sobre a mesma revisão sem conflito.</t>
        </is>
      </c>
      <c r="L145" s="3" t="inlineStr">
        <is>
          <t>SL-S08-GATE; SL-S10-GATE; SL-S13-GATE</t>
        </is>
      </c>
      <c r="M145" s="3" t="inlineStr">
        <is>
          <t>R04; R05; R10; R31</t>
        </is>
      </c>
      <c r="N145" s="10" t="inlineStr">
        <is>
          <t>Não iniciado</t>
        </is>
      </c>
      <c r="O145" s="3" t="inlineStr">
        <is>
          <t>P0</t>
        </is>
      </c>
      <c r="P145" s="3" t="inlineStr">
        <is>
          <t>Crítico</t>
        </is>
      </c>
      <c r="Q145" s="3" t="inlineStr">
        <is>
          <t>Obrigatória no escopo da versão</t>
        </is>
      </c>
      <c r="R145" s="10" t="inlineStr">
        <is>
          <t>Autor + agente de IA</t>
        </is>
      </c>
      <c r="S145" s="10" t="inlineStr"/>
      <c r="T145" s="11" t="inlineStr"/>
      <c r="U145" s="3" t="inlineStr">
        <is>
          <t>reports/S14/SL-S14-01.md</t>
        </is>
      </c>
      <c r="V145" s="10" t="inlineStr"/>
      <c r="W145" s="10" t="inlineStr"/>
      <c r="X145" s="3">
        <f>IF(N145="Concluído",IF(AND(S145&lt;&gt;"",ISNUMBER(T145),T145&gt;0,V145&lt;&gt;"",AND(OR(X89="OK",X89="DISPENSADO"),OR(X111="OK",X111="DISPENSADO"),OR(X144="OK",X144="DISPENSADO"))),"OK","REVISAR"),IF(N145="Dispensado (ADR)",IF(AND(LEFT(Q145,11)="Condicional",W145&lt;&gt;"",S145&lt;&gt;"",ISNUMBER(T145),T145&gt;0,V145&lt;&gt;""),"DISPENSADO","REVISAR"),"PENDENTE"))</f>
        <v/>
      </c>
      <c r="Y145" s="10" t="inlineStr"/>
    </row>
    <row r="146" ht="112" customHeight="1">
      <c r="A146" s="3" t="n">
        <v>145</v>
      </c>
      <c r="B146" s="3" t="inlineStr">
        <is>
          <t>SL-S14-02</t>
        </is>
      </c>
      <c r="C146" s="9" t="inlineStr">
        <is>
          <t>v0.2.0</t>
        </is>
      </c>
      <c r="D146" s="9" t="inlineStr">
        <is>
          <t>S14</t>
        </is>
      </c>
      <c r="E146" s="3" t="inlineStr">
        <is>
          <t>BlockSuite / domínio</t>
        </is>
      </c>
      <c r="F146" s="3" t="inlineStr">
        <is>
          <t>Integração</t>
        </is>
      </c>
      <c r="G146" s="3" t="inlineStr">
        <is>
          <t>Implementação</t>
        </is>
      </c>
      <c r="H146" s="3" t="inlineStr">
        <is>
          <t>Implementar fila de autosave</t>
        </is>
      </c>
      <c r="I146" s="3" t="inlineStr">
        <is>
          <t>Agregar mudanças sem bloquear renderização e enviar ao escritor único.</t>
        </is>
      </c>
      <c r="J146" s="3" t="inlineStr">
        <is>
          <t>apps/desktop/src/editor/save-queue.ts</t>
        </is>
      </c>
      <c r="K146" s="3" t="inlineStr">
        <is>
          <t>Digitação permanece responsiva e erro de disco não é exibido como salvo.</t>
        </is>
      </c>
      <c r="L146" s="3" t="inlineStr">
        <is>
          <t>SL-S14-01</t>
        </is>
      </c>
      <c r="M146" s="3" t="inlineStr">
        <is>
          <t>R04; R05; R10; R31</t>
        </is>
      </c>
      <c r="N146" s="10" t="inlineStr">
        <is>
          <t>Não iniciado</t>
        </is>
      </c>
      <c r="O146" s="3" t="inlineStr">
        <is>
          <t>P0</t>
        </is>
      </c>
      <c r="P146" s="3" t="inlineStr">
        <is>
          <t>Crítico</t>
        </is>
      </c>
      <c r="Q146" s="3" t="inlineStr">
        <is>
          <t>Obrigatória no escopo da versão</t>
        </is>
      </c>
      <c r="R146" s="10" t="inlineStr">
        <is>
          <t>Autor + agente de IA</t>
        </is>
      </c>
      <c r="S146" s="10" t="inlineStr"/>
      <c r="T146" s="11" t="inlineStr"/>
      <c r="U146" s="3" t="inlineStr">
        <is>
          <t>reports/S14/SL-S14-02.md</t>
        </is>
      </c>
      <c r="V146" s="10" t="inlineStr"/>
      <c r="W146" s="10" t="inlineStr"/>
      <c r="X146" s="3">
        <f>IF(N146="Concluído",IF(AND(S146&lt;&gt;"",ISNUMBER(T146),T146&gt;0,V146&lt;&gt;"",AND(OR(X145="OK",X145="DISPENSADO"))),"OK","REVISAR"),IF(N146="Dispensado (ADR)",IF(AND(LEFT(Q146,11)="Condicional",W146&lt;&gt;"",S146&lt;&gt;"",ISNUMBER(T146),T146&gt;0,V146&lt;&gt;""),"DISPENSADO","REVISAR"),"PENDENTE"))</f>
        <v/>
      </c>
      <c r="Y146" s="10" t="inlineStr"/>
    </row>
    <row r="147" ht="112" customHeight="1">
      <c r="A147" s="3" t="n">
        <v>146</v>
      </c>
      <c r="B147" s="3" t="inlineStr">
        <is>
          <t>SL-S14-03</t>
        </is>
      </c>
      <c r="C147" s="9" t="inlineStr">
        <is>
          <t>v0.2.0</t>
        </is>
      </c>
      <c r="D147" s="9" t="inlineStr">
        <is>
          <t>S14</t>
        </is>
      </c>
      <c r="E147" s="3" t="inlineStr">
        <is>
          <t>BlockSuite / domínio</t>
        </is>
      </c>
      <c r="F147" s="3" t="inlineStr">
        <is>
          <t>Integração</t>
        </is>
      </c>
      <c r="G147" s="3" t="inlineStr">
        <is>
          <t>Implementação</t>
        </is>
      </c>
      <c r="H147" s="3" t="inlineStr">
        <is>
          <t>Exibir estados de persistência</t>
        </is>
      </c>
      <c r="I147" s="3" t="inlineStr">
        <is>
          <t>Diferenciar editando, pendente, confirmado, conflito e falha.</t>
        </is>
      </c>
      <c r="J147" s="3" t="inlineStr">
        <is>
          <t>apps/desktop/src/editor/save-status.ts</t>
        </is>
      </c>
      <c r="K147" s="3" t="inlineStr">
        <is>
          <t>Fechar com dados não confirmados alerta e conserva material recuperável.</t>
        </is>
      </c>
      <c r="L147" s="3" t="inlineStr">
        <is>
          <t>SL-S14-02</t>
        </is>
      </c>
      <c r="M147" s="3" t="inlineStr">
        <is>
          <t>R04; R05; R10; R31</t>
        </is>
      </c>
      <c r="N147" s="10" t="inlineStr">
        <is>
          <t>Não iniciado</t>
        </is>
      </c>
      <c r="O147" s="3" t="inlineStr">
        <is>
          <t>P0</t>
        </is>
      </c>
      <c r="P147" s="3" t="inlineStr">
        <is>
          <t>Crítico</t>
        </is>
      </c>
      <c r="Q147" s="3" t="inlineStr">
        <is>
          <t>Obrigatória no escopo da versão</t>
        </is>
      </c>
      <c r="R147" s="10" t="inlineStr">
        <is>
          <t>Autor + agente de IA</t>
        </is>
      </c>
      <c r="S147" s="10" t="inlineStr"/>
      <c r="T147" s="11" t="inlineStr"/>
      <c r="U147" s="3" t="inlineStr">
        <is>
          <t>reports/S14/SL-S14-03.md</t>
        </is>
      </c>
      <c r="V147" s="10" t="inlineStr"/>
      <c r="W147" s="10" t="inlineStr"/>
      <c r="X147" s="3">
        <f>IF(N147="Concluído",IF(AND(S147&lt;&gt;"",ISNUMBER(T147),T147&gt;0,V147&lt;&gt;"",AND(OR(X146="OK",X146="DISPENSADO"))),"OK","REVISAR"),IF(N147="Dispensado (ADR)",IF(AND(LEFT(Q147,11)="Condicional",W147&lt;&gt;"",S147&lt;&gt;"",ISNUMBER(T147),T147&gt;0,V147&lt;&gt;""),"DISPENSADO","REVISAR"),"PENDENTE"))</f>
        <v/>
      </c>
      <c r="Y147" s="10" t="inlineStr"/>
    </row>
    <row r="148" ht="112" customHeight="1">
      <c r="A148" s="3" t="n">
        <v>147</v>
      </c>
      <c r="B148" s="3" t="inlineStr">
        <is>
          <t>SL-S14-04</t>
        </is>
      </c>
      <c r="C148" s="9" t="inlineStr">
        <is>
          <t>v0.2.0</t>
        </is>
      </c>
      <c r="D148" s="9" t="inlineStr">
        <is>
          <t>S14</t>
        </is>
      </c>
      <c r="E148" s="3" t="inlineStr">
        <is>
          <t>BlockSuite / domínio</t>
        </is>
      </c>
      <c r="F148" s="3" t="inlineStr">
        <is>
          <t>Integração</t>
        </is>
      </c>
      <c r="G148" s="3" t="inlineStr">
        <is>
          <t>Implementação</t>
        </is>
      </c>
      <c r="H148" s="3" t="inlineStr">
        <is>
          <t>Integrar undo/redo</t>
        </is>
      </c>
      <c r="I148" s="3" t="inlineStr">
        <is>
          <t>Delimitar histórico de edição em sessão e eventos semânticos duráveis.</t>
        </is>
      </c>
      <c r="J148" s="3" t="inlineStr">
        <is>
          <t>crates/editor-domain/src/history.rs</t>
        </is>
      </c>
      <c r="K148" s="3" t="inlineStr">
        <is>
          <t>Undo não atravessa silenciosamente uma alteração externa ou apaga proveniência.</t>
        </is>
      </c>
      <c r="L148" s="3" t="inlineStr">
        <is>
          <t>SL-S14-03</t>
        </is>
      </c>
      <c r="M148" s="3" t="inlineStr">
        <is>
          <t>R04; R05; R10; R31</t>
        </is>
      </c>
      <c r="N148" s="10" t="inlineStr">
        <is>
          <t>Não iniciado</t>
        </is>
      </c>
      <c r="O148" s="3" t="inlineStr">
        <is>
          <t>P0</t>
        </is>
      </c>
      <c r="P148" s="3" t="inlineStr">
        <is>
          <t>Crítico</t>
        </is>
      </c>
      <c r="Q148" s="3" t="inlineStr">
        <is>
          <t>Obrigatória no escopo da versão</t>
        </is>
      </c>
      <c r="R148" s="10" t="inlineStr">
        <is>
          <t>Autor + agente de IA</t>
        </is>
      </c>
      <c r="S148" s="10" t="inlineStr"/>
      <c r="T148" s="11" t="inlineStr"/>
      <c r="U148" s="3" t="inlineStr">
        <is>
          <t>reports/S14/SL-S14-04.md</t>
        </is>
      </c>
      <c r="V148" s="10" t="inlineStr"/>
      <c r="W148" s="10" t="inlineStr"/>
      <c r="X148" s="3">
        <f>IF(N148="Concluído",IF(AND(S148&lt;&gt;"",ISNUMBER(T148),T148&gt;0,V148&lt;&gt;"",AND(OR(X147="OK",X147="DISPENSADO"))),"OK","REVISAR"),IF(N148="Dispensado (ADR)",IF(AND(LEFT(Q148,11)="Condicional",W148&lt;&gt;"",S148&lt;&gt;"",ISNUMBER(T148),T148&gt;0,V148&lt;&gt;""),"DISPENSADO","REVISAR"),"PENDENTE"))</f>
        <v/>
      </c>
      <c r="Y148" s="10" t="inlineStr"/>
    </row>
    <row r="149" ht="112" customHeight="1">
      <c r="A149" s="3" t="n">
        <v>148</v>
      </c>
      <c r="B149" s="3" t="inlineStr">
        <is>
          <t>SL-S14-05</t>
        </is>
      </c>
      <c r="C149" s="9" t="inlineStr">
        <is>
          <t>v0.2.0</t>
        </is>
      </c>
      <c r="D149" s="9" t="inlineStr">
        <is>
          <t>S14</t>
        </is>
      </c>
      <c r="E149" s="3" t="inlineStr">
        <is>
          <t>BlockSuite / domínio</t>
        </is>
      </c>
      <c r="F149" s="3" t="inlineStr">
        <is>
          <t>Integração</t>
        </is>
      </c>
      <c r="G149" s="3" t="inlineStr">
        <is>
          <t>Implementação</t>
        </is>
      </c>
      <c r="H149" s="3" t="inlineStr">
        <is>
          <t>Integrar comandos e atalhos</t>
        </is>
      </c>
      <c r="I149" s="3" t="inlineStr">
        <is>
          <t>Mapear seleção, inserção, formatação e navegação ao shell.</t>
        </is>
      </c>
      <c r="J149" s="3" t="inlineStr">
        <is>
          <t>apps/desktop/src/editor/commands.ts</t>
        </is>
      </c>
      <c r="K149" s="3" t="inlineStr">
        <is>
          <t>Atalho de editor não dispara simultaneamente comando de canvas ou aplicação.</t>
        </is>
      </c>
      <c r="L149" s="3" t="inlineStr">
        <is>
          <t>SL-S14-04</t>
        </is>
      </c>
      <c r="M149" s="3" t="inlineStr">
        <is>
          <t>R04; R05; R10; R31</t>
        </is>
      </c>
      <c r="N149" s="10" t="inlineStr">
        <is>
          <t>Não iniciado</t>
        </is>
      </c>
      <c r="O149" s="3" t="inlineStr">
        <is>
          <t>P0</t>
        </is>
      </c>
      <c r="P149" s="3" t="inlineStr">
        <is>
          <t>Crítico</t>
        </is>
      </c>
      <c r="Q149" s="3" t="inlineStr">
        <is>
          <t>Obrigatória no escopo da versão</t>
        </is>
      </c>
      <c r="R149" s="10" t="inlineStr">
        <is>
          <t>Autor + agente de IA</t>
        </is>
      </c>
      <c r="S149" s="10" t="inlineStr"/>
      <c r="T149" s="11" t="inlineStr"/>
      <c r="U149" s="3" t="inlineStr">
        <is>
          <t>reports/S14/SL-S14-05.md</t>
        </is>
      </c>
      <c r="V149" s="10" t="inlineStr"/>
      <c r="W149" s="10" t="inlineStr"/>
      <c r="X149" s="3">
        <f>IF(N149="Concluído",IF(AND(S149&lt;&gt;"",ISNUMBER(T149),T149&gt;0,V149&lt;&gt;"",AND(OR(X148="OK",X148="DISPENSADO"))),"OK","REVISAR"),IF(N149="Dispensado (ADR)",IF(AND(LEFT(Q149,11)="Condicional",W149&lt;&gt;"",S149&lt;&gt;"",ISNUMBER(T149),T149&gt;0,V149&lt;&gt;""),"DISPENSADO","REVISAR"),"PENDENTE"))</f>
        <v/>
      </c>
      <c r="Y149" s="10" t="inlineStr"/>
    </row>
    <row r="150" ht="112" customHeight="1">
      <c r="A150" s="3" t="n">
        <v>149</v>
      </c>
      <c r="B150" s="3" t="inlineStr">
        <is>
          <t>SL-S14-06</t>
        </is>
      </c>
      <c r="C150" s="9" t="inlineStr">
        <is>
          <t>v0.2.0</t>
        </is>
      </c>
      <c r="D150" s="9" t="inlineStr">
        <is>
          <t>S14</t>
        </is>
      </c>
      <c r="E150" s="3" t="inlineStr">
        <is>
          <t>BlockSuite / domínio</t>
        </is>
      </c>
      <c r="F150" s="3" t="inlineStr">
        <is>
          <t>Integração</t>
        </is>
      </c>
      <c r="G150" s="3" t="inlineStr">
        <is>
          <t>Implementação</t>
        </is>
      </c>
      <c r="H150" s="3" t="inlineStr">
        <is>
          <t>Controlar clipboard</t>
        </is>
      </c>
      <c r="I150" s="3" t="inlineStr">
        <is>
          <t>Importar texto/HTML/assets por pipeline seguro e apresentar resultado previsível.</t>
        </is>
      </c>
      <c r="J150" s="3" t="inlineStr">
        <is>
          <t>apps/desktop/src/editor/clipboard.ts</t>
        </is>
      </c>
      <c r="K150" s="3" t="inlineStr">
        <is>
          <t>Colagem de HTML não executa script e referências locais não autorizadas são negadas.</t>
        </is>
      </c>
      <c r="L150" s="3" t="inlineStr">
        <is>
          <t>SL-S14-05</t>
        </is>
      </c>
      <c r="M150" s="3" t="inlineStr">
        <is>
          <t>R04; R05; R10; R31</t>
        </is>
      </c>
      <c r="N150" s="10" t="inlineStr">
        <is>
          <t>Não iniciado</t>
        </is>
      </c>
      <c r="O150" s="3" t="inlineStr">
        <is>
          <t>P0</t>
        </is>
      </c>
      <c r="P150" s="3" t="inlineStr">
        <is>
          <t>Crítico</t>
        </is>
      </c>
      <c r="Q150" s="3" t="inlineStr">
        <is>
          <t>Obrigatória no escopo da versão</t>
        </is>
      </c>
      <c r="R150" s="10" t="inlineStr">
        <is>
          <t>Autor + agente de IA</t>
        </is>
      </c>
      <c r="S150" s="10" t="inlineStr"/>
      <c r="T150" s="11" t="inlineStr"/>
      <c r="U150" s="3" t="inlineStr">
        <is>
          <t>reports/S14/SL-S14-06.md</t>
        </is>
      </c>
      <c r="V150" s="10" t="inlineStr"/>
      <c r="W150" s="10" t="inlineStr"/>
      <c r="X150" s="3">
        <f>IF(N150="Concluído",IF(AND(S150&lt;&gt;"",ISNUMBER(T150),T150&gt;0,V150&lt;&gt;"",AND(OR(X149="OK",X149="DISPENSADO"))),"OK","REVISAR"),IF(N150="Dispensado (ADR)",IF(AND(LEFT(Q150,11)="Condicional",W150&lt;&gt;"",S150&lt;&gt;"",ISNUMBER(T150),T150&gt;0,V150&lt;&gt;""),"DISPENSADO","REVISAR"),"PENDENTE"))</f>
        <v/>
      </c>
      <c r="Y150" s="10" t="inlineStr"/>
    </row>
    <row r="151" ht="112" customHeight="1">
      <c r="A151" s="3" t="n">
        <v>150</v>
      </c>
      <c r="B151" s="3" t="inlineStr">
        <is>
          <t>SL-S14-07</t>
        </is>
      </c>
      <c r="C151" s="9" t="inlineStr">
        <is>
          <t>v0.2.0</t>
        </is>
      </c>
      <c r="D151" s="9" t="inlineStr">
        <is>
          <t>S14</t>
        </is>
      </c>
      <c r="E151" s="3" t="inlineStr">
        <is>
          <t>BlockSuite / domínio</t>
        </is>
      </c>
      <c r="F151" s="3" t="inlineStr">
        <is>
          <t>Integração</t>
        </is>
      </c>
      <c r="G151" s="3" t="inlineStr">
        <is>
          <t>Implementação</t>
        </is>
      </c>
      <c r="H151" s="3" t="inlineStr">
        <is>
          <t>Retomar rascunho após falha</t>
        </is>
      </c>
      <c r="I151" s="3" t="inlineStr">
        <is>
          <t>Reconstruir documento a partir de revisão/checkpoint autorizado.</t>
        </is>
      </c>
      <c r="J151" s="3" t="inlineStr">
        <is>
          <t>apps/desktop/src/editor/recovery.ts</t>
        </is>
      </c>
      <c r="K151" s="3" t="inlineStr">
        <is>
          <t>Reabertura não depende de IndexedDB/Yjs como única fonte do conteúdo salvo.</t>
        </is>
      </c>
      <c r="L151" s="3" t="inlineStr">
        <is>
          <t>SL-S14-06</t>
        </is>
      </c>
      <c r="M151" s="3" t="inlineStr">
        <is>
          <t>R04; R05; R10; R31</t>
        </is>
      </c>
      <c r="N151" s="10" t="inlineStr">
        <is>
          <t>Não iniciado</t>
        </is>
      </c>
      <c r="O151" s="3" t="inlineStr">
        <is>
          <t>P0</t>
        </is>
      </c>
      <c r="P151" s="3" t="inlineStr">
        <is>
          <t>Crítico</t>
        </is>
      </c>
      <c r="Q151" s="3" t="inlineStr">
        <is>
          <t>Obrigatória no escopo da versão</t>
        </is>
      </c>
      <c r="R151" s="10" t="inlineStr">
        <is>
          <t>Autor + agente de IA</t>
        </is>
      </c>
      <c r="S151" s="10" t="inlineStr"/>
      <c r="T151" s="11" t="inlineStr"/>
      <c r="U151" s="3" t="inlineStr">
        <is>
          <t>reports/S14/SL-S14-07.md</t>
        </is>
      </c>
      <c r="V151" s="10" t="inlineStr"/>
      <c r="W151" s="10" t="inlineStr"/>
      <c r="X151" s="3">
        <f>IF(N151="Concluído",IF(AND(S151&lt;&gt;"",ISNUMBER(T151),T151&gt;0,V151&lt;&gt;"",AND(OR(X150="OK",X150="DISPENSADO"))),"OK","REVISAR"),IF(N151="Dispensado (ADR)",IF(AND(LEFT(Q151,11)="Condicional",W151&lt;&gt;"",S151&lt;&gt;"",ISNUMBER(T151),T151&gt;0,V151&lt;&gt;""),"DISPENSADO","REVISAR"),"PENDENTE"))</f>
        <v/>
      </c>
      <c r="Y151" s="10" t="inlineStr"/>
    </row>
    <row r="152" ht="112" customHeight="1">
      <c r="A152" s="3" t="n">
        <v>151</v>
      </c>
      <c r="B152" s="3" t="inlineStr">
        <is>
          <t>SL-S14-08</t>
        </is>
      </c>
      <c r="C152" s="9" t="inlineStr">
        <is>
          <t>v0.2.0</t>
        </is>
      </c>
      <c r="D152" s="9" t="inlineStr">
        <is>
          <t>S14</t>
        </is>
      </c>
      <c r="E152" s="3" t="inlineStr">
        <is>
          <t>BlockSuite / domínio</t>
        </is>
      </c>
      <c r="F152" s="3" t="inlineStr">
        <is>
          <t>Integração</t>
        </is>
      </c>
      <c r="G152" s="3" t="inlineStr">
        <is>
          <t>Implementação</t>
        </is>
      </c>
      <c r="H152" s="3" t="inlineStr">
        <is>
          <t>Tratar documento read-only</t>
        </is>
      </c>
      <c r="I152" s="3" t="inlineStr">
        <is>
          <t>Exibir fontes imutáveis e sugerir criar nota/recorte para editar.</t>
        </is>
      </c>
      <c r="J152" s="3" t="inlineStr">
        <is>
          <t>apps/desktop/src/editor/readonly.ts</t>
        </is>
      </c>
      <c r="K152" s="3" t="inlineStr">
        <is>
          <t>Formatação/clipboard não conseguem modificar fonte marcada somente leitura pelo domínio.</t>
        </is>
      </c>
      <c r="L152" s="3" t="inlineStr">
        <is>
          <t>SL-S14-07</t>
        </is>
      </c>
      <c r="M152" s="3" t="inlineStr">
        <is>
          <t>R04; R05; R10; R31</t>
        </is>
      </c>
      <c r="N152" s="10" t="inlineStr">
        <is>
          <t>Não iniciado</t>
        </is>
      </c>
      <c r="O152" s="3" t="inlineStr">
        <is>
          <t>P0</t>
        </is>
      </c>
      <c r="P152" s="3" t="inlineStr">
        <is>
          <t>Crítico</t>
        </is>
      </c>
      <c r="Q152" s="3" t="inlineStr">
        <is>
          <t>Obrigatória no escopo da versão</t>
        </is>
      </c>
      <c r="R152" s="10" t="inlineStr">
        <is>
          <t>Autor + agente de IA</t>
        </is>
      </c>
      <c r="S152" s="10" t="inlineStr"/>
      <c r="T152" s="11" t="inlineStr"/>
      <c r="U152" s="3" t="inlineStr">
        <is>
          <t>reports/S14/SL-S14-08.md</t>
        </is>
      </c>
      <c r="V152" s="10" t="inlineStr"/>
      <c r="W152" s="10" t="inlineStr"/>
      <c r="X152" s="3">
        <f>IF(N152="Concluído",IF(AND(S152&lt;&gt;"",ISNUMBER(T152),T152&gt;0,V152&lt;&gt;"",AND(OR(X151="OK",X151="DISPENSADO"))),"OK","REVISAR"),IF(N152="Dispensado (ADR)",IF(AND(LEFT(Q152,11)="Condicional",W152&lt;&gt;"",S152&lt;&gt;"",ISNUMBER(T152),T152&gt;0,V152&lt;&gt;""),"DISPENSADO","REVISAR"),"PENDENTE"))</f>
        <v/>
      </c>
      <c r="Y152" s="10" t="inlineStr"/>
    </row>
    <row r="153" ht="112" customHeight="1">
      <c r="A153" s="3" t="n">
        <v>152</v>
      </c>
      <c r="B153" s="3" t="inlineStr">
        <is>
          <t>SL-S14-09</t>
        </is>
      </c>
      <c r="C153" s="9" t="inlineStr">
        <is>
          <t>v0.2.0</t>
        </is>
      </c>
      <c r="D153" s="9" t="inlineStr">
        <is>
          <t>S14</t>
        </is>
      </c>
      <c r="E153" s="3" t="inlineStr">
        <is>
          <t>BlockSuite / domínio</t>
        </is>
      </c>
      <c r="F153" s="3" t="inlineStr">
        <is>
          <t>Integração</t>
        </is>
      </c>
      <c r="G153" s="3" t="inlineStr">
        <is>
          <t>Teste</t>
        </is>
      </c>
      <c r="H153" s="3" t="inlineStr">
        <is>
          <t>Exercitar IME e seleção</t>
        </is>
      </c>
      <c r="I153" s="3" t="inlineStr">
        <is>
          <t>Cobrir composição de acentos, teclados diferentes e seleção extensa.</t>
        </is>
      </c>
      <c r="J153" s="3" t="inlineStr">
        <is>
          <t>tests/editor/input/</t>
        </is>
      </c>
      <c r="K153" s="3" t="inlineStr">
        <is>
          <t>Autosave e rerender não interrompem composição nem deslocam caret indevidamente.</t>
        </is>
      </c>
      <c r="L153" s="3" t="inlineStr">
        <is>
          <t>SL-S14-08</t>
        </is>
      </c>
      <c r="M153" s="3" t="inlineStr">
        <is>
          <t>R04; R05; R10; R31</t>
        </is>
      </c>
      <c r="N153" s="10" t="inlineStr">
        <is>
          <t>Não iniciado</t>
        </is>
      </c>
      <c r="O153" s="3" t="inlineStr">
        <is>
          <t>P0</t>
        </is>
      </c>
      <c r="P153" s="3" t="inlineStr">
        <is>
          <t>Crítico</t>
        </is>
      </c>
      <c r="Q153" s="3" t="inlineStr">
        <is>
          <t>Obrigatória no escopo da versão</t>
        </is>
      </c>
      <c r="R153" s="10" t="inlineStr">
        <is>
          <t>Autor + agente de IA</t>
        </is>
      </c>
      <c r="S153" s="10" t="inlineStr"/>
      <c r="T153" s="11" t="inlineStr"/>
      <c r="U153" s="3" t="inlineStr">
        <is>
          <t>reports/S14/SL-S14-09.md</t>
        </is>
      </c>
      <c r="V153" s="10" t="inlineStr"/>
      <c r="W153" s="10" t="inlineStr"/>
      <c r="X153" s="3">
        <f>IF(N153="Concluído",IF(AND(S153&lt;&gt;"",ISNUMBER(T153),T153&gt;0,V153&lt;&gt;"",AND(OR(X152="OK",X152="DISPENSADO"))),"OK","REVISAR"),IF(N153="Dispensado (ADR)",IF(AND(LEFT(Q153,11)="Condicional",W153&lt;&gt;"",S153&lt;&gt;"",ISNUMBER(T153),T153&gt;0,V153&lt;&gt;""),"DISPENSADO","REVISAR"),"PENDENTE"))</f>
        <v/>
      </c>
      <c r="Y153" s="10" t="inlineStr"/>
    </row>
    <row r="154" ht="112" customHeight="1">
      <c r="A154" s="3" t="n">
        <v>153</v>
      </c>
      <c r="B154" s="3" t="inlineStr">
        <is>
          <t>SL-S14-10</t>
        </is>
      </c>
      <c r="C154" s="9" t="inlineStr">
        <is>
          <t>v0.2.0</t>
        </is>
      </c>
      <c r="D154" s="9" t="inlineStr">
        <is>
          <t>S14</t>
        </is>
      </c>
      <c r="E154" s="3" t="inlineStr">
        <is>
          <t>BlockSuite / domínio</t>
        </is>
      </c>
      <c r="F154" s="3" t="inlineStr">
        <is>
          <t>Integração</t>
        </is>
      </c>
      <c r="G154" s="3" t="inlineStr">
        <is>
          <t>Teste</t>
        </is>
      </c>
      <c r="H154" s="3" t="inlineStr">
        <is>
          <t>Validar conflitos ponta a ponta</t>
        </is>
      </c>
      <c r="I154" s="3" t="inlineStr">
        <is>
          <t>Editar o mesmo arquivo fora do app durante digitação.</t>
        </is>
      </c>
      <c r="J154" s="3" t="inlineStr">
        <is>
          <t>reports/editor/concurrency.md</t>
        </is>
      </c>
      <c r="K154" s="3" t="inlineStr">
        <is>
          <t>Usuário resolve o conflito e ambas as versões podem ser recuperadas.</t>
        </is>
      </c>
      <c r="L154" s="3" t="inlineStr">
        <is>
          <t>SL-S14-09</t>
        </is>
      </c>
      <c r="M154" s="3" t="inlineStr">
        <is>
          <t>R04; R05; R10; R31</t>
        </is>
      </c>
      <c r="N154" s="10" t="inlineStr">
        <is>
          <t>Não iniciado</t>
        </is>
      </c>
      <c r="O154" s="3" t="inlineStr">
        <is>
          <t>P0</t>
        </is>
      </c>
      <c r="P154" s="3" t="inlineStr">
        <is>
          <t>Crítico</t>
        </is>
      </c>
      <c r="Q154" s="3" t="inlineStr">
        <is>
          <t>Obrigatória no escopo da versão</t>
        </is>
      </c>
      <c r="R154" s="10" t="inlineStr">
        <is>
          <t>Autor + agente de IA</t>
        </is>
      </c>
      <c r="S154" s="10" t="inlineStr"/>
      <c r="T154" s="11" t="inlineStr"/>
      <c r="U154" s="3" t="inlineStr">
        <is>
          <t>reports/S14/SL-S14-10.md</t>
        </is>
      </c>
      <c r="V154" s="10" t="inlineStr"/>
      <c r="W154" s="10" t="inlineStr"/>
      <c r="X154" s="3">
        <f>IF(N154="Concluído",IF(AND(S154&lt;&gt;"",ISNUMBER(T154),T154&gt;0,V154&lt;&gt;"",AND(OR(X153="OK",X153="DISPENSADO"))),"OK","REVISAR"),IF(N154="Dispensado (ADR)",IF(AND(LEFT(Q154,11)="Condicional",W154&lt;&gt;"",S154&lt;&gt;"",ISNUMBER(T154),T154&gt;0,V154&lt;&gt;""),"DISPENSADO","REVISAR"),"PENDENTE"))</f>
        <v/>
      </c>
      <c r="Y154" s="10" t="inlineStr"/>
    </row>
    <row r="155" ht="98" customHeight="1">
      <c r="A155" s="3" t="n">
        <v>154</v>
      </c>
      <c r="B155" s="12" t="inlineStr">
        <is>
          <t>SL-S14-GATE</t>
        </is>
      </c>
      <c r="C155" s="9" t="inlineStr">
        <is>
          <t>v0.2.0</t>
        </is>
      </c>
      <c r="D155" s="9" t="inlineStr">
        <is>
          <t>S14</t>
        </is>
      </c>
      <c r="E155" s="3" t="inlineStr">
        <is>
          <t>BlockSuite / domínio</t>
        </is>
      </c>
      <c r="F155" s="3" t="inlineStr">
        <is>
          <t>Aceite humano</t>
        </is>
      </c>
      <c r="G155" s="12" t="inlineStr">
        <is>
          <t>Gate</t>
        </is>
      </c>
      <c r="H155" s="12" t="inlineStr">
        <is>
          <t>Aceitar S14 — Integrar comandos, salvamento e undo editorial</t>
        </is>
      </c>
      <c r="I155" s="3" t="inlineStr">
        <is>
          <t>Revisar as dez tarefas, executar a demonstração do sprint, confrontar critérios e registrar decisão go/no-go.</t>
        </is>
      </c>
      <c r="J155" s="3" t="inlineStr">
        <is>
          <t>reports/S14/acceptance.md</t>
        </is>
      </c>
      <c r="K155" s="3" t="inlineStr">
        <is>
          <t>Editar, desfazer, conflitar com editor externo e recuperar sem cópia oculta no Yjs. Todas as dependências aceitas; evidências vinculadas a revisão/ambiente; nenhum blocker de integridade/segurança.</t>
        </is>
      </c>
      <c r="L155" s="3" t="inlineStr">
        <is>
          <t>SL-S14-01; SL-S14-02; SL-S14-03; SL-S14-04; SL-S14-05; SL-S14-06; SL-S14-07; SL-S14-08; SL-S14-09; SL-S14-10</t>
        </is>
      </c>
      <c r="M155" s="3" t="inlineStr">
        <is>
          <t>R04; R05; R10; R31</t>
        </is>
      </c>
      <c r="N155" s="10" t="inlineStr">
        <is>
          <t>Não iniciado</t>
        </is>
      </c>
      <c r="O155" s="3" t="inlineStr">
        <is>
          <t>P0</t>
        </is>
      </c>
      <c r="P155" s="3" t="inlineStr">
        <is>
          <t>Crítico</t>
        </is>
      </c>
      <c r="Q155" s="3" t="inlineStr">
        <is>
          <t>Obrigatória para fechar a versão aprovada</t>
        </is>
      </c>
      <c r="R155" s="10" t="inlineStr">
        <is>
          <t>Autor</t>
        </is>
      </c>
      <c r="S155" s="10" t="inlineStr"/>
      <c r="T155" s="11" t="inlineStr"/>
      <c r="U155" s="3" t="inlineStr">
        <is>
          <t>reports/S14/acceptance.md</t>
        </is>
      </c>
      <c r="V155" s="10" t="inlineStr"/>
      <c r="W155" s="10" t="inlineStr"/>
      <c r="X155" s="3">
        <f>IF(N155="Concluído",IF(AND(S155&lt;&gt;"",ISNUMBER(T155),T155&gt;0,V155&lt;&gt;"",AND(OR(X145="OK",X145="DISPENSADO"),OR(X146="OK",X146="DISPENSADO"),OR(X147="OK",X147="DISPENSADO"),OR(X148="OK",X148="DISPENSADO"),OR(X149="OK",X149="DISPENSADO"),OR(X150="OK",X150="DISPENSADO"),OR(X151="OK",X151="DISPENSADO"),OR(X152="OK",X152="DISPENSADO"),OR(X153="OK",X153="DISPENSADO"),OR(X154="OK",X154="DISPENSADO"))),"OK","REVISAR"),IF(N155="Dispensado (ADR)",IF(AND(LEFT(Q155,11)="Condicional",W155&lt;&gt;"",S155&lt;&gt;"",ISNUMBER(T155),T155&gt;0,V155&lt;&gt;""),"DISPENSADO","REVISAR"),"PENDENTE"))</f>
        <v/>
      </c>
      <c r="Y155" s="10" t="inlineStr"/>
    </row>
    <row r="156" ht="112" customHeight="1">
      <c r="A156" s="3" t="n">
        <v>155</v>
      </c>
      <c r="B156" s="3" t="inlineStr">
        <is>
          <t>SL-S15-01</t>
        </is>
      </c>
      <c r="C156" s="9" t="inlineStr">
        <is>
          <t>v0.2.0</t>
        </is>
      </c>
      <c r="D156" s="9" t="inlineStr">
        <is>
          <t>S15</t>
        </is>
      </c>
      <c r="E156" s="3" t="inlineStr">
        <is>
          <t>Editor / Tauri</t>
        </is>
      </c>
      <c r="F156" s="3" t="inlineStr">
        <is>
          <t>Integração</t>
        </is>
      </c>
      <c r="G156" s="3" t="inlineStr">
        <is>
          <t>Implementação</t>
        </is>
      </c>
      <c r="H156" s="3" t="inlineStr">
        <is>
          <t>Criar lista e navegação de notas</t>
        </is>
      </c>
      <c r="I156" s="3" t="inlineStr">
        <is>
          <t>Usar inventário local e identidade, sem indexação semântica obrigatória.</t>
        </is>
      </c>
      <c r="J156" s="3" t="inlineStr">
        <is>
          <t>apps/desktop/src/notes/</t>
        </is>
      </c>
      <c r="K156" s="3" t="inlineStr">
        <is>
          <t>Renomeação preserva seleção e documento aberto.</t>
        </is>
      </c>
      <c r="L156" s="3" t="inlineStr">
        <is>
          <t>SL-S14-GATE</t>
        </is>
      </c>
      <c r="M156" s="3" t="inlineStr">
        <is>
          <t>R07; R09; R10; R31; R34</t>
        </is>
      </c>
      <c r="N156" s="10" t="inlineStr">
        <is>
          <t>Não iniciado</t>
        </is>
      </c>
      <c r="O156" s="3" t="inlineStr">
        <is>
          <t>P1</t>
        </is>
      </c>
      <c r="P156" s="3" t="inlineStr">
        <is>
          <t>Alto</t>
        </is>
      </c>
      <c r="Q156" s="3" t="inlineStr">
        <is>
          <t>Obrigatória no escopo da versão</t>
        </is>
      </c>
      <c r="R156" s="10" t="inlineStr">
        <is>
          <t>Autor + agente de IA</t>
        </is>
      </c>
      <c r="S156" s="10" t="inlineStr"/>
      <c r="T156" s="11" t="inlineStr"/>
      <c r="U156" s="3" t="inlineStr">
        <is>
          <t>reports/S15/SL-S15-01.md</t>
        </is>
      </c>
      <c r="V156" s="10" t="inlineStr"/>
      <c r="W156" s="10" t="inlineStr"/>
      <c r="X156" s="3">
        <f>IF(N156="Concluído",IF(AND(S156&lt;&gt;"",ISNUMBER(T156),T156&gt;0,V156&lt;&gt;"",AND(OR(X155="OK",X155="DISPENSADO"))),"OK","REVISAR"),IF(N156="Dispensado (ADR)",IF(AND(LEFT(Q156,11)="Condicional",W156&lt;&gt;"",S156&lt;&gt;"",ISNUMBER(T156),T156&gt;0,V156&lt;&gt;""),"DISPENSADO","REVISAR"),"PENDENTE"))</f>
        <v/>
      </c>
      <c r="Y156" s="10" t="inlineStr"/>
    </row>
    <row r="157" ht="112" customHeight="1">
      <c r="A157" s="3" t="n">
        <v>156</v>
      </c>
      <c r="B157" s="3" t="inlineStr">
        <is>
          <t>SL-S15-02</t>
        </is>
      </c>
      <c r="C157" s="9" t="inlineStr">
        <is>
          <t>v0.2.0</t>
        </is>
      </c>
      <c r="D157" s="9" t="inlineStr">
        <is>
          <t>S15</t>
        </is>
      </c>
      <c r="E157" s="3" t="inlineStr">
        <is>
          <t>Editor / Tauri</t>
        </is>
      </c>
      <c r="F157" s="3" t="inlineStr">
        <is>
          <t>Integração</t>
        </is>
      </c>
      <c r="G157" s="3" t="inlineStr">
        <is>
          <t>Implementação</t>
        </is>
      </c>
      <c r="H157" s="3" t="inlineStr">
        <is>
          <t>Criar ações de documento</t>
        </is>
      </c>
      <c r="I157" s="3" t="inlineStr">
        <is>
          <t>Novo, duplicar, mover, lixeira e restaurar usando o Core.</t>
        </is>
      </c>
      <c r="J157" s="3" t="inlineStr">
        <is>
          <t>crates/editor-domain/src/doc_actions.rs</t>
        </is>
      </c>
      <c r="K157" s="3" t="inlineStr">
        <is>
          <t>Duplicata possui nova identidade e restauração não sobrepõe outro arquivo existente.</t>
        </is>
      </c>
      <c r="L157" s="3" t="inlineStr">
        <is>
          <t>SL-S15-01</t>
        </is>
      </c>
      <c r="M157" s="3" t="inlineStr">
        <is>
          <t>R07; R09; R10; R31; R34</t>
        </is>
      </c>
      <c r="N157" s="10" t="inlineStr">
        <is>
          <t>Não iniciado</t>
        </is>
      </c>
      <c r="O157" s="3" t="inlineStr">
        <is>
          <t>P1</t>
        </is>
      </c>
      <c r="P157" s="3" t="inlineStr">
        <is>
          <t>Alto</t>
        </is>
      </c>
      <c r="Q157" s="3" t="inlineStr">
        <is>
          <t>Obrigatória no escopo da versão</t>
        </is>
      </c>
      <c r="R157" s="10" t="inlineStr">
        <is>
          <t>Autor + agente de IA</t>
        </is>
      </c>
      <c r="S157" s="10" t="inlineStr"/>
      <c r="T157" s="11" t="inlineStr"/>
      <c r="U157" s="3" t="inlineStr">
        <is>
          <t>reports/S15/SL-S15-02.md</t>
        </is>
      </c>
      <c r="V157" s="10" t="inlineStr"/>
      <c r="W157" s="10" t="inlineStr"/>
      <c r="X157" s="3">
        <f>IF(N157="Concluído",IF(AND(S157&lt;&gt;"",ISNUMBER(T157),T157&gt;0,V157&lt;&gt;"",AND(OR(X156="OK",X156="DISPENSADO"))),"OK","REVISAR"),IF(N157="Dispensado (ADR)",IF(AND(LEFT(Q157,11)="Condicional",W157&lt;&gt;"",S157&lt;&gt;"",ISNUMBER(T157),T157&gt;0,V157&lt;&gt;""),"DISPENSADO","REVISAR"),"PENDENTE"))</f>
        <v/>
      </c>
      <c r="Y157" s="10" t="inlineStr"/>
    </row>
    <row r="158" ht="112" customHeight="1">
      <c r="A158" s="3" t="n">
        <v>157</v>
      </c>
      <c r="B158" s="3" t="inlineStr">
        <is>
          <t>SL-S15-03</t>
        </is>
      </c>
      <c r="C158" s="9" t="inlineStr">
        <is>
          <t>v0.2.0</t>
        </is>
      </c>
      <c r="D158" s="9" t="inlineStr">
        <is>
          <t>S15</t>
        </is>
      </c>
      <c r="E158" s="3" t="inlineStr">
        <is>
          <t>Editor / Tauri</t>
        </is>
      </c>
      <c r="F158" s="3" t="inlineStr">
        <is>
          <t>Integração</t>
        </is>
      </c>
      <c r="G158" s="3" t="inlineStr">
        <is>
          <t>Implementação</t>
        </is>
      </c>
      <c r="H158" s="3" t="inlineStr">
        <is>
          <t>Implementar busca simples por título</t>
        </is>
      </c>
      <c r="I158" s="3" t="inlineStr">
        <is>
          <t>Consultar inventário sem antecipar o backend vetorial.</t>
        </is>
      </c>
      <c r="J158" s="3" t="inlineStr">
        <is>
          <t>apps/desktop/src/notes/title-search.ts</t>
        </is>
      </c>
      <c r="K158" s="3" t="inlineStr">
        <is>
          <t>Funciona com modelos ausentes e não envia texto a serviço externo.</t>
        </is>
      </c>
      <c r="L158" s="3" t="inlineStr">
        <is>
          <t>SL-S15-02</t>
        </is>
      </c>
      <c r="M158" s="3" t="inlineStr">
        <is>
          <t>R07; R09; R10; R31; R34</t>
        </is>
      </c>
      <c r="N158" s="10" t="inlineStr">
        <is>
          <t>Não iniciado</t>
        </is>
      </c>
      <c r="O158" s="3" t="inlineStr">
        <is>
          <t>P1</t>
        </is>
      </c>
      <c r="P158" s="3" t="inlineStr">
        <is>
          <t>Alto</t>
        </is>
      </c>
      <c r="Q158" s="3" t="inlineStr">
        <is>
          <t>Obrigatória no escopo da versão</t>
        </is>
      </c>
      <c r="R158" s="10" t="inlineStr">
        <is>
          <t>Autor + agente de IA</t>
        </is>
      </c>
      <c r="S158" s="10" t="inlineStr"/>
      <c r="T158" s="11" t="inlineStr"/>
      <c r="U158" s="3" t="inlineStr">
        <is>
          <t>reports/S15/SL-S15-03.md</t>
        </is>
      </c>
      <c r="V158" s="10" t="inlineStr"/>
      <c r="W158" s="10" t="inlineStr"/>
      <c r="X158" s="3">
        <f>IF(N158="Concluído",IF(AND(S158&lt;&gt;"",ISNUMBER(T158),T158&gt;0,V158&lt;&gt;"",AND(OR(X157="OK",X157="DISPENSADO"))),"OK","REVISAR"),IF(N158="Dispensado (ADR)",IF(AND(LEFT(Q158,11)="Condicional",W158&lt;&gt;"",S158&lt;&gt;"",ISNUMBER(T158),T158&gt;0,V158&lt;&gt;""),"DISPENSADO","REVISAR"),"PENDENTE"))</f>
        <v/>
      </c>
      <c r="Y158" s="10" t="inlineStr"/>
    </row>
    <row r="159" ht="112" customHeight="1">
      <c r="A159" s="3" t="n">
        <v>158</v>
      </c>
      <c r="B159" s="3" t="inlineStr">
        <is>
          <t>SL-S15-04</t>
        </is>
      </c>
      <c r="C159" s="9" t="inlineStr">
        <is>
          <t>v0.2.0</t>
        </is>
      </c>
      <c r="D159" s="9" t="inlineStr">
        <is>
          <t>S15</t>
        </is>
      </c>
      <c r="E159" s="3" t="inlineStr">
        <is>
          <t>Editor / Tauri</t>
        </is>
      </c>
      <c r="F159" s="3" t="inlineStr">
        <is>
          <t>Integração</t>
        </is>
      </c>
      <c r="G159" s="3" t="inlineStr">
        <is>
          <t>Implementação</t>
        </is>
      </c>
      <c r="H159" s="3" t="inlineStr">
        <is>
          <t>Construir leitura segura</t>
        </is>
      </c>
      <c r="I159" s="3" t="inlineStr">
        <is>
          <t>Renderizar links/assets e bloquear conteúdo ativo não pertencente ao app.</t>
        </is>
      </c>
      <c r="J159" s="3" t="inlineStr">
        <is>
          <t>apps/desktop/src/reader/</t>
        </is>
      </c>
      <c r="K159" s="3" t="inlineStr">
        <is>
          <t>Abrir nota hostil não acessa IPC privilegiado nem recursos remotos por padrão.</t>
        </is>
      </c>
      <c r="L159" s="3" t="inlineStr">
        <is>
          <t>SL-S15-03</t>
        </is>
      </c>
      <c r="M159" s="3" t="inlineStr">
        <is>
          <t>R07; R09; R10; R31; R34</t>
        </is>
      </c>
      <c r="N159" s="10" t="inlineStr">
        <is>
          <t>Não iniciado</t>
        </is>
      </c>
      <c r="O159" s="3" t="inlineStr">
        <is>
          <t>P1</t>
        </is>
      </c>
      <c r="P159" s="3" t="inlineStr">
        <is>
          <t>Alto</t>
        </is>
      </c>
      <c r="Q159" s="3" t="inlineStr">
        <is>
          <t>Obrigatória no escopo da versão</t>
        </is>
      </c>
      <c r="R159" s="10" t="inlineStr">
        <is>
          <t>Autor + agente de IA</t>
        </is>
      </c>
      <c r="S159" s="10" t="inlineStr"/>
      <c r="T159" s="11" t="inlineStr"/>
      <c r="U159" s="3" t="inlineStr">
        <is>
          <t>reports/S15/SL-S15-04.md</t>
        </is>
      </c>
      <c r="V159" s="10" t="inlineStr"/>
      <c r="W159" s="10" t="inlineStr"/>
      <c r="X159" s="3">
        <f>IF(N159="Concluído",IF(AND(S159&lt;&gt;"",ISNUMBER(T159),T159&gt;0,V159&lt;&gt;"",AND(OR(X158="OK",X158="DISPENSADO"))),"OK","REVISAR"),IF(N159="Dispensado (ADR)",IF(AND(LEFT(Q159,11)="Condicional",W159&lt;&gt;"",S159&lt;&gt;"",ISNUMBER(T159),T159&gt;0,V159&lt;&gt;""),"DISPENSADO","REVISAR"),"PENDENTE"))</f>
        <v/>
      </c>
      <c r="Y159" s="10" t="inlineStr"/>
    </row>
    <row r="160" ht="112" customHeight="1">
      <c r="A160" s="3" t="n">
        <v>159</v>
      </c>
      <c r="B160" s="3" t="inlineStr">
        <is>
          <t>SL-S15-05</t>
        </is>
      </c>
      <c r="C160" s="9" t="inlineStr">
        <is>
          <t>v0.2.0</t>
        </is>
      </c>
      <c r="D160" s="9" t="inlineStr">
        <is>
          <t>S15</t>
        </is>
      </c>
      <c r="E160" s="3" t="inlineStr">
        <is>
          <t>Editor / Tauri</t>
        </is>
      </c>
      <c r="F160" s="3" t="inlineStr">
        <is>
          <t>Integração</t>
        </is>
      </c>
      <c r="G160" s="3" t="inlineStr">
        <is>
          <t>Implementação</t>
        </is>
      </c>
      <c r="H160" s="3" t="inlineStr">
        <is>
          <t>Polir foco e teclado</t>
        </is>
      </c>
      <c r="I160" s="3" t="inlineStr">
        <is>
          <t>Definir sequência entre lista, editor, toolbar e estados de erro.</t>
        </is>
      </c>
      <c r="J160" s="3" t="inlineStr">
        <is>
          <t>apps/desktop/src/notes/focus.ts</t>
        </is>
      </c>
      <c r="K160" s="3" t="inlineStr">
        <is>
          <t>Jornada criar→editar→salvar→reabrir pode ser feita com teclado.</t>
        </is>
      </c>
      <c r="L160" s="3" t="inlineStr">
        <is>
          <t>SL-S15-04</t>
        </is>
      </c>
      <c r="M160" s="3" t="inlineStr">
        <is>
          <t>R07; R09; R10; R31; R34</t>
        </is>
      </c>
      <c r="N160" s="10" t="inlineStr">
        <is>
          <t>Não iniciado</t>
        </is>
      </c>
      <c r="O160" s="3" t="inlineStr">
        <is>
          <t>P1</t>
        </is>
      </c>
      <c r="P160" s="3" t="inlineStr">
        <is>
          <t>Alto</t>
        </is>
      </c>
      <c r="Q160" s="3" t="inlineStr">
        <is>
          <t>Obrigatória no escopo da versão</t>
        </is>
      </c>
      <c r="R160" s="10" t="inlineStr">
        <is>
          <t>Autor + agente de IA</t>
        </is>
      </c>
      <c r="S160" s="10" t="inlineStr"/>
      <c r="T160" s="11" t="inlineStr"/>
      <c r="U160" s="3" t="inlineStr">
        <is>
          <t>reports/S15/SL-S15-05.md</t>
        </is>
      </c>
      <c r="V160" s="10" t="inlineStr"/>
      <c r="W160" s="10" t="inlineStr"/>
      <c r="X160" s="3">
        <f>IF(N160="Concluído",IF(AND(S160&lt;&gt;"",ISNUMBER(T160),T160&gt;0,V160&lt;&gt;"",AND(OR(X159="OK",X159="DISPENSADO"))),"OK","REVISAR"),IF(N160="Dispensado (ADR)",IF(AND(LEFT(Q160,11)="Condicional",W160&lt;&gt;"",S160&lt;&gt;"",ISNUMBER(T160),T160&gt;0,V160&lt;&gt;""),"DISPENSADO","REVISAR"),"PENDENTE"))</f>
        <v/>
      </c>
      <c r="Y160" s="10" t="inlineStr"/>
    </row>
    <row r="161" ht="112" customHeight="1">
      <c r="A161" s="3" t="n">
        <v>160</v>
      </c>
      <c r="B161" s="3" t="inlineStr">
        <is>
          <t>SL-S15-06</t>
        </is>
      </c>
      <c r="C161" s="9" t="inlineStr">
        <is>
          <t>v0.2.0</t>
        </is>
      </c>
      <c r="D161" s="9" t="inlineStr">
        <is>
          <t>S15</t>
        </is>
      </c>
      <c r="E161" s="3" t="inlineStr">
        <is>
          <t>Editor / Tauri</t>
        </is>
      </c>
      <c r="F161" s="3" t="inlineStr">
        <is>
          <t>Integração</t>
        </is>
      </c>
      <c r="G161" s="3" t="inlineStr">
        <is>
          <t>Teste</t>
        </is>
      </c>
      <c r="H161" s="3" t="inlineStr">
        <is>
          <t>Comparar renderização entre WebViews</t>
        </is>
      </c>
      <c r="I161" s="3" t="inlineStr">
        <is>
          <t>Executar corpus visual e de input nos alvos disponíveis.</t>
        </is>
      </c>
      <c r="J161" s="3" t="inlineStr">
        <is>
          <t>tests/editor/webview-matrix/</t>
        </is>
      </c>
      <c r="K161" s="3" t="inlineStr">
        <is>
          <t>Divergência tem issue e capacidade limitada; ausência de teste não é tratada como aprovação.</t>
        </is>
      </c>
      <c r="L161" s="3" t="inlineStr">
        <is>
          <t>SL-S15-05</t>
        </is>
      </c>
      <c r="M161" s="3" t="inlineStr">
        <is>
          <t>R07; R09; R10; R31; R34</t>
        </is>
      </c>
      <c r="N161" s="10" t="inlineStr">
        <is>
          <t>Não iniciado</t>
        </is>
      </c>
      <c r="O161" s="3" t="inlineStr">
        <is>
          <t>P1</t>
        </is>
      </c>
      <c r="P161" s="3" t="inlineStr">
        <is>
          <t>Alto</t>
        </is>
      </c>
      <c r="Q161" s="3" t="inlineStr">
        <is>
          <t>Obrigatória no escopo da versão</t>
        </is>
      </c>
      <c r="R161" s="10" t="inlineStr">
        <is>
          <t>Autor + agente de IA</t>
        </is>
      </c>
      <c r="S161" s="10" t="inlineStr"/>
      <c r="T161" s="11" t="inlineStr"/>
      <c r="U161" s="3" t="inlineStr">
        <is>
          <t>reports/S15/SL-S15-06.md</t>
        </is>
      </c>
      <c r="V161" s="10" t="inlineStr"/>
      <c r="W161" s="10" t="inlineStr"/>
      <c r="X161" s="3">
        <f>IF(N161="Concluído",IF(AND(S161&lt;&gt;"",ISNUMBER(T161),T161&gt;0,V161&lt;&gt;"",AND(OR(X160="OK",X160="DISPENSADO"))),"OK","REVISAR"),IF(N161="Dispensado (ADR)",IF(AND(LEFT(Q161,11)="Condicional",W161&lt;&gt;"",S161&lt;&gt;"",ISNUMBER(T161),T161&gt;0,V161&lt;&gt;""),"DISPENSADO","REVISAR"),"PENDENTE"))</f>
        <v/>
      </c>
      <c r="Y161" s="10" t="inlineStr"/>
    </row>
    <row r="162" ht="112" customHeight="1">
      <c r="A162" s="3" t="n">
        <v>161</v>
      </c>
      <c r="B162" s="3" t="inlineStr">
        <is>
          <t>SL-S15-07</t>
        </is>
      </c>
      <c r="C162" s="9" t="inlineStr">
        <is>
          <t>v0.2.0</t>
        </is>
      </c>
      <c r="D162" s="9" t="inlineStr">
        <is>
          <t>S15</t>
        </is>
      </c>
      <c r="E162" s="3" t="inlineStr">
        <is>
          <t>Editor / Tauri</t>
        </is>
      </c>
      <c r="F162" s="3" t="inlineStr">
        <is>
          <t>Integração</t>
        </is>
      </c>
      <c r="G162" s="3" t="inlineStr">
        <is>
          <t>Teste</t>
        </is>
      </c>
      <c r="H162" s="3" t="inlineStr">
        <is>
          <t>Medir sessões repetidas</t>
        </is>
      </c>
      <c r="I162" s="3" t="inlineStr">
        <is>
          <t>Alternar documentos e destruir instâncias medindo memória residual.</t>
        </is>
      </c>
      <c r="J162" s="3" t="inlineStr">
        <is>
          <t>reports/v0.2/editor-resources.json</t>
        </is>
      </c>
      <c r="K162" s="3" t="inlineStr">
        <is>
          <t>Crescimento acumulativo fora do perfil aprovado bloqueia a release.</t>
        </is>
      </c>
      <c r="L162" s="3" t="inlineStr">
        <is>
          <t>SL-S15-06</t>
        </is>
      </c>
      <c r="M162" s="3" t="inlineStr">
        <is>
          <t>R07; R09; R10; R31; R34</t>
        </is>
      </c>
      <c r="N162" s="10" t="inlineStr">
        <is>
          <t>Não iniciado</t>
        </is>
      </c>
      <c r="O162" s="3" t="inlineStr">
        <is>
          <t>P1</t>
        </is>
      </c>
      <c r="P162" s="3" t="inlineStr">
        <is>
          <t>Alto</t>
        </is>
      </c>
      <c r="Q162" s="3" t="inlineStr">
        <is>
          <t>Obrigatória no escopo da versão</t>
        </is>
      </c>
      <c r="R162" s="10" t="inlineStr">
        <is>
          <t>Autor + agente de IA</t>
        </is>
      </c>
      <c r="S162" s="10" t="inlineStr"/>
      <c r="T162" s="11" t="inlineStr"/>
      <c r="U162" s="3" t="inlineStr">
        <is>
          <t>reports/S15/SL-S15-07.md</t>
        </is>
      </c>
      <c r="V162" s="10" t="inlineStr"/>
      <c r="W162" s="10" t="inlineStr"/>
      <c r="X162" s="3">
        <f>IF(N162="Concluído",IF(AND(S162&lt;&gt;"",ISNUMBER(T162),T162&gt;0,V162&lt;&gt;"",AND(OR(X161="OK",X161="DISPENSADO"))),"OK","REVISAR"),IF(N162="Dispensado (ADR)",IF(AND(LEFT(Q162,11)="Condicional",W162&lt;&gt;"",S162&lt;&gt;"",ISNUMBER(T162),T162&gt;0,V162&lt;&gt;""),"DISPENSADO","REVISAR"),"PENDENTE"))</f>
        <v/>
      </c>
      <c r="Y162" s="10" t="inlineStr"/>
    </row>
    <row r="163" ht="112" customHeight="1">
      <c r="A163" s="3" t="n">
        <v>162</v>
      </c>
      <c r="B163" s="3" t="inlineStr">
        <is>
          <t>SL-S15-08</t>
        </is>
      </c>
      <c r="C163" s="9" t="inlineStr">
        <is>
          <t>v0.2.0</t>
        </is>
      </c>
      <c r="D163" s="9" t="inlineStr">
        <is>
          <t>S15</t>
        </is>
      </c>
      <c r="E163" s="3" t="inlineStr">
        <is>
          <t>Editor / Tauri</t>
        </is>
      </c>
      <c r="F163" s="3" t="inlineStr">
        <is>
          <t>Integração</t>
        </is>
      </c>
      <c r="G163" s="3" t="inlineStr">
        <is>
          <t>Teste</t>
        </is>
      </c>
      <c r="H163" s="3" t="inlineStr">
        <is>
          <t>Validar autoria offline</t>
        </is>
      </c>
      <c r="I163" s="3" t="inlineStr">
        <is>
          <t>Bloquear rede, reiniciar e repetir edição/importação de Markdown.</t>
        </is>
      </c>
      <c r="J163" s="3" t="inlineStr">
        <is>
          <t>reports/v0.2/offline.json</t>
        </is>
      </c>
      <c r="K163" s="3" t="inlineStr">
        <is>
          <t>Zero egress inesperado e nenhuma dependência de autenticação remota.</t>
        </is>
      </c>
      <c r="L163" s="3" t="inlineStr">
        <is>
          <t>SL-S15-07</t>
        </is>
      </c>
      <c r="M163" s="3" t="inlineStr">
        <is>
          <t>R07; R09; R10; R31; R34</t>
        </is>
      </c>
      <c r="N163" s="10" t="inlineStr">
        <is>
          <t>Não iniciado</t>
        </is>
      </c>
      <c r="O163" s="3" t="inlineStr">
        <is>
          <t>P1</t>
        </is>
      </c>
      <c r="P163" s="3" t="inlineStr">
        <is>
          <t>Alto</t>
        </is>
      </c>
      <c r="Q163" s="3" t="inlineStr">
        <is>
          <t>Obrigatória no escopo da versão</t>
        </is>
      </c>
      <c r="R163" s="10" t="inlineStr">
        <is>
          <t>Autor + agente de IA</t>
        </is>
      </c>
      <c r="S163" s="10" t="inlineStr"/>
      <c r="T163" s="11" t="inlineStr"/>
      <c r="U163" s="3" t="inlineStr">
        <is>
          <t>reports/S15/SL-S15-08.md</t>
        </is>
      </c>
      <c r="V163" s="10" t="inlineStr"/>
      <c r="W163" s="10" t="inlineStr"/>
      <c r="X163" s="3">
        <f>IF(N163="Concluído",IF(AND(S163&lt;&gt;"",ISNUMBER(T163),T163&gt;0,V163&lt;&gt;"",AND(OR(X162="OK",X162="DISPENSADO"))),"OK","REVISAR"),IF(N163="Dispensado (ADR)",IF(AND(LEFT(Q163,11)="Condicional",W163&lt;&gt;"",S163&lt;&gt;"",ISNUMBER(T163),T163&gt;0,V163&lt;&gt;""),"DISPENSADO","REVISAR"),"PENDENTE"))</f>
        <v/>
      </c>
      <c r="Y163" s="10" t="inlineStr"/>
    </row>
    <row r="164" ht="112" customHeight="1">
      <c r="A164" s="3" t="n">
        <v>163</v>
      </c>
      <c r="B164" s="3" t="inlineStr">
        <is>
          <t>SL-S15-09</t>
        </is>
      </c>
      <c r="C164" s="9" t="inlineStr">
        <is>
          <t>v0.2.0</t>
        </is>
      </c>
      <c r="D164" s="9" t="inlineStr">
        <is>
          <t>S15</t>
        </is>
      </c>
      <c r="E164" s="3" t="inlineStr">
        <is>
          <t>Editor / Tauri</t>
        </is>
      </c>
      <c r="F164" s="3" t="inlineStr">
        <is>
          <t>Integração</t>
        </is>
      </c>
      <c r="G164" s="3" t="inlineStr">
        <is>
          <t>Documentação</t>
        </is>
      </c>
      <c r="H164" s="3" t="inlineStr">
        <is>
          <t>Publicar perfil suportado</t>
        </is>
      </c>
      <c r="I164" s="3" t="inlineStr">
        <is>
          <t>Listar blocos, atalhos, limites e comportamento de alterações externas.</t>
        </is>
      </c>
      <c r="J164" s="3" t="inlineStr">
        <is>
          <t>docs/user/notes.md</t>
        </is>
      </c>
      <c r="K164" s="3" t="inlineStr">
        <is>
          <t>Usuário sabe quando um bloco é opaco/read-only e como recuperar conteúdo.</t>
        </is>
      </c>
      <c r="L164" s="3" t="inlineStr">
        <is>
          <t>SL-S15-08</t>
        </is>
      </c>
      <c r="M164" s="3" t="inlineStr">
        <is>
          <t>R07; R09; R10; R31; R34</t>
        </is>
      </c>
      <c r="N164" s="10" t="inlineStr">
        <is>
          <t>Não iniciado</t>
        </is>
      </c>
      <c r="O164" s="3" t="inlineStr">
        <is>
          <t>P1</t>
        </is>
      </c>
      <c r="P164" s="3" t="inlineStr">
        <is>
          <t>Alto</t>
        </is>
      </c>
      <c r="Q164" s="3" t="inlineStr">
        <is>
          <t>Obrigatória no escopo da versão</t>
        </is>
      </c>
      <c r="R164" s="10" t="inlineStr">
        <is>
          <t>Autor + agente de IA</t>
        </is>
      </c>
      <c r="S164" s="10" t="inlineStr"/>
      <c r="T164" s="11" t="inlineStr"/>
      <c r="U164" s="3" t="inlineStr">
        <is>
          <t>reports/S15/SL-S15-09.md</t>
        </is>
      </c>
      <c r="V164" s="10" t="inlineStr"/>
      <c r="W164" s="10" t="inlineStr"/>
      <c r="X164" s="3">
        <f>IF(N164="Concluído",IF(AND(S164&lt;&gt;"",ISNUMBER(T164),T164&gt;0,V164&lt;&gt;"",AND(OR(X163="OK",X163="DISPENSADO"))),"OK","REVISAR"),IF(N164="Dispensado (ADR)",IF(AND(LEFT(Q164,11)="Condicional",W164&lt;&gt;"",S164&lt;&gt;"",ISNUMBER(T164),T164&gt;0,V164&lt;&gt;""),"DISPENSADO","REVISAR"),"PENDENTE"))</f>
        <v/>
      </c>
      <c r="Y164" s="10" t="inlineStr"/>
    </row>
    <row r="165" ht="112" customHeight="1">
      <c r="A165" s="3" t="n">
        <v>164</v>
      </c>
      <c r="B165" s="3" t="inlineStr">
        <is>
          <t>SL-S15-10</t>
        </is>
      </c>
      <c r="C165" s="9" t="inlineStr">
        <is>
          <t>v0.2.0</t>
        </is>
      </c>
      <c r="D165" s="9" t="inlineStr">
        <is>
          <t>S15</t>
        </is>
      </c>
      <c r="E165" s="3" t="inlineStr">
        <is>
          <t>Editor / Tauri</t>
        </is>
      </c>
      <c r="F165" s="3" t="inlineStr">
        <is>
          <t>Integração</t>
        </is>
      </c>
      <c r="G165" s="3" t="inlineStr">
        <is>
          <t>Release</t>
        </is>
      </c>
      <c r="H165" s="3" t="inlineStr">
        <is>
          <t>Preparar alpha de autoria</t>
        </is>
      </c>
      <c r="I165" s="3" t="inlineStr">
        <is>
          <t>Anexar corpus, origem BlockSuite, avisos e demonstração de reconstrução.</t>
        </is>
      </c>
      <c r="J165" s="3" t="inlineStr">
        <is>
          <t>release/v0.2.0/</t>
        </is>
      </c>
      <c r="K165" s="3" t="inlineStr">
        <is>
          <t>Caches do editor podem ser apagados sem perder notas confirmadas.</t>
        </is>
      </c>
      <c r="L165" s="3" t="inlineStr">
        <is>
          <t>SL-S15-09</t>
        </is>
      </c>
      <c r="M165" s="3" t="inlineStr">
        <is>
          <t>R07; R09; R10; R31; R34</t>
        </is>
      </c>
      <c r="N165" s="10" t="inlineStr">
        <is>
          <t>Não iniciado</t>
        </is>
      </c>
      <c r="O165" s="3" t="inlineStr">
        <is>
          <t>P1</t>
        </is>
      </c>
      <c r="P165" s="3" t="inlineStr">
        <is>
          <t>Alto</t>
        </is>
      </c>
      <c r="Q165" s="3" t="inlineStr">
        <is>
          <t>Obrigatória no escopo da versão</t>
        </is>
      </c>
      <c r="R165" s="10" t="inlineStr">
        <is>
          <t>Autor</t>
        </is>
      </c>
      <c r="S165" s="10" t="inlineStr"/>
      <c r="T165" s="11" t="inlineStr"/>
      <c r="U165" s="3" t="inlineStr">
        <is>
          <t>reports/S15/SL-S15-10.md</t>
        </is>
      </c>
      <c r="V165" s="10" t="inlineStr"/>
      <c r="W165" s="10" t="inlineStr"/>
      <c r="X165" s="3">
        <f>IF(N165="Concluído",IF(AND(S165&lt;&gt;"",ISNUMBER(T165),T165&gt;0,V165&lt;&gt;"",AND(OR(X164="OK",X164="DISPENSADO"))),"OK","REVISAR"),IF(N165="Dispensado (ADR)",IF(AND(LEFT(Q165,11)="Condicional",W165&lt;&gt;"",S165&lt;&gt;"",ISNUMBER(T165),T165&gt;0,V165&lt;&gt;""),"DISPENSADO","REVISAR"),"PENDENTE"))</f>
        <v/>
      </c>
      <c r="Y165" s="10" t="inlineStr"/>
    </row>
    <row r="166" ht="98" customHeight="1">
      <c r="A166" s="3" t="n">
        <v>165</v>
      </c>
      <c r="B166" s="12" t="inlineStr">
        <is>
          <t>SL-S15-GATE</t>
        </is>
      </c>
      <c r="C166" s="9" t="inlineStr">
        <is>
          <t>v0.2.0</t>
        </is>
      </c>
      <c r="D166" s="9" t="inlineStr">
        <is>
          <t>S15</t>
        </is>
      </c>
      <c r="E166" s="3" t="inlineStr">
        <is>
          <t>Editor / Tauri</t>
        </is>
      </c>
      <c r="F166" s="3" t="inlineStr">
        <is>
          <t>Aceite humano</t>
        </is>
      </c>
      <c r="G166" s="12" t="inlineStr">
        <is>
          <t>Gate</t>
        </is>
      </c>
      <c r="H166" s="12" t="inlineStr">
        <is>
          <t>Aceitar S15 — Entregar notas locais e homologar editor</t>
        </is>
      </c>
      <c r="I166" s="3" t="inlineStr">
        <is>
          <t>Revisar as dez tarefas, executar a demonstração do sprint, confrontar critérios e registrar decisão go/no-go.</t>
        </is>
      </c>
      <c r="J166" s="3" t="inlineStr">
        <is>
          <t>reports/S15/acceptance.md</t>
        </is>
      </c>
      <c r="K166" s="3" t="inlineStr">
        <is>
          <t>Instalação limpa permite criar, editar, pesquisar por título e reabrir notas sem rede. Todas as dependências aceitas; evidências vinculadas a revisão/ambiente; nenhum blocker de integridade/segurança.</t>
        </is>
      </c>
      <c r="L166" s="3" t="inlineStr">
        <is>
          <t>SL-S15-01; SL-S15-02; SL-S15-03; SL-S15-04; SL-S15-05; SL-S15-06; SL-S15-07; SL-S15-08; SL-S15-09; SL-S15-10</t>
        </is>
      </c>
      <c r="M166" s="3" t="inlineStr">
        <is>
          <t>R07; R09; R10; R31; R34</t>
        </is>
      </c>
      <c r="N166" s="10" t="inlineStr">
        <is>
          <t>Não iniciado</t>
        </is>
      </c>
      <c r="O166" s="3" t="inlineStr">
        <is>
          <t>P0</t>
        </is>
      </c>
      <c r="P166" s="3" t="inlineStr">
        <is>
          <t>Alto</t>
        </is>
      </c>
      <c r="Q166" s="3" t="inlineStr">
        <is>
          <t>Obrigatória para fechar a versão aprovada</t>
        </is>
      </c>
      <c r="R166" s="10" t="inlineStr">
        <is>
          <t>Autor</t>
        </is>
      </c>
      <c r="S166" s="10" t="inlineStr"/>
      <c r="T166" s="11" t="inlineStr"/>
      <c r="U166" s="3" t="inlineStr">
        <is>
          <t>reports/S15/acceptance.md</t>
        </is>
      </c>
      <c r="V166" s="10" t="inlineStr"/>
      <c r="W166" s="10" t="inlineStr"/>
      <c r="X166" s="3">
        <f>IF(N166="Concluído",IF(AND(S166&lt;&gt;"",ISNUMBER(T166),T166&gt;0,V166&lt;&gt;"",AND(OR(X156="OK",X156="DISPENSADO"),OR(X157="OK",X157="DISPENSADO"),OR(X158="OK",X158="DISPENSADO"),OR(X159="OK",X159="DISPENSADO"),OR(X160="OK",X160="DISPENSADO"),OR(X161="OK",X161="DISPENSADO"),OR(X162="OK",X162="DISPENSADO"),OR(X163="OK",X163="DISPENSADO"),OR(X164="OK",X164="DISPENSADO"),OR(X165="OK",X165="DISPENSADO"))),"OK","REVISAR"),IF(N166="Dispensado (ADR)",IF(AND(LEFT(Q166,11)="Condicional",W166&lt;&gt;"",S166&lt;&gt;"",ISNUMBER(T166),T166&gt;0,V166&lt;&gt;""),"DISPENSADO","REVISAR"),"PENDENTE"))</f>
        <v/>
      </c>
      <c r="Y166" s="10" t="inlineStr"/>
    </row>
    <row r="167" ht="112" customHeight="1">
      <c r="A167" s="3" t="n">
        <v>166</v>
      </c>
      <c r="B167" s="3" t="inlineStr">
        <is>
          <t>SL-S16-01</t>
        </is>
      </c>
      <c r="C167" s="9" t="inlineStr">
        <is>
          <t>v0.3.0</t>
        </is>
      </c>
      <c r="D167" s="9" t="inlineStr">
        <is>
          <t>S16</t>
        </is>
      </c>
      <c r="E167" s="3" t="inlineStr">
        <is>
          <t>PixiJS / Whiteboard</t>
        </is>
      </c>
      <c r="F167" s="3" t="inlineStr">
        <is>
          <t>Integração</t>
        </is>
      </c>
      <c r="G167" s="3" t="inlineStr">
        <is>
          <t>Upstream</t>
        </is>
      </c>
      <c r="H167" s="3" t="inlineStr">
        <is>
          <t>Fixar PixiJS e viewport</t>
        </is>
      </c>
      <c r="I167" s="3" t="inlineStr">
        <is>
          <t>Escolher versões e APIs mínimas; registrar origem e controles de teardown.</t>
        </is>
      </c>
      <c r="J167" s="3" t="inlineStr">
        <is>
          <t>upstream/pixi/manifest.json</t>
        </is>
      </c>
      <c r="K167" s="3" t="inlineStr">
        <is>
          <t>Cena mínima reproduzível sem importar outro produto de whiteboard.</t>
        </is>
      </c>
      <c r="L167" s="3" t="inlineStr">
        <is>
          <t>SL-S06-GATE; SL-S07-GATE; SL-S15-GATE</t>
        </is>
      </c>
      <c r="M167" s="3" t="inlineStr">
        <is>
          <t>R11; R12; R31</t>
        </is>
      </c>
      <c r="N167" s="10" t="inlineStr">
        <is>
          <t>Não iniciado</t>
        </is>
      </c>
      <c r="O167" s="3" t="inlineStr">
        <is>
          <t>P1</t>
        </is>
      </c>
      <c r="P167" s="3" t="inlineStr">
        <is>
          <t>Alto</t>
        </is>
      </c>
      <c r="Q167" s="3" t="inlineStr">
        <is>
          <t>Obrigatória no escopo da versão</t>
        </is>
      </c>
      <c r="R167" s="10" t="inlineStr">
        <is>
          <t>Autor + agente de IA</t>
        </is>
      </c>
      <c r="S167" s="10" t="inlineStr"/>
      <c r="T167" s="11" t="inlineStr"/>
      <c r="U167" s="3" t="inlineStr">
        <is>
          <t>reports/S16/SL-S16-01.md</t>
        </is>
      </c>
      <c r="V167" s="10" t="inlineStr"/>
      <c r="W167" s="10" t="inlineStr"/>
      <c r="X167" s="3">
        <f>IF(N167="Concluído",IF(AND(S167&lt;&gt;"",ISNUMBER(T167),T167&gt;0,V167&lt;&gt;"",AND(OR(X67="OK",X67="DISPENSADO"),OR(X78="OK",X78="DISPENSADO"),OR(X166="OK",X166="DISPENSADO"))),"OK","REVISAR"),IF(N167="Dispensado (ADR)",IF(AND(LEFT(Q167,11)="Condicional",W167&lt;&gt;"",S167&lt;&gt;"",ISNUMBER(T167),T167&gt;0,V167&lt;&gt;""),"DISPENSADO","REVISAR"),"PENDENTE"))</f>
        <v/>
      </c>
      <c r="Y167" s="10" t="inlineStr"/>
    </row>
    <row r="168" ht="112" customHeight="1">
      <c r="A168" s="3" t="n">
        <v>167</v>
      </c>
      <c r="B168" s="3" t="inlineStr">
        <is>
          <t>SL-S16-02</t>
        </is>
      </c>
      <c r="C168" s="9" t="inlineStr">
        <is>
          <t>v0.3.0</t>
        </is>
      </c>
      <c r="D168" s="9" t="inlineStr">
        <is>
          <t>S16</t>
        </is>
      </c>
      <c r="E168" s="3" t="inlineStr">
        <is>
          <t>PixiJS / Whiteboard</t>
        </is>
      </c>
      <c r="F168" s="3" t="inlineStr">
        <is>
          <t>Integração</t>
        </is>
      </c>
      <c r="G168" s="3" t="inlineStr">
        <is>
          <t>Implementação</t>
        </is>
      </c>
      <c r="H168" s="3" t="inlineStr">
        <is>
          <t>Criar sistema de coordenadas</t>
        </is>
      </c>
      <c r="I168" s="3" t="inlineStr">
        <is>
          <t>Separar screen/world e documentar transformação, escala e precisão.</t>
        </is>
      </c>
      <c r="J168" s="3" t="inlineStr">
        <is>
          <t>apps/desktop/src/board/coordinates.ts</t>
        </is>
      </c>
      <c r="K168" s="3" t="inlineStr">
        <is>
          <t>Conversão ida/volta é testada em zooms extremos e escalas de tela.</t>
        </is>
      </c>
      <c r="L168" s="3" t="inlineStr">
        <is>
          <t>SL-S16-01</t>
        </is>
      </c>
      <c r="M168" s="3" t="inlineStr">
        <is>
          <t>R11; R12; R31</t>
        </is>
      </c>
      <c r="N168" s="10" t="inlineStr">
        <is>
          <t>Não iniciado</t>
        </is>
      </c>
      <c r="O168" s="3" t="inlineStr">
        <is>
          <t>P1</t>
        </is>
      </c>
      <c r="P168" s="3" t="inlineStr">
        <is>
          <t>Alto</t>
        </is>
      </c>
      <c r="Q168" s="3" t="inlineStr">
        <is>
          <t>Obrigatória no escopo da versão</t>
        </is>
      </c>
      <c r="R168" s="10" t="inlineStr">
        <is>
          <t>Autor + agente de IA</t>
        </is>
      </c>
      <c r="S168" s="10" t="inlineStr"/>
      <c r="T168" s="11" t="inlineStr"/>
      <c r="U168" s="3" t="inlineStr">
        <is>
          <t>reports/S16/SL-S16-02.md</t>
        </is>
      </c>
      <c r="V168" s="10" t="inlineStr"/>
      <c r="W168" s="10" t="inlineStr"/>
      <c r="X168" s="3">
        <f>IF(N168="Concluído",IF(AND(S168&lt;&gt;"",ISNUMBER(T168),T168&gt;0,V168&lt;&gt;"",AND(OR(X167="OK",X167="DISPENSADO"))),"OK","REVISAR"),IF(N168="Dispensado (ADR)",IF(AND(LEFT(Q168,11)="Condicional",W168&lt;&gt;"",S168&lt;&gt;"",ISNUMBER(T168),T168&gt;0,V168&lt;&gt;""),"DISPENSADO","REVISAR"),"PENDENTE"))</f>
        <v/>
      </c>
      <c r="Y168" s="10" t="inlineStr"/>
    </row>
    <row r="169" ht="112" customHeight="1">
      <c r="A169" s="3" t="n">
        <v>168</v>
      </c>
      <c r="B169" s="3" t="inlineStr">
        <is>
          <t>SL-S16-03</t>
        </is>
      </c>
      <c r="C169" s="9" t="inlineStr">
        <is>
          <t>v0.3.0</t>
        </is>
      </c>
      <c r="D169" s="9" t="inlineStr">
        <is>
          <t>S16</t>
        </is>
      </c>
      <c r="E169" s="3" t="inlineStr">
        <is>
          <t>PixiJS / Whiteboard</t>
        </is>
      </c>
      <c r="F169" s="3" t="inlineStr">
        <is>
          <t>Integração</t>
        </is>
      </c>
      <c r="G169" s="3" t="inlineStr">
        <is>
          <t>Implementação</t>
        </is>
      </c>
      <c r="H169" s="3" t="inlineStr">
        <is>
          <t>Criar câmera</t>
        </is>
      </c>
      <c r="I169" s="3" t="inlineStr">
        <is>
          <t>Pan, zoom ancorado ao cursor, fit e restauração de viewport.</t>
        </is>
      </c>
      <c r="J169" s="3" t="inlineStr">
        <is>
          <t>apps/desktop/src/board/camera.ts</t>
        </is>
      </c>
      <c r="K169" s="3" t="inlineStr">
        <is>
          <t>Zoom não altera posições canônicas dos nós.</t>
        </is>
      </c>
      <c r="L169" s="3" t="inlineStr">
        <is>
          <t>SL-S16-02</t>
        </is>
      </c>
      <c r="M169" s="3" t="inlineStr">
        <is>
          <t>R11; R12; R31</t>
        </is>
      </c>
      <c r="N169" s="10" t="inlineStr">
        <is>
          <t>Não iniciado</t>
        </is>
      </c>
      <c r="O169" s="3" t="inlineStr">
        <is>
          <t>P1</t>
        </is>
      </c>
      <c r="P169" s="3" t="inlineStr">
        <is>
          <t>Alto</t>
        </is>
      </c>
      <c r="Q169" s="3" t="inlineStr">
        <is>
          <t>Obrigatória no escopo da versão</t>
        </is>
      </c>
      <c r="R169" s="10" t="inlineStr">
        <is>
          <t>Autor + agente de IA</t>
        </is>
      </c>
      <c r="S169" s="10" t="inlineStr"/>
      <c r="T169" s="11" t="inlineStr"/>
      <c r="U169" s="3" t="inlineStr">
        <is>
          <t>reports/S16/SL-S16-03.md</t>
        </is>
      </c>
      <c r="V169" s="10" t="inlineStr"/>
      <c r="W169" s="10" t="inlineStr"/>
      <c r="X169" s="3">
        <f>IF(N169="Concluído",IF(AND(S169&lt;&gt;"",ISNUMBER(T169),T169&gt;0,V169&lt;&gt;"",AND(OR(X168="OK",X168="DISPENSADO"))),"OK","REVISAR"),IF(N169="Dispensado (ADR)",IF(AND(LEFT(Q169,11)="Condicional",W169&lt;&gt;"",S169&lt;&gt;"",ISNUMBER(T169),T169&gt;0,V169&lt;&gt;""),"DISPENSADO","REVISAR"),"PENDENTE"))</f>
        <v/>
      </c>
      <c r="Y169" s="10" t="inlineStr"/>
    </row>
    <row r="170" ht="112" customHeight="1">
      <c r="A170" s="3" t="n">
        <v>169</v>
      </c>
      <c r="B170" s="3" t="inlineStr">
        <is>
          <t>SL-S16-04</t>
        </is>
      </c>
      <c r="C170" s="9" t="inlineStr">
        <is>
          <t>v0.3.0</t>
        </is>
      </c>
      <c r="D170" s="9" t="inlineStr">
        <is>
          <t>S16</t>
        </is>
      </c>
      <c r="E170" s="3" t="inlineStr">
        <is>
          <t>PixiJS / Whiteboard</t>
        </is>
      </c>
      <c r="F170" s="3" t="inlineStr">
        <is>
          <t>Integração</t>
        </is>
      </c>
      <c r="G170" s="3" t="inlineStr">
        <is>
          <t>Implementação</t>
        </is>
      </c>
      <c r="H170" s="3" t="inlineStr">
        <is>
          <t>Renderizar cartões passivos</t>
        </is>
      </c>
      <c r="I170" s="3" t="inlineStr">
        <is>
          <t>Desenhar contorno, título, preview e placeholder de asset.</t>
        </is>
      </c>
      <c r="J170" s="3" t="inlineStr">
        <is>
          <t>apps/desktop/src/board/card-renderer.ts</t>
        </is>
      </c>
      <c r="K170" s="3" t="inlineStr">
        <is>
          <t>Cartão sem editor montado é legível e mantém identidade de domínio.</t>
        </is>
      </c>
      <c r="L170" s="3" t="inlineStr">
        <is>
          <t>SL-S16-03</t>
        </is>
      </c>
      <c r="M170" s="3" t="inlineStr">
        <is>
          <t>R11; R12; R31</t>
        </is>
      </c>
      <c r="N170" s="10" t="inlineStr">
        <is>
          <t>Não iniciado</t>
        </is>
      </c>
      <c r="O170" s="3" t="inlineStr">
        <is>
          <t>P1</t>
        </is>
      </c>
      <c r="P170" s="3" t="inlineStr">
        <is>
          <t>Alto</t>
        </is>
      </c>
      <c r="Q170" s="3" t="inlineStr">
        <is>
          <t>Obrigatória no escopo da versão</t>
        </is>
      </c>
      <c r="R170" s="10" t="inlineStr">
        <is>
          <t>Autor + agente de IA</t>
        </is>
      </c>
      <c r="S170" s="10" t="inlineStr"/>
      <c r="T170" s="11" t="inlineStr"/>
      <c r="U170" s="3" t="inlineStr">
        <is>
          <t>reports/S16/SL-S16-04.md</t>
        </is>
      </c>
      <c r="V170" s="10" t="inlineStr"/>
      <c r="W170" s="10" t="inlineStr"/>
      <c r="X170" s="3">
        <f>IF(N170="Concluído",IF(AND(S170&lt;&gt;"",ISNUMBER(T170),T170&gt;0,V170&lt;&gt;"",AND(OR(X169="OK",X169="DISPENSADO"))),"OK","REVISAR"),IF(N170="Dispensado (ADR)",IF(AND(LEFT(Q170,11)="Condicional",W170&lt;&gt;"",S170&lt;&gt;"",ISNUMBER(T170),T170&gt;0,V170&lt;&gt;""),"DISPENSADO","REVISAR"),"PENDENTE"))</f>
        <v/>
      </c>
      <c r="Y170" s="10" t="inlineStr"/>
    </row>
    <row r="171" ht="112" customHeight="1">
      <c r="A171" s="3" t="n">
        <v>170</v>
      </c>
      <c r="B171" s="3" t="inlineStr">
        <is>
          <t>SL-S16-05</t>
        </is>
      </c>
      <c r="C171" s="9" t="inlineStr">
        <is>
          <t>v0.3.0</t>
        </is>
      </c>
      <c r="D171" s="9" t="inlineStr">
        <is>
          <t>S16</t>
        </is>
      </c>
      <c r="E171" s="3" t="inlineStr">
        <is>
          <t>PixiJS / Whiteboard</t>
        </is>
      </c>
      <c r="F171" s="3" t="inlineStr">
        <is>
          <t>Integração</t>
        </is>
      </c>
      <c r="G171" s="3" t="inlineStr">
        <is>
          <t>Implementação</t>
        </is>
      </c>
      <c r="H171" s="3" t="inlineStr">
        <is>
          <t>Implementar seleção</t>
        </is>
      </c>
      <c r="I171" s="3" t="inlineStr">
        <is>
          <t>Clique, multiseleção, retângulo e limpar seleção com foco previsível.</t>
        </is>
      </c>
      <c r="J171" s="3" t="inlineStr">
        <is>
          <t>apps/desktop/src/board/selection.ts</t>
        </is>
      </c>
      <c r="K171" s="3" t="inlineStr">
        <is>
          <t>Seleção visual não modifica conteúdo e não inclui nós ocultos indevidos.</t>
        </is>
      </c>
      <c r="L171" s="3" t="inlineStr">
        <is>
          <t>SL-S16-04</t>
        </is>
      </c>
      <c r="M171" s="3" t="inlineStr">
        <is>
          <t>R11; R12; R31</t>
        </is>
      </c>
      <c r="N171" s="10" t="inlineStr">
        <is>
          <t>Não iniciado</t>
        </is>
      </c>
      <c r="O171" s="3" t="inlineStr">
        <is>
          <t>P1</t>
        </is>
      </c>
      <c r="P171" s="3" t="inlineStr">
        <is>
          <t>Alto</t>
        </is>
      </c>
      <c r="Q171" s="3" t="inlineStr">
        <is>
          <t>Obrigatória no escopo da versão</t>
        </is>
      </c>
      <c r="R171" s="10" t="inlineStr">
        <is>
          <t>Autor + agente de IA</t>
        </is>
      </c>
      <c r="S171" s="10" t="inlineStr"/>
      <c r="T171" s="11" t="inlineStr"/>
      <c r="U171" s="3" t="inlineStr">
        <is>
          <t>reports/S16/SL-S16-05.md</t>
        </is>
      </c>
      <c r="V171" s="10" t="inlineStr"/>
      <c r="W171" s="10" t="inlineStr"/>
      <c r="X171" s="3">
        <f>IF(N171="Concluído",IF(AND(S171&lt;&gt;"",ISNUMBER(T171),T171&gt;0,V171&lt;&gt;"",AND(OR(X170="OK",X170="DISPENSADO"))),"OK","REVISAR"),IF(N171="Dispensado (ADR)",IF(AND(LEFT(Q171,11)="Condicional",W171&lt;&gt;"",S171&lt;&gt;"",ISNUMBER(T171),T171&gt;0,V171&lt;&gt;""),"DISPENSADO","REVISAR"),"PENDENTE"))</f>
        <v/>
      </c>
      <c r="Y171" s="10" t="inlineStr"/>
    </row>
    <row r="172" ht="112" customHeight="1">
      <c r="A172" s="3" t="n">
        <v>171</v>
      </c>
      <c r="B172" s="3" t="inlineStr">
        <is>
          <t>SL-S16-06</t>
        </is>
      </c>
      <c r="C172" s="9" t="inlineStr">
        <is>
          <t>v0.3.0</t>
        </is>
      </c>
      <c r="D172" s="9" t="inlineStr">
        <is>
          <t>S16</t>
        </is>
      </c>
      <c r="E172" s="3" t="inlineStr">
        <is>
          <t>PixiJS / Whiteboard</t>
        </is>
      </c>
      <c r="F172" s="3" t="inlineStr">
        <is>
          <t>Integração</t>
        </is>
      </c>
      <c r="G172" s="3" t="inlineStr">
        <is>
          <t>Implementação</t>
        </is>
      </c>
      <c r="H172" s="3" t="inlineStr">
        <is>
          <t>Implementar drag/resize</t>
        </is>
      </c>
      <c r="I172" s="3" t="inlineStr">
        <is>
          <t>Aplicar transformações temporárias e confirmar operação semântica ao terminar.</t>
        </is>
      </c>
      <c r="J172" s="3" t="inlineStr">
        <is>
          <t>apps/desktop/src/board/manipulation.ts</t>
        </is>
      </c>
      <c r="K172" s="3" t="inlineStr">
        <is>
          <t>Cancelar gesto restaura posição; não há commit por pixel movido.</t>
        </is>
      </c>
      <c r="L172" s="3" t="inlineStr">
        <is>
          <t>SL-S16-05</t>
        </is>
      </c>
      <c r="M172" s="3" t="inlineStr">
        <is>
          <t>R11; R12; R31</t>
        </is>
      </c>
      <c r="N172" s="10" t="inlineStr">
        <is>
          <t>Não iniciado</t>
        </is>
      </c>
      <c r="O172" s="3" t="inlineStr">
        <is>
          <t>P1</t>
        </is>
      </c>
      <c r="P172" s="3" t="inlineStr">
        <is>
          <t>Alto</t>
        </is>
      </c>
      <c r="Q172" s="3" t="inlineStr">
        <is>
          <t>Obrigatória no escopo da versão</t>
        </is>
      </c>
      <c r="R172" s="10" t="inlineStr">
        <is>
          <t>Autor + agente de IA</t>
        </is>
      </c>
      <c r="S172" s="10" t="inlineStr"/>
      <c r="T172" s="11" t="inlineStr"/>
      <c r="U172" s="3" t="inlineStr">
        <is>
          <t>reports/S16/SL-S16-06.md</t>
        </is>
      </c>
      <c r="V172" s="10" t="inlineStr"/>
      <c r="W172" s="10" t="inlineStr"/>
      <c r="X172" s="3">
        <f>IF(N172="Concluído",IF(AND(S172&lt;&gt;"",ISNUMBER(T172),T172&gt;0,V172&lt;&gt;"",AND(OR(X171="OK",X171="DISPENSADO"))),"OK","REVISAR"),IF(N172="Dispensado (ADR)",IF(AND(LEFT(Q172,11)="Condicional",W172&lt;&gt;"",S172&lt;&gt;"",ISNUMBER(T172),T172&gt;0,V172&lt;&gt;""),"DISPENSADO","REVISAR"),"PENDENTE"))</f>
        <v/>
      </c>
      <c r="Y172" s="10" t="inlineStr"/>
    </row>
    <row r="173" ht="112" customHeight="1">
      <c r="A173" s="3" t="n">
        <v>172</v>
      </c>
      <c r="B173" s="3" t="inlineStr">
        <is>
          <t>SL-S16-07</t>
        </is>
      </c>
      <c r="C173" s="9" t="inlineStr">
        <is>
          <t>v0.3.0</t>
        </is>
      </c>
      <c r="D173" s="9" t="inlineStr">
        <is>
          <t>S16</t>
        </is>
      </c>
      <c r="E173" s="3" t="inlineStr">
        <is>
          <t>PixiJS / Whiteboard</t>
        </is>
      </c>
      <c r="F173" s="3" t="inlineStr">
        <is>
          <t>Integração</t>
        </is>
      </c>
      <c r="G173" s="3" t="inlineStr">
        <is>
          <t>Implementação</t>
        </is>
      </c>
      <c r="H173" s="3" t="inlineStr">
        <is>
          <t>Implementar hit testing</t>
        </is>
      </c>
      <c r="I173" s="3" t="inlineStr">
        <is>
          <t>Separar alvos de cartão, conector, grupo e canvas.</t>
        </is>
      </c>
      <c r="J173" s="3" t="inlineStr">
        <is>
          <t>apps/desktop/src/board/hit-test.ts</t>
        </is>
      </c>
      <c r="K173" s="3" t="inlineStr">
        <is>
          <t>Zoom/escala não fazem clique em célula acionar widget vizinho.</t>
        </is>
      </c>
      <c r="L173" s="3" t="inlineStr">
        <is>
          <t>SL-S16-06</t>
        </is>
      </c>
      <c r="M173" s="3" t="inlineStr">
        <is>
          <t>R11; R12; R31</t>
        </is>
      </c>
      <c r="N173" s="10" t="inlineStr">
        <is>
          <t>Não iniciado</t>
        </is>
      </c>
      <c r="O173" s="3" t="inlineStr">
        <is>
          <t>P1</t>
        </is>
      </c>
      <c r="P173" s="3" t="inlineStr">
        <is>
          <t>Alto</t>
        </is>
      </c>
      <c r="Q173" s="3" t="inlineStr">
        <is>
          <t>Obrigatória no escopo da versão</t>
        </is>
      </c>
      <c r="R173" s="10" t="inlineStr">
        <is>
          <t>Autor + agente de IA</t>
        </is>
      </c>
      <c r="S173" s="10" t="inlineStr"/>
      <c r="T173" s="11" t="inlineStr"/>
      <c r="U173" s="3" t="inlineStr">
        <is>
          <t>reports/S16/SL-S16-07.md</t>
        </is>
      </c>
      <c r="V173" s="10" t="inlineStr"/>
      <c r="W173" s="10" t="inlineStr"/>
      <c r="X173" s="3">
        <f>IF(N173="Concluído",IF(AND(S173&lt;&gt;"",ISNUMBER(T173),T173&gt;0,V173&lt;&gt;"",AND(OR(X172="OK",X172="DISPENSADO"))),"OK","REVISAR"),IF(N173="Dispensado (ADR)",IF(AND(LEFT(Q173,11)="Condicional",W173&lt;&gt;"",S173&lt;&gt;"",ISNUMBER(T173),T173&gt;0,V173&lt;&gt;""),"DISPENSADO","REVISAR"),"PENDENTE"))</f>
        <v/>
      </c>
      <c r="Y173" s="10" t="inlineStr"/>
    </row>
    <row r="174" ht="112" customHeight="1">
      <c r="A174" s="3" t="n">
        <v>173</v>
      </c>
      <c r="B174" s="3" t="inlineStr">
        <is>
          <t>SL-S16-08</t>
        </is>
      </c>
      <c r="C174" s="9" t="inlineStr">
        <is>
          <t>v0.3.0</t>
        </is>
      </c>
      <c r="D174" s="9" t="inlineStr">
        <is>
          <t>S16</t>
        </is>
      </c>
      <c r="E174" s="3" t="inlineStr">
        <is>
          <t>PixiJS / Whiteboard</t>
        </is>
      </c>
      <c r="F174" s="3" t="inlineStr">
        <is>
          <t>Integração</t>
        </is>
      </c>
      <c r="G174" s="3" t="inlineStr">
        <is>
          <t>Implementação</t>
        </is>
      </c>
      <c r="H174" s="3" t="inlineStr">
        <is>
          <t>Criar previews limitados</t>
        </is>
      </c>
      <c r="I174" s="3" t="inlineStr">
        <is>
          <t>Truncar apresentação sem truncar o conteúdo canônico.</t>
        </is>
      </c>
      <c r="J174" s="3" t="inlineStr">
        <is>
          <t>apps/desktop/src/board/previews.ts</t>
        </is>
      </c>
      <c r="K174" s="3" t="inlineStr">
        <is>
          <t>Texto oculto no preview continua presente e editável no documento.</t>
        </is>
      </c>
      <c r="L174" s="3" t="inlineStr">
        <is>
          <t>SL-S16-07</t>
        </is>
      </c>
      <c r="M174" s="3" t="inlineStr">
        <is>
          <t>R11; R12; R31</t>
        </is>
      </c>
      <c r="N174" s="10" t="inlineStr">
        <is>
          <t>Não iniciado</t>
        </is>
      </c>
      <c r="O174" s="3" t="inlineStr">
        <is>
          <t>P1</t>
        </is>
      </c>
      <c r="P174" s="3" t="inlineStr">
        <is>
          <t>Alto</t>
        </is>
      </c>
      <c r="Q174" s="3" t="inlineStr">
        <is>
          <t>Obrigatória no escopo da versão</t>
        </is>
      </c>
      <c r="R174" s="10" t="inlineStr">
        <is>
          <t>Autor + agente de IA</t>
        </is>
      </c>
      <c r="S174" s="10" t="inlineStr"/>
      <c r="T174" s="11" t="inlineStr"/>
      <c r="U174" s="3" t="inlineStr">
        <is>
          <t>reports/S16/SL-S16-08.md</t>
        </is>
      </c>
      <c r="V174" s="10" t="inlineStr"/>
      <c r="W174" s="10" t="inlineStr"/>
      <c r="X174" s="3">
        <f>IF(N174="Concluído",IF(AND(S174&lt;&gt;"",ISNUMBER(T174),T174&gt;0,V174&lt;&gt;"",AND(OR(X173="OK",X173="DISPENSADO"))),"OK","REVISAR"),IF(N174="Dispensado (ADR)",IF(AND(LEFT(Q174,11)="Condicional",W174&lt;&gt;"",S174&lt;&gt;"",ISNUMBER(T174),T174&gt;0,V174&lt;&gt;""),"DISPENSADO","REVISAR"),"PENDENTE"))</f>
        <v/>
      </c>
      <c r="Y174" s="10" t="inlineStr"/>
    </row>
    <row r="175" ht="112" customHeight="1">
      <c r="A175" s="3" t="n">
        <v>174</v>
      </c>
      <c r="B175" s="3" t="inlineStr">
        <is>
          <t>SL-S16-09</t>
        </is>
      </c>
      <c r="C175" s="9" t="inlineStr">
        <is>
          <t>v0.3.0</t>
        </is>
      </c>
      <c r="D175" s="9" t="inlineStr">
        <is>
          <t>S16</t>
        </is>
      </c>
      <c r="E175" s="3" t="inlineStr">
        <is>
          <t>PixiJS / Whiteboard</t>
        </is>
      </c>
      <c r="F175" s="3" t="inlineStr">
        <is>
          <t>Integração</t>
        </is>
      </c>
      <c r="G175" s="3" t="inlineStr">
        <is>
          <t>Teste</t>
        </is>
      </c>
      <c r="H175" s="3" t="inlineStr">
        <is>
          <t>Testar cena determinística</t>
        </is>
      </c>
      <c r="I175" s="3" t="inlineStr">
        <is>
          <t>Reproduzir gestos e capturas em corpus de posições e tamanhos.</t>
        </is>
      </c>
      <c r="J175" s="3" t="inlineStr">
        <is>
          <t>tests/board/scene-basic/</t>
        </is>
      </c>
      <c r="K175" s="3" t="inlineStr">
        <is>
          <t>Mesma sequência de comandos produz mesma topologia, sem depender de frame rate.</t>
        </is>
      </c>
      <c r="L175" s="3" t="inlineStr">
        <is>
          <t>SL-S16-08</t>
        </is>
      </c>
      <c r="M175" s="3" t="inlineStr">
        <is>
          <t>R11; R12; R31</t>
        </is>
      </c>
      <c r="N175" s="10" t="inlineStr">
        <is>
          <t>Não iniciado</t>
        </is>
      </c>
      <c r="O175" s="3" t="inlineStr">
        <is>
          <t>P1</t>
        </is>
      </c>
      <c r="P175" s="3" t="inlineStr">
        <is>
          <t>Alto</t>
        </is>
      </c>
      <c r="Q175" s="3" t="inlineStr">
        <is>
          <t>Obrigatória no escopo da versão</t>
        </is>
      </c>
      <c r="R175" s="10" t="inlineStr">
        <is>
          <t>Autor + agente de IA</t>
        </is>
      </c>
      <c r="S175" s="10" t="inlineStr"/>
      <c r="T175" s="11" t="inlineStr"/>
      <c r="U175" s="3" t="inlineStr">
        <is>
          <t>reports/S16/SL-S16-09.md</t>
        </is>
      </c>
      <c r="V175" s="10" t="inlineStr"/>
      <c r="W175" s="10" t="inlineStr"/>
      <c r="X175" s="3">
        <f>IF(N175="Concluído",IF(AND(S175&lt;&gt;"",ISNUMBER(T175),T175&gt;0,V175&lt;&gt;"",AND(OR(X174="OK",X174="DISPENSADO"))),"OK","REVISAR"),IF(N175="Dispensado (ADR)",IF(AND(LEFT(Q175,11)="Condicional",W175&lt;&gt;"",S175&lt;&gt;"",ISNUMBER(T175),T175&gt;0,V175&lt;&gt;""),"DISPENSADO","REVISAR"),"PENDENTE"))</f>
        <v/>
      </c>
      <c r="Y175" s="10" t="inlineStr"/>
    </row>
    <row r="176" ht="112" customHeight="1">
      <c r="A176" s="3" t="n">
        <v>175</v>
      </c>
      <c r="B176" s="3" t="inlineStr">
        <is>
          <t>SL-S16-10</t>
        </is>
      </c>
      <c r="C176" s="9" t="inlineStr">
        <is>
          <t>v0.3.0</t>
        </is>
      </c>
      <c r="D176" s="9" t="inlineStr">
        <is>
          <t>S16</t>
        </is>
      </c>
      <c r="E176" s="3" t="inlineStr">
        <is>
          <t>PixiJS / Whiteboard</t>
        </is>
      </c>
      <c r="F176" s="3" t="inlineStr">
        <is>
          <t>Integração</t>
        </is>
      </c>
      <c r="G176" s="3" t="inlineStr">
        <is>
          <t>Teste</t>
        </is>
      </c>
      <c r="H176" s="3" t="inlineStr">
        <is>
          <t>Medir frame time inicial</t>
        </is>
      </c>
      <c r="I176" s="3" t="inlineStr">
        <is>
          <t>Registrar baseline com cenas sintéticas e identificar gargalos antes do LOD.</t>
        </is>
      </c>
      <c r="J176" s="3" t="inlineStr">
        <is>
          <t>reports/board/scene-baseline.json</t>
        </is>
      </c>
      <c r="K176" s="3" t="inlineStr">
        <is>
          <t>Resultado inclui hardware e payload; 60 FPS não é alegado por observação subjetiva.</t>
        </is>
      </c>
      <c r="L176" s="3" t="inlineStr">
        <is>
          <t>SL-S16-09</t>
        </is>
      </c>
      <c r="M176" s="3" t="inlineStr">
        <is>
          <t>R11; R12; R31</t>
        </is>
      </c>
      <c r="N176" s="10" t="inlineStr">
        <is>
          <t>Não iniciado</t>
        </is>
      </c>
      <c r="O176" s="3" t="inlineStr">
        <is>
          <t>P1</t>
        </is>
      </c>
      <c r="P176" s="3" t="inlineStr">
        <is>
          <t>Alto</t>
        </is>
      </c>
      <c r="Q176" s="3" t="inlineStr">
        <is>
          <t>Obrigatória no escopo da versão</t>
        </is>
      </c>
      <c r="R176" s="10" t="inlineStr">
        <is>
          <t>Autor + agente de IA</t>
        </is>
      </c>
      <c r="S176" s="10" t="inlineStr"/>
      <c r="T176" s="11" t="inlineStr"/>
      <c r="U176" s="3" t="inlineStr">
        <is>
          <t>reports/S16/SL-S16-10.md</t>
        </is>
      </c>
      <c r="V176" s="10" t="inlineStr"/>
      <c r="W176" s="10" t="inlineStr"/>
      <c r="X176" s="3">
        <f>IF(N176="Concluído",IF(AND(S176&lt;&gt;"",ISNUMBER(T176),T176&gt;0,V176&lt;&gt;"",AND(OR(X175="OK",X175="DISPENSADO"))),"OK","REVISAR"),IF(N176="Dispensado (ADR)",IF(AND(LEFT(Q176,11)="Condicional",W176&lt;&gt;"",S176&lt;&gt;"",ISNUMBER(T176),T176&gt;0,V176&lt;&gt;""),"DISPENSADO","REVISAR"),"PENDENTE"))</f>
        <v/>
      </c>
      <c r="Y176" s="10" t="inlineStr"/>
    </row>
    <row r="177" ht="98" customHeight="1">
      <c r="A177" s="3" t="n">
        <v>176</v>
      </c>
      <c r="B177" s="12" t="inlineStr">
        <is>
          <t>SL-S16-GATE</t>
        </is>
      </c>
      <c r="C177" s="9" t="inlineStr">
        <is>
          <t>v0.3.0</t>
        </is>
      </c>
      <c r="D177" s="9" t="inlineStr">
        <is>
          <t>S16</t>
        </is>
      </c>
      <c r="E177" s="3" t="inlineStr">
        <is>
          <t>PixiJS / Whiteboard</t>
        </is>
      </c>
      <c r="F177" s="3" t="inlineStr">
        <is>
          <t>Aceite humano</t>
        </is>
      </c>
      <c r="G177" s="12" t="inlineStr">
        <is>
          <t>Gate</t>
        </is>
      </c>
      <c r="H177" s="12" t="inlineStr">
        <is>
          <t>Aceitar S16 — Construir cena PixiJS e interação básica</t>
        </is>
      </c>
      <c r="I177" s="3" t="inlineStr">
        <is>
          <t>Revisar as dez tarefas, executar a demonstração do sprint, confrontar critérios e registrar decisão go/no-go.</t>
        </is>
      </c>
      <c r="J177" s="3" t="inlineStr">
        <is>
          <t>reports/S16/acceptance.md</t>
        </is>
      </c>
      <c r="K177" s="3" t="inlineStr">
        <is>
          <t>Criar e navegar por cartões mantendo coordenadas consistentes em diferentes zooms. Todas as dependências aceitas; evidências vinculadas a revisão/ambiente; nenhum blocker de integridade/segurança.</t>
        </is>
      </c>
      <c r="L177" s="3" t="inlineStr">
        <is>
          <t>SL-S16-01; SL-S16-02; SL-S16-03; SL-S16-04; SL-S16-05; SL-S16-06; SL-S16-07; SL-S16-08; SL-S16-09; SL-S16-10</t>
        </is>
      </c>
      <c r="M177" s="3" t="inlineStr">
        <is>
          <t>R11; R12; R31</t>
        </is>
      </c>
      <c r="N177" s="10" t="inlineStr">
        <is>
          <t>Não iniciado</t>
        </is>
      </c>
      <c r="O177" s="3" t="inlineStr">
        <is>
          <t>P0</t>
        </is>
      </c>
      <c r="P177" s="3" t="inlineStr">
        <is>
          <t>Alto</t>
        </is>
      </c>
      <c r="Q177" s="3" t="inlineStr">
        <is>
          <t>Obrigatória para fechar a versão aprovada</t>
        </is>
      </c>
      <c r="R177" s="10" t="inlineStr">
        <is>
          <t>Autor</t>
        </is>
      </c>
      <c r="S177" s="10" t="inlineStr"/>
      <c r="T177" s="11" t="inlineStr"/>
      <c r="U177" s="3" t="inlineStr">
        <is>
          <t>reports/S16/acceptance.md</t>
        </is>
      </c>
      <c r="V177" s="10" t="inlineStr"/>
      <c r="W177" s="10" t="inlineStr"/>
      <c r="X177" s="3">
        <f>IF(N177="Concluído",IF(AND(S177&lt;&gt;"",ISNUMBER(T177),T177&gt;0,V177&lt;&gt;"",AND(OR(X167="OK",X167="DISPENSADO"),OR(X168="OK",X168="DISPENSADO"),OR(X169="OK",X169="DISPENSADO"),OR(X170="OK",X170="DISPENSADO"),OR(X171="OK",X171="DISPENSADO"),OR(X172="OK",X172="DISPENSADO"),OR(X173="OK",X173="DISPENSADO"),OR(X174="OK",X174="DISPENSADO"),OR(X175="OK",X175="DISPENSADO"),OR(X176="OK",X176="DISPENSADO"))),"OK","REVISAR"),IF(N177="Dispensado (ADR)",IF(AND(LEFT(Q177,11)="Condicional",W177&lt;&gt;"",S177&lt;&gt;"",ISNUMBER(T177),T177&gt;0,V177&lt;&gt;""),"DISPENSADO","REVISAR"),"PENDENTE"))</f>
        <v/>
      </c>
      <c r="Y177" s="10" t="inlineStr"/>
    </row>
    <row r="178" ht="112" customHeight="1">
      <c r="A178" s="3" t="n">
        <v>177</v>
      </c>
      <c r="B178" s="3" t="inlineStr">
        <is>
          <t>SL-S17-01</t>
        </is>
      </c>
      <c r="C178" s="9" t="inlineStr">
        <is>
          <t>v0.3.0</t>
        </is>
      </c>
      <c r="D178" s="9" t="inlineStr">
        <is>
          <t>S17</t>
        </is>
      </c>
      <c r="E178" s="3" t="inlineStr">
        <is>
          <t>BoardService / topologia</t>
        </is>
      </c>
      <c r="F178" s="3" t="inlineStr">
        <is>
          <t>Próprio</t>
        </is>
      </c>
      <c r="G178" s="3" t="inlineStr">
        <is>
          <t>Implementação</t>
        </is>
      </c>
      <c r="H178" s="3" t="inlineStr">
        <is>
          <t>Criar comandos de board</t>
        </is>
      </c>
      <c r="I178" s="3" t="inlineStr">
        <is>
          <t>Adicionar/remover ocorrência e alterar posição/tamanho por revisão.</t>
        </is>
      </c>
      <c r="J178" s="3" t="inlineStr">
        <is>
          <t>crates/board/src/commands.rs</t>
        </is>
      </c>
      <c r="K178" s="3" t="inlineStr">
        <is>
          <t>Operação visual só fica confirmada após persistência no domínio.</t>
        </is>
      </c>
      <c r="L178" s="3" t="inlineStr">
        <is>
          <t>SL-S08-GATE; SL-S10-GATE; SL-S16-GATE</t>
        </is>
      </c>
      <c r="M178" s="3" t="inlineStr">
        <is>
          <t>R02; R05; R11; R22</t>
        </is>
      </c>
      <c r="N178" s="10" t="inlineStr">
        <is>
          <t>Não iniciado</t>
        </is>
      </c>
      <c r="O178" s="3" t="inlineStr">
        <is>
          <t>P0</t>
        </is>
      </c>
      <c r="P178" s="3" t="inlineStr">
        <is>
          <t>Crítico</t>
        </is>
      </c>
      <c r="Q178" s="3" t="inlineStr">
        <is>
          <t>Obrigatória no escopo da versão</t>
        </is>
      </c>
      <c r="R178" s="10" t="inlineStr">
        <is>
          <t>Autor + agente de IA</t>
        </is>
      </c>
      <c r="S178" s="10" t="inlineStr"/>
      <c r="T178" s="11" t="inlineStr"/>
      <c r="U178" s="3" t="inlineStr">
        <is>
          <t>reports/S17/SL-S17-01.md</t>
        </is>
      </c>
      <c r="V178" s="10" t="inlineStr"/>
      <c r="W178" s="10" t="inlineStr"/>
      <c r="X178" s="3">
        <f>IF(N178="Concluído",IF(AND(S178&lt;&gt;"",ISNUMBER(T178),T178&gt;0,V178&lt;&gt;"",AND(OR(X89="OK",X89="DISPENSADO"),OR(X111="OK",X111="DISPENSADO"),OR(X177="OK",X177="DISPENSADO"))),"OK","REVISAR"),IF(N178="Dispensado (ADR)",IF(AND(LEFT(Q178,11)="Condicional",W178&lt;&gt;"",S178&lt;&gt;"",ISNUMBER(T178),T178&gt;0,V178&lt;&gt;""),"DISPENSADO","REVISAR"),"PENDENTE"))</f>
        <v/>
      </c>
      <c r="Y178" s="10" t="inlineStr"/>
    </row>
    <row r="179" ht="112" customHeight="1">
      <c r="A179" s="3" t="n">
        <v>178</v>
      </c>
      <c r="B179" s="3" t="inlineStr">
        <is>
          <t>SL-S17-02</t>
        </is>
      </c>
      <c r="C179" s="9" t="inlineStr">
        <is>
          <t>v0.3.0</t>
        </is>
      </c>
      <c r="D179" s="9" t="inlineStr">
        <is>
          <t>S17</t>
        </is>
      </c>
      <c r="E179" s="3" t="inlineStr">
        <is>
          <t>BoardService / topologia</t>
        </is>
      </c>
      <c r="F179" s="3" t="inlineStr">
        <is>
          <t>Próprio</t>
        </is>
      </c>
      <c r="G179" s="3" t="inlineStr">
        <is>
          <t>Implementação</t>
        </is>
      </c>
      <c r="H179" s="3" t="inlineStr">
        <is>
          <t>Separar conteúdo/ocorrência</t>
        </is>
      </c>
      <c r="I179" s="3" t="inlineStr">
        <is>
          <t>Referenciar nota por ID e manter propriedades locais no cartão.</t>
        </is>
      </c>
      <c r="J179" s="3" t="inlineStr">
        <is>
          <t>crates/board/src/occurrences.rs</t>
        </is>
      </c>
      <c r="K179" s="3" t="inlineStr">
        <is>
          <t>Duas ocorrências editam o mesmo conteúdo, mas não compartilham coordenadas.</t>
        </is>
      </c>
      <c r="L179" s="3" t="inlineStr">
        <is>
          <t>SL-S17-01</t>
        </is>
      </c>
      <c r="M179" s="3" t="inlineStr">
        <is>
          <t>R02; R05; R11; R22</t>
        </is>
      </c>
      <c r="N179" s="10" t="inlineStr">
        <is>
          <t>Não iniciado</t>
        </is>
      </c>
      <c r="O179" s="3" t="inlineStr">
        <is>
          <t>P0</t>
        </is>
      </c>
      <c r="P179" s="3" t="inlineStr">
        <is>
          <t>Crítico</t>
        </is>
      </c>
      <c r="Q179" s="3" t="inlineStr">
        <is>
          <t>Obrigatória no escopo da versão</t>
        </is>
      </c>
      <c r="R179" s="10" t="inlineStr">
        <is>
          <t>Autor + agente de IA</t>
        </is>
      </c>
      <c r="S179" s="10" t="inlineStr"/>
      <c r="T179" s="11" t="inlineStr"/>
      <c r="U179" s="3" t="inlineStr">
        <is>
          <t>reports/S17/SL-S17-02.md</t>
        </is>
      </c>
      <c r="V179" s="10" t="inlineStr"/>
      <c r="W179" s="10" t="inlineStr"/>
      <c r="X179" s="3">
        <f>IF(N179="Concluído",IF(AND(S179&lt;&gt;"",ISNUMBER(T179),T179&gt;0,V179&lt;&gt;"",AND(OR(X178="OK",X178="DISPENSADO"))),"OK","REVISAR"),IF(N179="Dispensado (ADR)",IF(AND(LEFT(Q179,11)="Condicional",W179&lt;&gt;"",S179&lt;&gt;"",ISNUMBER(T179),T179&gt;0,V179&lt;&gt;""),"DISPENSADO","REVISAR"),"PENDENTE"))</f>
        <v/>
      </c>
      <c r="Y179" s="10" t="inlineStr"/>
    </row>
    <row r="180" ht="112" customHeight="1">
      <c r="A180" s="3" t="n">
        <v>179</v>
      </c>
      <c r="B180" s="3" t="inlineStr">
        <is>
          <t>SL-S17-03</t>
        </is>
      </c>
      <c r="C180" s="9" t="inlineStr">
        <is>
          <t>v0.3.0</t>
        </is>
      </c>
      <c r="D180" s="9" t="inlineStr">
        <is>
          <t>S17</t>
        </is>
      </c>
      <c r="E180" s="3" t="inlineStr">
        <is>
          <t>BoardService / topologia</t>
        </is>
      </c>
      <c r="F180" s="3" t="inlineStr">
        <is>
          <t>Próprio</t>
        </is>
      </c>
      <c r="G180" s="3" t="inlineStr">
        <is>
          <t>Implementação</t>
        </is>
      </c>
      <c r="H180" s="3" t="inlineStr">
        <is>
          <t>Implementar grupos</t>
        </is>
      </c>
      <c r="I180" s="3" t="inlineStr">
        <is>
          <t>Criar membership explícito, rótulo e limites geométricos.</t>
        </is>
      </c>
      <c r="J180" s="3" t="inlineStr">
        <is>
          <t>crates/board/src/groups.rs</t>
        </is>
      </c>
      <c r="K180" s="3" t="inlineStr">
        <is>
          <t>Proximidade não cria relação semântica por conta própria.</t>
        </is>
      </c>
      <c r="L180" s="3" t="inlineStr">
        <is>
          <t>SL-S17-02</t>
        </is>
      </c>
      <c r="M180" s="3" t="inlineStr">
        <is>
          <t>R02; R05; R11; R22</t>
        </is>
      </c>
      <c r="N180" s="10" t="inlineStr">
        <is>
          <t>Não iniciado</t>
        </is>
      </c>
      <c r="O180" s="3" t="inlineStr">
        <is>
          <t>P0</t>
        </is>
      </c>
      <c r="P180" s="3" t="inlineStr">
        <is>
          <t>Crítico</t>
        </is>
      </c>
      <c r="Q180" s="3" t="inlineStr">
        <is>
          <t>Obrigatória no escopo da versão</t>
        </is>
      </c>
      <c r="R180" s="10" t="inlineStr">
        <is>
          <t>Autor + agente de IA</t>
        </is>
      </c>
      <c r="S180" s="10" t="inlineStr"/>
      <c r="T180" s="11" t="inlineStr"/>
      <c r="U180" s="3" t="inlineStr">
        <is>
          <t>reports/S17/SL-S17-03.md</t>
        </is>
      </c>
      <c r="V180" s="10" t="inlineStr"/>
      <c r="W180" s="10" t="inlineStr"/>
      <c r="X180" s="3">
        <f>IF(N180="Concluído",IF(AND(S180&lt;&gt;"",ISNUMBER(T180),T180&gt;0,V180&lt;&gt;"",AND(OR(X179="OK",X179="DISPENSADO"))),"OK","REVISAR"),IF(N180="Dispensado (ADR)",IF(AND(LEFT(Q180,11)="Condicional",W180&lt;&gt;"",S180&lt;&gt;"",ISNUMBER(T180),T180&gt;0,V180&lt;&gt;""),"DISPENSADO","REVISAR"),"PENDENTE"))</f>
        <v/>
      </c>
      <c r="Y180" s="10" t="inlineStr"/>
    </row>
    <row r="181" ht="112" customHeight="1">
      <c r="A181" s="3" t="n">
        <v>180</v>
      </c>
      <c r="B181" s="3" t="inlineStr">
        <is>
          <t>SL-S17-04</t>
        </is>
      </c>
      <c r="C181" s="9" t="inlineStr">
        <is>
          <t>v0.3.0</t>
        </is>
      </c>
      <c r="D181" s="9" t="inlineStr">
        <is>
          <t>S17</t>
        </is>
      </c>
      <c r="E181" s="3" t="inlineStr">
        <is>
          <t>BoardService / topologia</t>
        </is>
      </c>
      <c r="F181" s="3" t="inlineStr">
        <is>
          <t>Próprio</t>
        </is>
      </c>
      <c r="G181" s="3" t="inlineStr">
        <is>
          <t>Implementação</t>
        </is>
      </c>
      <c r="H181" s="3" t="inlineStr">
        <is>
          <t>Implementar arestas</t>
        </is>
      </c>
      <c r="I181" s="3" t="inlineStr">
        <is>
          <t>Persistir direção, rótulo, origem manual/IA e endpoints válidos.</t>
        </is>
      </c>
      <c r="J181" s="3" t="inlineStr">
        <is>
          <t>crates/board/src/edges.rs</t>
        </is>
      </c>
      <c r="K181" s="3" t="inlineStr">
        <is>
          <t>Relações apoia/contradiz são distintas; loops/ciclos permitidos têm representação consistente.</t>
        </is>
      </c>
      <c r="L181" s="3" t="inlineStr">
        <is>
          <t>SL-S17-03</t>
        </is>
      </c>
      <c r="M181" s="3" t="inlineStr">
        <is>
          <t>R02; R05; R11; R22</t>
        </is>
      </c>
      <c r="N181" s="10" t="inlineStr">
        <is>
          <t>Não iniciado</t>
        </is>
      </c>
      <c r="O181" s="3" t="inlineStr">
        <is>
          <t>P0</t>
        </is>
      </c>
      <c r="P181" s="3" t="inlineStr">
        <is>
          <t>Crítico</t>
        </is>
      </c>
      <c r="Q181" s="3" t="inlineStr">
        <is>
          <t>Obrigatória no escopo da versão</t>
        </is>
      </c>
      <c r="R181" s="10" t="inlineStr">
        <is>
          <t>Autor + agente de IA</t>
        </is>
      </c>
      <c r="S181" s="10" t="inlineStr"/>
      <c r="T181" s="11" t="inlineStr"/>
      <c r="U181" s="3" t="inlineStr">
        <is>
          <t>reports/S17/SL-S17-04.md</t>
        </is>
      </c>
      <c r="V181" s="10" t="inlineStr"/>
      <c r="W181" s="10" t="inlineStr"/>
      <c r="X181" s="3">
        <f>IF(N181="Concluído",IF(AND(S181&lt;&gt;"",ISNUMBER(T181),T181&gt;0,V181&lt;&gt;"",AND(OR(X180="OK",X180="DISPENSADO"))),"OK","REVISAR"),IF(N181="Dispensado (ADR)",IF(AND(LEFT(Q181,11)="Condicional",W181&lt;&gt;"",S181&lt;&gt;"",ISNUMBER(T181),T181&gt;0,V181&lt;&gt;""),"DISPENSADO","REVISAR"),"PENDENTE"))</f>
        <v/>
      </c>
      <c r="Y181" s="10" t="inlineStr"/>
    </row>
    <row r="182" ht="112" customHeight="1">
      <c r="A182" s="3" t="n">
        <v>181</v>
      </c>
      <c r="B182" s="3" t="inlineStr">
        <is>
          <t>SL-S17-05</t>
        </is>
      </c>
      <c r="C182" s="9" t="inlineStr">
        <is>
          <t>v0.3.0</t>
        </is>
      </c>
      <c r="D182" s="9" t="inlineStr">
        <is>
          <t>S17</t>
        </is>
      </c>
      <c r="E182" s="3" t="inlineStr">
        <is>
          <t>BoardService / topologia</t>
        </is>
      </c>
      <c r="F182" s="3" t="inlineStr">
        <is>
          <t>Próprio</t>
        </is>
      </c>
      <c r="G182" s="3" t="inlineStr">
        <is>
          <t>Implementação</t>
        </is>
      </c>
      <c r="H182" s="3" t="inlineStr">
        <is>
          <t>Validar referência órfã</t>
        </is>
      </c>
      <c r="I182" s="3" t="inlineStr">
        <is>
          <t>Definir comportamento para nó removido, conteúdo ausente e fonte excluída.</t>
        </is>
      </c>
      <c r="J182" s="3" t="inlineStr">
        <is>
          <t>crates/board/src/validation.rs</t>
        </is>
      </c>
      <c r="K182" s="3" t="inlineStr">
        <is>
          <t>Estado inconsistente aparece para reparo, sem remoção silenciosa de autoria.</t>
        </is>
      </c>
      <c r="L182" s="3" t="inlineStr">
        <is>
          <t>SL-S17-04</t>
        </is>
      </c>
      <c r="M182" s="3" t="inlineStr">
        <is>
          <t>R02; R05; R11; R22</t>
        </is>
      </c>
      <c r="N182" s="10" t="inlineStr">
        <is>
          <t>Não iniciado</t>
        </is>
      </c>
      <c r="O182" s="3" t="inlineStr">
        <is>
          <t>P0</t>
        </is>
      </c>
      <c r="P182" s="3" t="inlineStr">
        <is>
          <t>Crítico</t>
        </is>
      </c>
      <c r="Q182" s="3" t="inlineStr">
        <is>
          <t>Obrigatória no escopo da versão</t>
        </is>
      </c>
      <c r="R182" s="10" t="inlineStr">
        <is>
          <t>Autor + agente de IA</t>
        </is>
      </c>
      <c r="S182" s="10" t="inlineStr"/>
      <c r="T182" s="11" t="inlineStr"/>
      <c r="U182" s="3" t="inlineStr">
        <is>
          <t>reports/S17/SL-S17-05.md</t>
        </is>
      </c>
      <c r="V182" s="10" t="inlineStr"/>
      <c r="W182" s="10" t="inlineStr"/>
      <c r="X182" s="3">
        <f>IF(N182="Concluído",IF(AND(S182&lt;&gt;"",ISNUMBER(T182),T182&gt;0,V182&lt;&gt;"",AND(OR(X181="OK",X181="DISPENSADO"))),"OK","REVISAR"),IF(N182="Dispensado (ADR)",IF(AND(LEFT(Q182,11)="Condicional",W182&lt;&gt;"",S182&lt;&gt;"",ISNUMBER(T182),T182&gt;0,V182&lt;&gt;""),"DISPENSADO","REVISAR"),"PENDENTE"))</f>
        <v/>
      </c>
      <c r="Y182" s="10" t="inlineStr"/>
    </row>
    <row r="183" ht="112" customHeight="1">
      <c r="A183" s="3" t="n">
        <v>182</v>
      </c>
      <c r="B183" s="3" t="inlineStr">
        <is>
          <t>SL-S17-06</t>
        </is>
      </c>
      <c r="C183" s="9" t="inlineStr">
        <is>
          <t>v0.3.0</t>
        </is>
      </c>
      <c r="D183" s="9" t="inlineStr">
        <is>
          <t>S17</t>
        </is>
      </c>
      <c r="E183" s="3" t="inlineStr">
        <is>
          <t>BoardService / topologia</t>
        </is>
      </c>
      <c r="F183" s="3" t="inlineStr">
        <is>
          <t>Próprio</t>
        </is>
      </c>
      <c r="G183" s="3" t="inlineStr">
        <is>
          <t>Implementação</t>
        </is>
      </c>
      <c r="H183" s="3" t="inlineStr">
        <is>
          <t>Serializar JSON estável</t>
        </is>
      </c>
      <c r="I183" s="3" t="inlineStr">
        <is>
          <t>Ordenar coleções por regra explícita e evitar ruído desnecessário de diff.</t>
        </is>
      </c>
      <c r="J183" s="3" t="inlineStr">
        <is>
          <t>crates/board/src/codec_json.rs</t>
        </is>
      </c>
      <c r="K183" s="3" t="inlineStr">
        <is>
          <t>Regravação sem mudança não produz diff semântico nem altera IDs.</t>
        </is>
      </c>
      <c r="L183" s="3" t="inlineStr">
        <is>
          <t>SL-S17-05</t>
        </is>
      </c>
      <c r="M183" s="3" t="inlineStr">
        <is>
          <t>R02; R05; R11; R22</t>
        </is>
      </c>
      <c r="N183" s="10" t="inlineStr">
        <is>
          <t>Não iniciado</t>
        </is>
      </c>
      <c r="O183" s="3" t="inlineStr">
        <is>
          <t>P0</t>
        </is>
      </c>
      <c r="P183" s="3" t="inlineStr">
        <is>
          <t>Crítico</t>
        </is>
      </c>
      <c r="Q183" s="3" t="inlineStr">
        <is>
          <t>Obrigatória no escopo da versão</t>
        </is>
      </c>
      <c r="R183" s="10" t="inlineStr">
        <is>
          <t>Autor + agente de IA</t>
        </is>
      </c>
      <c r="S183" s="10" t="inlineStr"/>
      <c r="T183" s="11" t="inlineStr"/>
      <c r="U183" s="3" t="inlineStr">
        <is>
          <t>reports/S17/SL-S17-06.md</t>
        </is>
      </c>
      <c r="V183" s="10" t="inlineStr"/>
      <c r="W183" s="10" t="inlineStr"/>
      <c r="X183" s="3">
        <f>IF(N183="Concluído",IF(AND(S183&lt;&gt;"",ISNUMBER(T183),T183&gt;0,V183&lt;&gt;"",AND(OR(X182="OK",X182="DISPENSADO"))),"OK","REVISAR"),IF(N183="Dispensado (ADR)",IF(AND(LEFT(Q183,11)="Condicional",W183&lt;&gt;"",S183&lt;&gt;"",ISNUMBER(T183),T183&gt;0,V183&lt;&gt;""),"DISPENSADO","REVISAR"),"PENDENTE"))</f>
        <v/>
      </c>
      <c r="Y183" s="10" t="inlineStr"/>
    </row>
    <row r="184" ht="112" customHeight="1">
      <c r="A184" s="3" t="n">
        <v>183</v>
      </c>
      <c r="B184" s="3" t="inlineStr">
        <is>
          <t>SL-S17-07</t>
        </is>
      </c>
      <c r="C184" s="9" t="inlineStr">
        <is>
          <t>v0.3.0</t>
        </is>
      </c>
      <c r="D184" s="9" t="inlineStr">
        <is>
          <t>S17</t>
        </is>
      </c>
      <c r="E184" s="3" t="inlineStr">
        <is>
          <t>BoardService / topologia</t>
        </is>
      </c>
      <c r="F184" s="3" t="inlineStr">
        <is>
          <t>Próprio</t>
        </is>
      </c>
      <c r="G184" s="3" t="inlineStr">
        <is>
          <t>Implementação</t>
        </is>
      </c>
      <c r="H184" s="3" t="inlineStr">
        <is>
          <t>Gerar MPK derivado</t>
        </is>
      </c>
      <c r="I184" s="3" t="inlineStr">
        <is>
          <t>Vincular cache ao hash/schema da topologia e reconstruir quando inválido.</t>
        </is>
      </c>
      <c r="J184" s="3" t="inlineStr">
        <is>
          <t>crates/board/src/cache_mpk.rs</t>
        </is>
      </c>
      <c r="K184" s="3" t="inlineStr">
        <is>
          <t>MPK mais recente por timestamp não vence JSON/journal autoritativo.</t>
        </is>
      </c>
      <c r="L184" s="3" t="inlineStr">
        <is>
          <t>SL-S17-06</t>
        </is>
      </c>
      <c r="M184" s="3" t="inlineStr">
        <is>
          <t>R02; R05; R11; R22</t>
        </is>
      </c>
      <c r="N184" s="10" t="inlineStr">
        <is>
          <t>Não iniciado</t>
        </is>
      </c>
      <c r="O184" s="3" t="inlineStr">
        <is>
          <t>P0</t>
        </is>
      </c>
      <c r="P184" s="3" t="inlineStr">
        <is>
          <t>Crítico</t>
        </is>
      </c>
      <c r="Q184" s="3" t="inlineStr">
        <is>
          <t>Obrigatória no escopo da versão</t>
        </is>
      </c>
      <c r="R184" s="10" t="inlineStr">
        <is>
          <t>Autor + agente de IA</t>
        </is>
      </c>
      <c r="S184" s="10" t="inlineStr"/>
      <c r="T184" s="11" t="inlineStr"/>
      <c r="U184" s="3" t="inlineStr">
        <is>
          <t>reports/S17/SL-S17-07.md</t>
        </is>
      </c>
      <c r="V184" s="10" t="inlineStr"/>
      <c r="W184" s="10" t="inlineStr"/>
      <c r="X184" s="3">
        <f>IF(N184="Concluído",IF(AND(S184&lt;&gt;"",ISNUMBER(T184),T184&gt;0,V184&lt;&gt;"",AND(OR(X183="OK",X183="DISPENSADO"))),"OK","REVISAR"),IF(N184="Dispensado (ADR)",IF(AND(LEFT(Q184,11)="Condicional",W184&lt;&gt;"",S184&lt;&gt;"",ISNUMBER(T184),T184&gt;0,V184&lt;&gt;""),"DISPENSADO","REVISAR"),"PENDENTE"))</f>
        <v/>
      </c>
      <c r="Y184" s="10" t="inlineStr"/>
    </row>
    <row r="185" ht="112" customHeight="1">
      <c r="A185" s="3" t="n">
        <v>184</v>
      </c>
      <c r="B185" s="3" t="inlineStr">
        <is>
          <t>SL-S17-08</t>
        </is>
      </c>
      <c r="C185" s="9" t="inlineStr">
        <is>
          <t>v0.3.0</t>
        </is>
      </c>
      <c r="D185" s="9" t="inlineStr">
        <is>
          <t>S17</t>
        </is>
      </c>
      <c r="E185" s="3" t="inlineStr">
        <is>
          <t>BoardService / topologia</t>
        </is>
      </c>
      <c r="F185" s="3" t="inlineStr">
        <is>
          <t>Próprio</t>
        </is>
      </c>
      <c r="G185" s="3" t="inlineStr">
        <is>
          <t>Implementação</t>
        </is>
      </c>
      <c r="H185" s="3" t="inlineStr">
        <is>
          <t>Criar undo de operações espaciais</t>
        </is>
      </c>
      <c r="I185" s="3" t="inlineStr">
        <is>
          <t>Agrupar drag/resize e manter alterações de relações reversíveis.</t>
        </is>
      </c>
      <c r="J185" s="3" t="inlineStr">
        <is>
          <t>crates/board/src/undo.rs</t>
        </is>
      </c>
      <c r="K185" s="3" t="inlineStr">
        <is>
          <t>Desfazer movimento não reverte indevidamente edição textual posterior.</t>
        </is>
      </c>
      <c r="L185" s="3" t="inlineStr">
        <is>
          <t>SL-S17-07</t>
        </is>
      </c>
      <c r="M185" s="3" t="inlineStr">
        <is>
          <t>R02; R05; R11; R22</t>
        </is>
      </c>
      <c r="N185" s="10" t="inlineStr">
        <is>
          <t>Não iniciado</t>
        </is>
      </c>
      <c r="O185" s="3" t="inlineStr">
        <is>
          <t>P0</t>
        </is>
      </c>
      <c r="P185" s="3" t="inlineStr">
        <is>
          <t>Crítico</t>
        </is>
      </c>
      <c r="Q185" s="3" t="inlineStr">
        <is>
          <t>Obrigatória no escopo da versão</t>
        </is>
      </c>
      <c r="R185" s="10" t="inlineStr">
        <is>
          <t>Autor + agente de IA</t>
        </is>
      </c>
      <c r="S185" s="10" t="inlineStr"/>
      <c r="T185" s="11" t="inlineStr"/>
      <c r="U185" s="3" t="inlineStr">
        <is>
          <t>reports/S17/SL-S17-08.md</t>
        </is>
      </c>
      <c r="V185" s="10" t="inlineStr"/>
      <c r="W185" s="10" t="inlineStr"/>
      <c r="X185" s="3">
        <f>IF(N185="Concluído",IF(AND(S185&lt;&gt;"",ISNUMBER(T185),T185&gt;0,V185&lt;&gt;"",AND(OR(X184="OK",X184="DISPENSADO"))),"OK","REVISAR"),IF(N185="Dispensado (ADR)",IF(AND(LEFT(Q185,11)="Condicional",W185&lt;&gt;"",S185&lt;&gt;"",ISNUMBER(T185),T185&gt;0,V185&lt;&gt;""),"DISPENSADO","REVISAR"),"PENDENTE"))</f>
        <v/>
      </c>
      <c r="Y185" s="10" t="inlineStr"/>
    </row>
    <row r="186" ht="112" customHeight="1">
      <c r="A186" s="3" t="n">
        <v>185</v>
      </c>
      <c r="B186" s="3" t="inlineStr">
        <is>
          <t>SL-S17-09</t>
        </is>
      </c>
      <c r="C186" s="9" t="inlineStr">
        <is>
          <t>v0.3.0</t>
        </is>
      </c>
      <c r="D186" s="9" t="inlineStr">
        <is>
          <t>S17</t>
        </is>
      </c>
      <c r="E186" s="3" t="inlineStr">
        <is>
          <t>BoardService / topologia</t>
        </is>
      </c>
      <c r="F186" s="3" t="inlineStr">
        <is>
          <t>Próprio</t>
        </is>
      </c>
      <c r="G186" s="3" t="inlineStr">
        <is>
          <t>Teste</t>
        </is>
      </c>
      <c r="H186" s="3" t="inlineStr">
        <is>
          <t>Testar topologias complexas</t>
        </is>
      </c>
      <c r="I186" s="3" t="inlineStr">
        <is>
          <t>Cobrir ciclos, referências cruzadas, grupos e múltiplas ocorrências.</t>
        </is>
      </c>
      <c r="J186" s="3" t="inlineStr">
        <is>
          <t>tests/board/topology/</t>
        </is>
      </c>
      <c r="K186" s="3" t="inlineStr">
        <is>
          <t>Nenhuma transformação para árvore apaga arestas canônicas.</t>
        </is>
      </c>
      <c r="L186" s="3" t="inlineStr">
        <is>
          <t>SL-S17-08</t>
        </is>
      </c>
      <c r="M186" s="3" t="inlineStr">
        <is>
          <t>R02; R05; R11; R22</t>
        </is>
      </c>
      <c r="N186" s="10" t="inlineStr">
        <is>
          <t>Não iniciado</t>
        </is>
      </c>
      <c r="O186" s="3" t="inlineStr">
        <is>
          <t>P0</t>
        </is>
      </c>
      <c r="P186" s="3" t="inlineStr">
        <is>
          <t>Crítico</t>
        </is>
      </c>
      <c r="Q186" s="3" t="inlineStr">
        <is>
          <t>Obrigatória no escopo da versão</t>
        </is>
      </c>
      <c r="R186" s="10" t="inlineStr">
        <is>
          <t>Autor + agente de IA</t>
        </is>
      </c>
      <c r="S186" s="10" t="inlineStr"/>
      <c r="T186" s="11" t="inlineStr"/>
      <c r="U186" s="3" t="inlineStr">
        <is>
          <t>reports/S17/SL-S17-09.md</t>
        </is>
      </c>
      <c r="V186" s="10" t="inlineStr"/>
      <c r="W186" s="10" t="inlineStr"/>
      <c r="X186" s="3">
        <f>IF(N186="Concluído",IF(AND(S186&lt;&gt;"",ISNUMBER(T186),T186&gt;0,V186&lt;&gt;"",AND(OR(X185="OK",X185="DISPENSADO"))),"OK","REVISAR"),IF(N186="Dispensado (ADR)",IF(AND(LEFT(Q186,11)="Condicional",W186&lt;&gt;"",S186&lt;&gt;"",ISNUMBER(T186),T186&gt;0,V186&lt;&gt;""),"DISPENSADO","REVISAR"),"PENDENTE"))</f>
        <v/>
      </c>
      <c r="Y186" s="10" t="inlineStr"/>
    </row>
    <row r="187" ht="112" customHeight="1">
      <c r="A187" s="3" t="n">
        <v>186</v>
      </c>
      <c r="B187" s="3" t="inlineStr">
        <is>
          <t>SL-S17-10</t>
        </is>
      </c>
      <c r="C187" s="9" t="inlineStr">
        <is>
          <t>v0.3.0</t>
        </is>
      </c>
      <c r="D187" s="9" t="inlineStr">
        <is>
          <t>S17</t>
        </is>
      </c>
      <c r="E187" s="3" t="inlineStr">
        <is>
          <t>BoardService / topologia</t>
        </is>
      </c>
      <c r="F187" s="3" t="inlineStr">
        <is>
          <t>Próprio</t>
        </is>
      </c>
      <c r="G187" s="3" t="inlineStr">
        <is>
          <t>Teste</t>
        </is>
      </c>
      <c r="H187" s="3" t="inlineStr">
        <is>
          <t>Executar reconstrução do board</t>
        </is>
      </c>
      <c r="I187" s="3" t="inlineStr">
        <is>
          <t>Remover caches e reabrir após edições externas controladas.</t>
        </is>
      </c>
      <c r="J187" s="3" t="inlineStr">
        <is>
          <t>reports/board/rebuild.json</t>
        </is>
      </c>
      <c r="K187" s="3" t="inlineStr">
        <is>
          <t>Geometria, grupos e relações são equivalentes ao estado confirmado.</t>
        </is>
      </c>
      <c r="L187" s="3" t="inlineStr">
        <is>
          <t>SL-S17-09</t>
        </is>
      </c>
      <c r="M187" s="3" t="inlineStr">
        <is>
          <t>R02; R05; R11; R22</t>
        </is>
      </c>
      <c r="N187" s="10" t="inlineStr">
        <is>
          <t>Não iniciado</t>
        </is>
      </c>
      <c r="O187" s="3" t="inlineStr">
        <is>
          <t>P0</t>
        </is>
      </c>
      <c r="P187" s="3" t="inlineStr">
        <is>
          <t>Crítico</t>
        </is>
      </c>
      <c r="Q187" s="3" t="inlineStr">
        <is>
          <t>Obrigatória no escopo da versão</t>
        </is>
      </c>
      <c r="R187" s="10" t="inlineStr">
        <is>
          <t>Autor + agente de IA</t>
        </is>
      </c>
      <c r="S187" s="10" t="inlineStr"/>
      <c r="T187" s="11" t="inlineStr"/>
      <c r="U187" s="3" t="inlineStr">
        <is>
          <t>reports/S17/SL-S17-10.md</t>
        </is>
      </c>
      <c r="V187" s="10" t="inlineStr"/>
      <c r="W187" s="10" t="inlineStr"/>
      <c r="X187" s="3">
        <f>IF(N187="Concluído",IF(AND(S187&lt;&gt;"",ISNUMBER(T187),T187&gt;0,V187&lt;&gt;"",AND(OR(X186="OK",X186="DISPENSADO"))),"OK","REVISAR"),IF(N187="Dispensado (ADR)",IF(AND(LEFT(Q187,11)="Condicional",W187&lt;&gt;"",S187&lt;&gt;"",ISNUMBER(T187),T187&gt;0,V187&lt;&gt;""),"DISPENSADO","REVISAR"),"PENDENTE"))</f>
        <v/>
      </c>
      <c r="Y187" s="10" t="inlineStr"/>
    </row>
    <row r="188" ht="98" customHeight="1">
      <c r="A188" s="3" t="n">
        <v>187</v>
      </c>
      <c r="B188" s="12" t="inlineStr">
        <is>
          <t>SL-S17-GATE</t>
        </is>
      </c>
      <c r="C188" s="9" t="inlineStr">
        <is>
          <t>v0.3.0</t>
        </is>
      </c>
      <c r="D188" s="9" t="inlineStr">
        <is>
          <t>S17</t>
        </is>
      </c>
      <c r="E188" s="3" t="inlineStr">
        <is>
          <t>BoardService / topologia</t>
        </is>
      </c>
      <c r="F188" s="3" t="inlineStr">
        <is>
          <t>Aceite humano</t>
        </is>
      </c>
      <c r="G188" s="12" t="inlineStr">
        <is>
          <t>Gate</t>
        </is>
      </c>
      <c r="H188" s="12" t="inlineStr">
        <is>
          <t>Aceitar S17 — Persistir topologia, grupos e relações</t>
        </is>
      </c>
      <c r="I188" s="3" t="inlineStr">
        <is>
          <t>Revisar as dez tarefas, executar a demonstração do sprint, confrontar critérios e registrar decisão go/no-go.</t>
        </is>
      </c>
      <c r="J188" s="3" t="inlineStr">
        <is>
          <t>reports/S17/acceptance.md</t>
        </is>
      </c>
      <c r="K188" s="3" t="inlineStr">
        <is>
          <t>Criar ciclo de relações, agrupar, fechar, apagar MPK e reconstruir a mesma mesa. Todas as dependências aceitas; evidências vinculadas a revisão/ambiente; nenhum blocker de integridade/segurança.</t>
        </is>
      </c>
      <c r="L188" s="3" t="inlineStr">
        <is>
          <t>SL-S17-01; SL-S17-02; SL-S17-03; SL-S17-04; SL-S17-05; SL-S17-06; SL-S17-07; SL-S17-08; SL-S17-09; SL-S17-10</t>
        </is>
      </c>
      <c r="M188" s="3" t="inlineStr">
        <is>
          <t>R02; R05; R11; R22</t>
        </is>
      </c>
      <c r="N188" s="10" t="inlineStr">
        <is>
          <t>Não iniciado</t>
        </is>
      </c>
      <c r="O188" s="3" t="inlineStr">
        <is>
          <t>P0</t>
        </is>
      </c>
      <c r="P188" s="3" t="inlineStr">
        <is>
          <t>Crítico</t>
        </is>
      </c>
      <c r="Q188" s="3" t="inlineStr">
        <is>
          <t>Obrigatória para fechar a versão aprovada</t>
        </is>
      </c>
      <c r="R188" s="10" t="inlineStr">
        <is>
          <t>Autor</t>
        </is>
      </c>
      <c r="S188" s="10" t="inlineStr"/>
      <c r="T188" s="11" t="inlineStr"/>
      <c r="U188" s="3" t="inlineStr">
        <is>
          <t>reports/S17/acceptance.md</t>
        </is>
      </c>
      <c r="V188" s="10" t="inlineStr"/>
      <c r="W188" s="10" t="inlineStr"/>
      <c r="X188" s="3">
        <f>IF(N188="Concluído",IF(AND(S188&lt;&gt;"",ISNUMBER(T188),T188&gt;0,V188&lt;&gt;"",AND(OR(X178="OK",X178="DISPENSADO"),OR(X179="OK",X179="DISPENSADO"),OR(X180="OK",X180="DISPENSADO"),OR(X181="OK",X181="DISPENSADO"),OR(X182="OK",X182="DISPENSADO"),OR(X183="OK",X183="DISPENSADO"),OR(X184="OK",X184="DISPENSADO"),OR(X185="OK",X185="DISPENSADO"),OR(X186="OK",X186="DISPENSADO"),OR(X187="OK",X187="DISPENSADO"))),"OK","REVISAR"),IF(N188="Dispensado (ADR)",IF(AND(LEFT(Q188,11)="Condicional",W188&lt;&gt;"",S188&lt;&gt;"",ISNUMBER(T188),T188&gt;0,V188&lt;&gt;""),"DISPENSADO","REVISAR"),"PENDENTE"))</f>
        <v/>
      </c>
      <c r="Y188" s="10" t="inlineStr"/>
    </row>
    <row r="189" ht="112" customHeight="1">
      <c r="A189" s="3" t="n">
        <v>188</v>
      </c>
      <c r="B189" s="3" t="inlineStr">
        <is>
          <t>SL-S18-01</t>
        </is>
      </c>
      <c r="C189" s="9" t="inlineStr">
        <is>
          <t>v0.3.0</t>
        </is>
      </c>
      <c r="D189" s="9" t="inlineStr">
        <is>
          <t>S18</t>
        </is>
      </c>
      <c r="E189" s="3" t="inlineStr">
        <is>
          <t>PixiJS + BlockSuite</t>
        </is>
      </c>
      <c r="F189" s="3" t="inlineStr">
        <is>
          <t>Adaptação</t>
        </is>
      </c>
      <c r="G189" s="3" t="inlineStr">
        <is>
          <t>Contrato</t>
        </is>
      </c>
      <c r="H189" s="3" t="inlineStr">
        <is>
          <t>Definir política de edição ativa</t>
        </is>
      </c>
      <c r="I189" s="3" t="inlineStr">
        <is>
          <t>Fixar limite de editores, modo overlay/painel e interação com seleção de cartão.</t>
        </is>
      </c>
      <c r="J189" s="3" t="inlineStr">
        <is>
          <t>docs/contracts/board-editor.md</t>
        </is>
      </c>
      <c r="K189" s="3" t="inlineStr">
        <is>
          <t>Número de nós não implica o mesmo número de documentos DOM montados.</t>
        </is>
      </c>
      <c r="L189" s="3" t="inlineStr">
        <is>
          <t>SL-S14-GATE; SL-S17-GATE</t>
        </is>
      </c>
      <c r="M189" s="3" t="inlineStr">
        <is>
          <t>R04; R10; R11; R12; R31</t>
        </is>
      </c>
      <c r="N189" s="10" t="inlineStr">
        <is>
          <t>Não iniciado</t>
        </is>
      </c>
      <c r="O189" s="3" t="inlineStr">
        <is>
          <t>P0</t>
        </is>
      </c>
      <c r="P189" s="3" t="inlineStr">
        <is>
          <t>Alto</t>
        </is>
      </c>
      <c r="Q189" s="3" t="inlineStr">
        <is>
          <t>Obrigatória no escopo da versão</t>
        </is>
      </c>
      <c r="R189" s="10" t="inlineStr">
        <is>
          <t>Autor + agente de IA</t>
        </is>
      </c>
      <c r="S189" s="10" t="inlineStr"/>
      <c r="T189" s="11" t="inlineStr"/>
      <c r="U189" s="3" t="inlineStr">
        <is>
          <t>reports/S18/SL-S18-01.md</t>
        </is>
      </c>
      <c r="V189" s="10" t="inlineStr"/>
      <c r="W189" s="10" t="inlineStr"/>
      <c r="X189" s="3">
        <f>IF(N189="Concluído",IF(AND(S189&lt;&gt;"",ISNUMBER(T189),T189&gt;0,V189&lt;&gt;"",AND(OR(X155="OK",X155="DISPENSADO"),OR(X188="OK",X188="DISPENSADO"))),"OK","REVISAR"),IF(N189="Dispensado (ADR)",IF(AND(LEFT(Q189,11)="Condicional",W189&lt;&gt;"",S189&lt;&gt;"",ISNUMBER(T189),T189&gt;0,V189&lt;&gt;""),"DISPENSADO","REVISAR"),"PENDENTE"))</f>
        <v/>
      </c>
      <c r="Y189" s="10" t="inlineStr"/>
    </row>
    <row r="190" ht="112" customHeight="1">
      <c r="A190" s="3" t="n">
        <v>189</v>
      </c>
      <c r="B190" s="3" t="inlineStr">
        <is>
          <t>SL-S18-02</t>
        </is>
      </c>
      <c r="C190" s="9" t="inlineStr">
        <is>
          <t>v0.3.0</t>
        </is>
      </c>
      <c r="D190" s="9" t="inlineStr">
        <is>
          <t>S18</t>
        </is>
      </c>
      <c r="E190" s="3" t="inlineStr">
        <is>
          <t>PixiJS + BlockSuite</t>
        </is>
      </c>
      <c r="F190" s="3" t="inlineStr">
        <is>
          <t>Adaptação</t>
        </is>
      </c>
      <c r="G190" s="3" t="inlineStr">
        <is>
          <t>Implementação</t>
        </is>
      </c>
      <c r="H190" s="3" t="inlineStr">
        <is>
          <t>Posicionar overlay</t>
        </is>
      </c>
      <c r="I190" s="3" t="inlineStr">
        <is>
          <t>Traduzir coordenadas world→screen e aplicar clipping/dimensões apropriadas.</t>
        </is>
      </c>
      <c r="J190" s="3" t="inlineStr">
        <is>
          <t>apps/desktop/src/board/editor-overlay.ts</t>
        </is>
      </c>
      <c r="K190" s="3" t="inlineStr">
        <is>
          <t>Pan, zoom e resize de janela mantêm editor alinhado ao cartão selecionado.</t>
        </is>
      </c>
      <c r="L190" s="3" t="inlineStr">
        <is>
          <t>SL-S18-01</t>
        </is>
      </c>
      <c r="M190" s="3" t="inlineStr">
        <is>
          <t>R04; R10; R11; R12; R31</t>
        </is>
      </c>
      <c r="N190" s="10" t="inlineStr">
        <is>
          <t>Não iniciado</t>
        </is>
      </c>
      <c r="O190" s="3" t="inlineStr">
        <is>
          <t>P1</t>
        </is>
      </c>
      <c r="P190" s="3" t="inlineStr">
        <is>
          <t>Alto</t>
        </is>
      </c>
      <c r="Q190" s="3" t="inlineStr">
        <is>
          <t>Obrigatória no escopo da versão</t>
        </is>
      </c>
      <c r="R190" s="10" t="inlineStr">
        <is>
          <t>Autor + agente de IA</t>
        </is>
      </c>
      <c r="S190" s="10" t="inlineStr"/>
      <c r="T190" s="11" t="inlineStr"/>
      <c r="U190" s="3" t="inlineStr">
        <is>
          <t>reports/S18/SL-S18-02.md</t>
        </is>
      </c>
      <c r="V190" s="10" t="inlineStr"/>
      <c r="W190" s="10" t="inlineStr"/>
      <c r="X190" s="3">
        <f>IF(N190="Concluído",IF(AND(S190&lt;&gt;"",ISNUMBER(T190),T190&gt;0,V190&lt;&gt;"",AND(OR(X189="OK",X189="DISPENSADO"))),"OK","REVISAR"),IF(N190="Dispensado (ADR)",IF(AND(LEFT(Q190,11)="Condicional",W190&lt;&gt;"",S190&lt;&gt;"",ISNUMBER(T190),T190&gt;0,V190&lt;&gt;""),"DISPENSADO","REVISAR"),"PENDENTE"))</f>
        <v/>
      </c>
      <c r="Y190" s="10" t="inlineStr"/>
    </row>
    <row r="191" ht="112" customHeight="1">
      <c r="A191" s="3" t="n">
        <v>190</v>
      </c>
      <c r="B191" s="3" t="inlineStr">
        <is>
          <t>SL-S18-03</t>
        </is>
      </c>
      <c r="C191" s="9" t="inlineStr">
        <is>
          <t>v0.3.0</t>
        </is>
      </c>
      <c r="D191" s="9" t="inlineStr">
        <is>
          <t>S18</t>
        </is>
      </c>
      <c r="E191" s="3" t="inlineStr">
        <is>
          <t>PixiJS + BlockSuite</t>
        </is>
      </c>
      <c r="F191" s="3" t="inlineStr">
        <is>
          <t>Adaptação</t>
        </is>
      </c>
      <c r="G191" s="3" t="inlineStr">
        <is>
          <t>Implementação</t>
        </is>
      </c>
      <c r="H191" s="3" t="inlineStr">
        <is>
          <t>Gerenciar foco</t>
        </is>
      </c>
      <c r="I191" s="3" t="inlineStr">
        <is>
          <t>Transferir foco entre canvas e editor sem conflitos de comandos.</t>
        </is>
      </c>
      <c r="J191" s="3" t="inlineStr">
        <is>
          <t>apps/desktop/src/board/focus-controller.ts</t>
        </is>
      </c>
      <c r="K191" s="3" t="inlineStr">
        <is>
          <t>Escape encerra edição conforme regra e não descarta alterações não salvas.</t>
        </is>
      </c>
      <c r="L191" s="3" t="inlineStr">
        <is>
          <t>SL-S18-02</t>
        </is>
      </c>
      <c r="M191" s="3" t="inlineStr">
        <is>
          <t>R04; R10; R11; R12; R31</t>
        </is>
      </c>
      <c r="N191" s="10" t="inlineStr">
        <is>
          <t>Não iniciado</t>
        </is>
      </c>
      <c r="O191" s="3" t="inlineStr">
        <is>
          <t>P1</t>
        </is>
      </c>
      <c r="P191" s="3" t="inlineStr">
        <is>
          <t>Alto</t>
        </is>
      </c>
      <c r="Q191" s="3" t="inlineStr">
        <is>
          <t>Obrigatória no escopo da versão</t>
        </is>
      </c>
      <c r="R191" s="10" t="inlineStr">
        <is>
          <t>Autor + agente de IA</t>
        </is>
      </c>
      <c r="S191" s="10" t="inlineStr"/>
      <c r="T191" s="11" t="inlineStr"/>
      <c r="U191" s="3" t="inlineStr">
        <is>
          <t>reports/S18/SL-S18-03.md</t>
        </is>
      </c>
      <c r="V191" s="10" t="inlineStr"/>
      <c r="W191" s="10" t="inlineStr"/>
      <c r="X191" s="3">
        <f>IF(N191="Concluído",IF(AND(S191&lt;&gt;"",ISNUMBER(T191),T191&gt;0,V191&lt;&gt;"",AND(OR(X190="OK",X190="DISPENSADO"))),"OK","REVISAR"),IF(N191="Dispensado (ADR)",IF(AND(LEFT(Q191,11)="Condicional",W191&lt;&gt;"",S191&lt;&gt;"",ISNUMBER(T191),T191&gt;0,V191&lt;&gt;""),"DISPENSADO","REVISAR"),"PENDENTE"))</f>
        <v/>
      </c>
      <c r="Y191" s="10" t="inlineStr"/>
    </row>
    <row r="192" ht="112" customHeight="1">
      <c r="A192" s="3" t="n">
        <v>191</v>
      </c>
      <c r="B192" s="3" t="inlineStr">
        <is>
          <t>SL-S18-04</t>
        </is>
      </c>
      <c r="C192" s="9" t="inlineStr">
        <is>
          <t>v0.3.0</t>
        </is>
      </c>
      <c r="D192" s="9" t="inlineStr">
        <is>
          <t>S18</t>
        </is>
      </c>
      <c r="E192" s="3" t="inlineStr">
        <is>
          <t>PixiJS + BlockSuite</t>
        </is>
      </c>
      <c r="F192" s="3" t="inlineStr">
        <is>
          <t>Adaptação</t>
        </is>
      </c>
      <c r="G192" s="3" t="inlineStr">
        <is>
          <t>Implementação</t>
        </is>
      </c>
      <c r="H192" s="3" t="inlineStr">
        <is>
          <t>Integrar caret/seleção</t>
        </is>
      </c>
      <c r="I192" s="3" t="inlineStr">
        <is>
          <t>Manter seleção textual durante atualização de preview e mudanças de layout.</t>
        </is>
      </c>
      <c r="J192" s="3" t="inlineStr">
        <is>
          <t>apps/desktop/src/board/text-selection.ts</t>
        </is>
      </c>
      <c r="K192" s="3" t="inlineStr">
        <is>
          <t>Rerender do board não reposiciona caret a cada tecla.</t>
        </is>
      </c>
      <c r="L192" s="3" t="inlineStr">
        <is>
          <t>SL-S18-03</t>
        </is>
      </c>
      <c r="M192" s="3" t="inlineStr">
        <is>
          <t>R04; R10; R11; R12; R31</t>
        </is>
      </c>
      <c r="N192" s="10" t="inlineStr">
        <is>
          <t>Não iniciado</t>
        </is>
      </c>
      <c r="O192" s="3" t="inlineStr">
        <is>
          <t>P1</t>
        </is>
      </c>
      <c r="P192" s="3" t="inlineStr">
        <is>
          <t>Alto</t>
        </is>
      </c>
      <c r="Q192" s="3" t="inlineStr">
        <is>
          <t>Obrigatória no escopo da versão</t>
        </is>
      </c>
      <c r="R192" s="10" t="inlineStr">
        <is>
          <t>Autor + agente de IA</t>
        </is>
      </c>
      <c r="S192" s="10" t="inlineStr"/>
      <c r="T192" s="11" t="inlineStr"/>
      <c r="U192" s="3" t="inlineStr">
        <is>
          <t>reports/S18/SL-S18-04.md</t>
        </is>
      </c>
      <c r="V192" s="10" t="inlineStr"/>
      <c r="W192" s="10" t="inlineStr"/>
      <c r="X192" s="3">
        <f>IF(N192="Concluído",IF(AND(S192&lt;&gt;"",ISNUMBER(T192),T192&gt;0,V192&lt;&gt;"",AND(OR(X191="OK",X191="DISPENSADO"))),"OK","REVISAR"),IF(N192="Dispensado (ADR)",IF(AND(LEFT(Q192,11)="Condicional",W192&lt;&gt;"",S192&lt;&gt;"",ISNUMBER(T192),T192&gt;0,V192&lt;&gt;""),"DISPENSADO","REVISAR"),"PENDENTE"))</f>
        <v/>
      </c>
      <c r="Y192" s="10" t="inlineStr"/>
    </row>
    <row r="193" ht="112" customHeight="1">
      <c r="A193" s="3" t="n">
        <v>192</v>
      </c>
      <c r="B193" s="3" t="inlineStr">
        <is>
          <t>SL-S18-05</t>
        </is>
      </c>
      <c r="C193" s="9" t="inlineStr">
        <is>
          <t>v0.3.0</t>
        </is>
      </c>
      <c r="D193" s="9" t="inlineStr">
        <is>
          <t>S18</t>
        </is>
      </c>
      <c r="E193" s="3" t="inlineStr">
        <is>
          <t>PixiJS + BlockSuite</t>
        </is>
      </c>
      <c r="F193" s="3" t="inlineStr">
        <is>
          <t>Adaptação</t>
        </is>
      </c>
      <c r="G193" s="3" t="inlineStr">
        <is>
          <t>Implementação</t>
        </is>
      </c>
      <c r="H193" s="3" t="inlineStr">
        <is>
          <t>Tratar IME no overlay</t>
        </is>
      </c>
      <c r="I193" s="3" t="inlineStr">
        <is>
          <t>Coordenar composição com autosave e término da edição.</t>
        </is>
      </c>
      <c r="J193" s="3" t="inlineStr">
        <is>
          <t>apps/desktop/src/board/ime.ts</t>
        </is>
      </c>
      <c r="K193" s="3" t="inlineStr">
        <is>
          <t>Acentos e composição não confirmada não são cortados por drag ou blur.</t>
        </is>
      </c>
      <c r="L193" s="3" t="inlineStr">
        <is>
          <t>SL-S18-04</t>
        </is>
      </c>
      <c r="M193" s="3" t="inlineStr">
        <is>
          <t>R04; R10; R11; R12; R31</t>
        </is>
      </c>
      <c r="N193" s="10" t="inlineStr">
        <is>
          <t>Não iniciado</t>
        </is>
      </c>
      <c r="O193" s="3" t="inlineStr">
        <is>
          <t>P1</t>
        </is>
      </c>
      <c r="P193" s="3" t="inlineStr">
        <is>
          <t>Alto</t>
        </is>
      </c>
      <c r="Q193" s="3" t="inlineStr">
        <is>
          <t>Obrigatória no escopo da versão</t>
        </is>
      </c>
      <c r="R193" s="10" t="inlineStr">
        <is>
          <t>Autor + agente de IA</t>
        </is>
      </c>
      <c r="S193" s="10" t="inlineStr"/>
      <c r="T193" s="11" t="inlineStr"/>
      <c r="U193" s="3" t="inlineStr">
        <is>
          <t>reports/S18/SL-S18-05.md</t>
        </is>
      </c>
      <c r="V193" s="10" t="inlineStr"/>
      <c r="W193" s="10" t="inlineStr"/>
      <c r="X193" s="3">
        <f>IF(N193="Concluído",IF(AND(S193&lt;&gt;"",ISNUMBER(T193),T193&gt;0,V193&lt;&gt;"",AND(OR(X192="OK",X192="DISPENSADO"))),"OK","REVISAR"),IF(N193="Dispensado (ADR)",IF(AND(LEFT(Q193,11)="Condicional",W193&lt;&gt;"",S193&lt;&gt;"",ISNUMBER(T193),T193&gt;0,V193&lt;&gt;""),"DISPENSADO","REVISAR"),"PENDENTE"))</f>
        <v/>
      </c>
      <c r="Y193" s="10" t="inlineStr"/>
    </row>
    <row r="194" ht="112" customHeight="1">
      <c r="A194" s="3" t="n">
        <v>193</v>
      </c>
      <c r="B194" s="3" t="inlineStr">
        <is>
          <t>SL-S18-06</t>
        </is>
      </c>
      <c r="C194" s="9" t="inlineStr">
        <is>
          <t>v0.3.0</t>
        </is>
      </c>
      <c r="D194" s="9" t="inlineStr">
        <is>
          <t>S18</t>
        </is>
      </c>
      <c r="E194" s="3" t="inlineStr">
        <is>
          <t>PixiJS + BlockSuite</t>
        </is>
      </c>
      <c r="F194" s="3" t="inlineStr">
        <is>
          <t>Adaptação</t>
        </is>
      </c>
      <c r="G194" s="3" t="inlineStr">
        <is>
          <t>Implementação</t>
        </is>
      </c>
      <c r="H194" s="3" t="inlineStr">
        <is>
          <t>Atualizar preview por revisão</t>
        </is>
      </c>
      <c r="I194" s="3" t="inlineStr">
        <is>
          <t>Renderizar snapshot do conteúdo após mudança sem reabrir todos os editores.</t>
        </is>
      </c>
      <c r="J194" s="3" t="inlineStr">
        <is>
          <t>apps/desktop/src/board/preview-cache.ts</t>
        </is>
      </c>
      <c r="K194" s="3" t="inlineStr">
        <is>
          <t>Mover cartão não invalida cache textual; editar texto invalida o preview correto.</t>
        </is>
      </c>
      <c r="L194" s="3" t="inlineStr">
        <is>
          <t>SL-S18-05</t>
        </is>
      </c>
      <c r="M194" s="3" t="inlineStr">
        <is>
          <t>R04; R10; R11; R12; R31</t>
        </is>
      </c>
      <c r="N194" s="10" t="inlineStr">
        <is>
          <t>Não iniciado</t>
        </is>
      </c>
      <c r="O194" s="3" t="inlineStr">
        <is>
          <t>P1</t>
        </is>
      </c>
      <c r="P194" s="3" t="inlineStr">
        <is>
          <t>Alto</t>
        </is>
      </c>
      <c r="Q194" s="3" t="inlineStr">
        <is>
          <t>Obrigatória no escopo da versão</t>
        </is>
      </c>
      <c r="R194" s="10" t="inlineStr">
        <is>
          <t>Autor + agente de IA</t>
        </is>
      </c>
      <c r="S194" s="10" t="inlineStr"/>
      <c r="T194" s="11" t="inlineStr"/>
      <c r="U194" s="3" t="inlineStr">
        <is>
          <t>reports/S18/SL-S18-06.md</t>
        </is>
      </c>
      <c r="V194" s="10" t="inlineStr"/>
      <c r="W194" s="10" t="inlineStr"/>
      <c r="X194" s="3">
        <f>IF(N194="Concluído",IF(AND(S194&lt;&gt;"",ISNUMBER(T194),T194&gt;0,V194&lt;&gt;"",AND(OR(X193="OK",X193="DISPENSADO"))),"OK","REVISAR"),IF(N194="Dispensado (ADR)",IF(AND(LEFT(Q194,11)="Condicional",W194&lt;&gt;"",S194&lt;&gt;"",ISNUMBER(T194),T194&gt;0,V194&lt;&gt;""),"DISPENSADO","REVISAR"),"PENDENTE"))</f>
        <v/>
      </c>
      <c r="Y194" s="10" t="inlineStr"/>
    </row>
    <row r="195" ht="112" customHeight="1">
      <c r="A195" s="3" t="n">
        <v>194</v>
      </c>
      <c r="B195" s="3" t="inlineStr">
        <is>
          <t>SL-S18-07</t>
        </is>
      </c>
      <c r="C195" s="9" t="inlineStr">
        <is>
          <t>v0.3.0</t>
        </is>
      </c>
      <c r="D195" s="9" t="inlineStr">
        <is>
          <t>S18</t>
        </is>
      </c>
      <c r="E195" s="3" t="inlineStr">
        <is>
          <t>PixiJS + BlockSuite</t>
        </is>
      </c>
      <c r="F195" s="3" t="inlineStr">
        <is>
          <t>Adaptação</t>
        </is>
      </c>
      <c r="G195" s="3" t="inlineStr">
        <is>
          <t>Implementação</t>
        </is>
      </c>
      <c r="H195" s="3" t="inlineStr">
        <is>
          <t>Limitar montagem por visibilidade</t>
        </is>
      </c>
      <c r="I195" s="3" t="inlineStr">
        <is>
          <t>Destruir instâncias passivas e preservar somente estado necessário.</t>
        </is>
      </c>
      <c r="J195" s="3" t="inlineStr">
        <is>
          <t>apps/desktop/src/board/editor-pool.ts</t>
        </is>
      </c>
      <c r="K195" s="3" t="inlineStr">
        <is>
          <t>Sessões repetidas não acumulam editores/observers ocultos.</t>
        </is>
      </c>
      <c r="L195" s="3" t="inlineStr">
        <is>
          <t>SL-S18-06</t>
        </is>
      </c>
      <c r="M195" s="3" t="inlineStr">
        <is>
          <t>R04; R10; R11; R12; R31</t>
        </is>
      </c>
      <c r="N195" s="10" t="inlineStr">
        <is>
          <t>Não iniciado</t>
        </is>
      </c>
      <c r="O195" s="3" t="inlineStr">
        <is>
          <t>P1</t>
        </is>
      </c>
      <c r="P195" s="3" t="inlineStr">
        <is>
          <t>Alto</t>
        </is>
      </c>
      <c r="Q195" s="3" t="inlineStr">
        <is>
          <t>Obrigatória no escopo da versão</t>
        </is>
      </c>
      <c r="R195" s="10" t="inlineStr">
        <is>
          <t>Autor + agente de IA</t>
        </is>
      </c>
      <c r="S195" s="10" t="inlineStr"/>
      <c r="T195" s="11" t="inlineStr"/>
      <c r="U195" s="3" t="inlineStr">
        <is>
          <t>reports/S18/SL-S18-07.md</t>
        </is>
      </c>
      <c r="V195" s="10" t="inlineStr"/>
      <c r="W195" s="10" t="inlineStr"/>
      <c r="X195" s="3">
        <f>IF(N195="Concluído",IF(AND(S195&lt;&gt;"",ISNUMBER(T195),T195&gt;0,V195&lt;&gt;"",AND(OR(X194="OK",X194="DISPENSADO"))),"OK","REVISAR"),IF(N195="Dispensado (ADR)",IF(AND(LEFT(Q195,11)="Condicional",W195&lt;&gt;"",S195&lt;&gt;"",ISNUMBER(T195),T195&gt;0,V195&lt;&gt;""),"DISPENSADO","REVISAR"),"PENDENTE"))</f>
        <v/>
      </c>
      <c r="Y195" s="10" t="inlineStr"/>
    </row>
    <row r="196" ht="112" customHeight="1">
      <c r="A196" s="3" t="n">
        <v>195</v>
      </c>
      <c r="B196" s="3" t="inlineStr">
        <is>
          <t>SL-S18-08</t>
        </is>
      </c>
      <c r="C196" s="9" t="inlineStr">
        <is>
          <t>v0.3.0</t>
        </is>
      </c>
      <c r="D196" s="9" t="inlineStr">
        <is>
          <t>S18</t>
        </is>
      </c>
      <c r="E196" s="3" t="inlineStr">
        <is>
          <t>PixiJS + BlockSuite</t>
        </is>
      </c>
      <c r="F196" s="3" t="inlineStr">
        <is>
          <t>Adaptação</t>
        </is>
      </c>
      <c r="G196" s="3" t="inlineStr">
        <is>
          <t>Implementação</t>
        </is>
      </c>
      <c r="H196" s="3" t="inlineStr">
        <is>
          <t>Criar modo de acessibilidade</t>
        </is>
      </c>
      <c r="I196" s="3" t="inlineStr">
        <is>
          <t>Oferecer navegação em lista/estrutura correspondente à mesa.</t>
        </is>
      </c>
      <c r="J196" s="3" t="inlineStr">
        <is>
          <t>apps/desktop/src/board/accessible-view.ts</t>
        </is>
      </c>
      <c r="K196" s="3" t="inlineStr">
        <is>
          <t>Conteúdo e relações essenciais são acessíveis sem depender exclusivamente do WebGL.</t>
        </is>
      </c>
      <c r="L196" s="3" t="inlineStr">
        <is>
          <t>SL-S18-07</t>
        </is>
      </c>
      <c r="M196" s="3" t="inlineStr">
        <is>
          <t>R04; R10; R11; R12; R31</t>
        </is>
      </c>
      <c r="N196" s="10" t="inlineStr">
        <is>
          <t>Não iniciado</t>
        </is>
      </c>
      <c r="O196" s="3" t="inlineStr">
        <is>
          <t>P1</t>
        </is>
      </c>
      <c r="P196" s="3" t="inlineStr">
        <is>
          <t>Alto</t>
        </is>
      </c>
      <c r="Q196" s="3" t="inlineStr">
        <is>
          <t>Obrigatória no escopo da versão</t>
        </is>
      </c>
      <c r="R196" s="10" t="inlineStr">
        <is>
          <t>Autor + agente de IA</t>
        </is>
      </c>
      <c r="S196" s="10" t="inlineStr"/>
      <c r="T196" s="11" t="inlineStr"/>
      <c r="U196" s="3" t="inlineStr">
        <is>
          <t>reports/S18/SL-S18-08.md</t>
        </is>
      </c>
      <c r="V196" s="10" t="inlineStr"/>
      <c r="W196" s="10" t="inlineStr"/>
      <c r="X196" s="3">
        <f>IF(N196="Concluído",IF(AND(S196&lt;&gt;"",ISNUMBER(T196),T196&gt;0,V196&lt;&gt;"",AND(OR(X195="OK",X195="DISPENSADO"))),"OK","REVISAR"),IF(N196="Dispensado (ADR)",IF(AND(LEFT(Q196,11)="Condicional",W196&lt;&gt;"",S196&lt;&gt;"",ISNUMBER(T196),T196&gt;0,V196&lt;&gt;""),"DISPENSADO","REVISAR"),"PENDENTE"))</f>
        <v/>
      </c>
      <c r="Y196" s="10" t="inlineStr"/>
    </row>
    <row r="197" ht="112" customHeight="1">
      <c r="A197" s="3" t="n">
        <v>196</v>
      </c>
      <c r="B197" s="3" t="inlineStr">
        <is>
          <t>SL-S18-09</t>
        </is>
      </c>
      <c r="C197" s="9" t="inlineStr">
        <is>
          <t>v0.3.0</t>
        </is>
      </c>
      <c r="D197" s="9" t="inlineStr">
        <is>
          <t>S18</t>
        </is>
      </c>
      <c r="E197" s="3" t="inlineStr">
        <is>
          <t>PixiJS + BlockSuite</t>
        </is>
      </c>
      <c r="F197" s="3" t="inlineStr">
        <is>
          <t>Adaptação</t>
        </is>
      </c>
      <c r="G197" s="3" t="inlineStr">
        <is>
          <t>Teste</t>
        </is>
      </c>
      <c r="H197" s="3" t="inlineStr">
        <is>
          <t>Executar matriz de input visual</t>
        </is>
      </c>
      <c r="I197" s="3" t="inlineStr">
        <is>
          <t>Testar zoom, DPI, janelas e seleção atravessando mudanças de viewport.</t>
        </is>
      </c>
      <c r="J197" s="3" t="inlineStr">
        <is>
          <t>tests/board/editor-overlay/</t>
        </is>
      </c>
      <c r="K197" s="3" t="inlineStr">
        <is>
          <t>Nenhuma perda de texto/seleção crítica nos cenários homologados.</t>
        </is>
      </c>
      <c r="L197" s="3" t="inlineStr">
        <is>
          <t>SL-S18-08</t>
        </is>
      </c>
      <c r="M197" s="3" t="inlineStr">
        <is>
          <t>R04; R10; R11; R12; R31</t>
        </is>
      </c>
      <c r="N197" s="10" t="inlineStr">
        <is>
          <t>Não iniciado</t>
        </is>
      </c>
      <c r="O197" s="3" t="inlineStr">
        <is>
          <t>P1</t>
        </is>
      </c>
      <c r="P197" s="3" t="inlineStr">
        <is>
          <t>Alto</t>
        </is>
      </c>
      <c r="Q197" s="3" t="inlineStr">
        <is>
          <t>Obrigatória no escopo da versão</t>
        </is>
      </c>
      <c r="R197" s="10" t="inlineStr">
        <is>
          <t>Autor + agente de IA</t>
        </is>
      </c>
      <c r="S197" s="10" t="inlineStr"/>
      <c r="T197" s="11" t="inlineStr"/>
      <c r="U197" s="3" t="inlineStr">
        <is>
          <t>reports/S18/SL-S18-09.md</t>
        </is>
      </c>
      <c r="V197" s="10" t="inlineStr"/>
      <c r="W197" s="10" t="inlineStr"/>
      <c r="X197" s="3">
        <f>IF(N197="Concluído",IF(AND(S197&lt;&gt;"",ISNUMBER(T197),T197&gt;0,V197&lt;&gt;"",AND(OR(X196="OK",X196="DISPENSADO"))),"OK","REVISAR"),IF(N197="Dispensado (ADR)",IF(AND(LEFT(Q197,11)="Condicional",W197&lt;&gt;"",S197&lt;&gt;"",ISNUMBER(T197),T197&gt;0,V197&lt;&gt;""),"DISPENSADO","REVISAR"),"PENDENTE"))</f>
        <v/>
      </c>
      <c r="Y197" s="10" t="inlineStr"/>
    </row>
    <row r="198" ht="112" customHeight="1">
      <c r="A198" s="3" t="n">
        <v>197</v>
      </c>
      <c r="B198" s="3" t="inlineStr">
        <is>
          <t>SL-S18-10</t>
        </is>
      </c>
      <c r="C198" s="9" t="inlineStr">
        <is>
          <t>v0.3.0</t>
        </is>
      </c>
      <c r="D198" s="9" t="inlineStr">
        <is>
          <t>S18</t>
        </is>
      </c>
      <c r="E198" s="3" t="inlineStr">
        <is>
          <t>PixiJS + BlockSuite</t>
        </is>
      </c>
      <c r="F198" s="3" t="inlineStr">
        <is>
          <t>Adaptação</t>
        </is>
      </c>
      <c r="G198" s="3" t="inlineStr">
        <is>
          <t>Teste</t>
        </is>
      </c>
      <c r="H198" s="3" t="inlineStr">
        <is>
          <t>Medir limite ativo</t>
        </is>
      </c>
      <c r="I198" s="3" t="inlineStr">
        <is>
          <t>Abrir grande board, alternar edição e contar instâncias/memória.</t>
        </is>
      </c>
      <c r="J198" s="3" t="inlineStr">
        <is>
          <t>reports/board/editor-pool.json</t>
        </is>
      </c>
      <c r="K198" s="3" t="inlineStr">
        <is>
          <t>Limite aprovado é respeitado e consumo não cresce linearmente por editores inativos.</t>
        </is>
      </c>
      <c r="L198" s="3" t="inlineStr">
        <is>
          <t>SL-S18-09</t>
        </is>
      </c>
      <c r="M198" s="3" t="inlineStr">
        <is>
          <t>R04; R10; R11; R12; R31</t>
        </is>
      </c>
      <c r="N198" s="10" t="inlineStr">
        <is>
          <t>Não iniciado</t>
        </is>
      </c>
      <c r="O198" s="3" t="inlineStr">
        <is>
          <t>P1</t>
        </is>
      </c>
      <c r="P198" s="3" t="inlineStr">
        <is>
          <t>Alto</t>
        </is>
      </c>
      <c r="Q198" s="3" t="inlineStr">
        <is>
          <t>Obrigatória no escopo da versão</t>
        </is>
      </c>
      <c r="R198" s="10" t="inlineStr">
        <is>
          <t>Autor + agente de IA</t>
        </is>
      </c>
      <c r="S198" s="10" t="inlineStr"/>
      <c r="T198" s="11" t="inlineStr"/>
      <c r="U198" s="3" t="inlineStr">
        <is>
          <t>reports/S18/SL-S18-10.md</t>
        </is>
      </c>
      <c r="V198" s="10" t="inlineStr"/>
      <c r="W198" s="10" t="inlineStr"/>
      <c r="X198" s="3">
        <f>IF(N198="Concluído",IF(AND(S198&lt;&gt;"",ISNUMBER(T198),T198&gt;0,V198&lt;&gt;"",AND(OR(X197="OK",X197="DISPENSADO"))),"OK","REVISAR"),IF(N198="Dispensado (ADR)",IF(AND(LEFT(Q198,11)="Condicional",W198&lt;&gt;"",S198&lt;&gt;"",ISNUMBER(T198),T198&gt;0,V198&lt;&gt;""),"DISPENSADO","REVISAR"),"PENDENTE"))</f>
        <v/>
      </c>
      <c r="Y198" s="10" t="inlineStr"/>
    </row>
    <row r="199" ht="98" customHeight="1">
      <c r="A199" s="3" t="n">
        <v>198</v>
      </c>
      <c r="B199" s="12" t="inlineStr">
        <is>
          <t>SL-S18-GATE</t>
        </is>
      </c>
      <c r="C199" s="9" t="inlineStr">
        <is>
          <t>v0.3.0</t>
        </is>
      </c>
      <c r="D199" s="9" t="inlineStr">
        <is>
          <t>S18</t>
        </is>
      </c>
      <c r="E199" s="3" t="inlineStr">
        <is>
          <t>PixiJS + BlockSuite</t>
        </is>
      </c>
      <c r="F199" s="3" t="inlineStr">
        <is>
          <t>Aceite humano</t>
        </is>
      </c>
      <c r="G199" s="12" t="inlineStr">
        <is>
          <t>Gate</t>
        </is>
      </c>
      <c r="H199" s="12" t="inlineStr">
        <is>
          <t>Aceitar S18 — Integrar overlay BlockSuite à Mesa</t>
        </is>
      </c>
      <c r="I199" s="3" t="inlineStr">
        <is>
          <t>Revisar as dez tarefas, executar a demonstração do sprint, confrontar critérios e registrar decisão go/no-go.</t>
        </is>
      </c>
      <c r="J199" s="3" t="inlineStr">
        <is>
          <t>reports/S18/acceptance.md</t>
        </is>
      </c>
      <c r="K199" s="3" t="inlineStr">
        <is>
          <t>Editar uma célula em diferentes zooms e voltar à cena sem perder caret ou conteúdo. Todas as dependências aceitas; evidências vinculadas a revisão/ambiente; nenhum blocker de integridade/segurança.</t>
        </is>
      </c>
      <c r="L199" s="3" t="inlineStr">
        <is>
          <t>SL-S18-01; SL-S18-02; SL-S18-03; SL-S18-04; SL-S18-05; SL-S18-06; SL-S18-07; SL-S18-08; SL-S18-09; SL-S18-10</t>
        </is>
      </c>
      <c r="M199" s="3" t="inlineStr">
        <is>
          <t>R04; R10; R11; R12; R31</t>
        </is>
      </c>
      <c r="N199" s="10" t="inlineStr">
        <is>
          <t>Não iniciado</t>
        </is>
      </c>
      <c r="O199" s="3" t="inlineStr">
        <is>
          <t>P0</t>
        </is>
      </c>
      <c r="P199" s="3" t="inlineStr">
        <is>
          <t>Alto</t>
        </is>
      </c>
      <c r="Q199" s="3" t="inlineStr">
        <is>
          <t>Obrigatória para fechar a versão aprovada</t>
        </is>
      </c>
      <c r="R199" s="10" t="inlineStr">
        <is>
          <t>Autor</t>
        </is>
      </c>
      <c r="S199" s="10" t="inlineStr"/>
      <c r="T199" s="11" t="inlineStr"/>
      <c r="U199" s="3" t="inlineStr">
        <is>
          <t>reports/S18/acceptance.md</t>
        </is>
      </c>
      <c r="V199" s="10" t="inlineStr"/>
      <c r="W199" s="10" t="inlineStr"/>
      <c r="X199" s="3">
        <f>IF(N199="Concluído",IF(AND(S199&lt;&gt;"",ISNUMBER(T199),T199&gt;0,V199&lt;&gt;"",AND(OR(X189="OK",X189="DISPENSADO"),OR(X190="OK",X190="DISPENSADO"),OR(X191="OK",X191="DISPENSADO"),OR(X192="OK",X192="DISPENSADO"),OR(X193="OK",X193="DISPENSADO"),OR(X194="OK",X194="DISPENSADO"),OR(X195="OK",X195="DISPENSADO"),OR(X196="OK",X196="DISPENSADO"),OR(X197="OK",X197="DISPENSADO"),OR(X198="OK",X198="DISPENSADO"))),"OK","REVISAR"),IF(N199="Dispensado (ADR)",IF(AND(LEFT(Q199,11)="Condicional",W199&lt;&gt;"",S199&lt;&gt;"",ISNUMBER(T199),T199&gt;0,V199&lt;&gt;""),"DISPENSADO","REVISAR"),"PENDENTE"))</f>
        <v/>
      </c>
      <c r="Y199" s="10" t="inlineStr"/>
    </row>
    <row r="200" ht="112" customHeight="1">
      <c r="A200" s="3" t="n">
        <v>199</v>
      </c>
      <c r="B200" s="3" t="inlineStr">
        <is>
          <t>SL-S19-01</t>
        </is>
      </c>
      <c r="C200" s="9" t="inlineStr">
        <is>
          <t>v0.3.0</t>
        </is>
      </c>
      <c r="D200" s="9" t="inlineStr">
        <is>
          <t>S19</t>
        </is>
      </c>
      <c r="E200" s="3" t="inlineStr">
        <is>
          <t>Whiteboard / performance</t>
        </is>
      </c>
      <c r="F200" s="3" t="inlineStr">
        <is>
          <t>Próprio</t>
        </is>
      </c>
      <c r="G200" s="3" t="inlineStr">
        <is>
          <t>Implementação</t>
        </is>
      </c>
      <c r="H200" s="3" t="inlineStr">
        <is>
          <t>Criar galeria de workspaces</t>
        </is>
      </c>
      <c r="I200" s="3" t="inlineStr">
        <is>
          <t>Abrir, criar, renomear e arquivar pílulas por identidade.</t>
        </is>
      </c>
      <c r="J200" s="3" t="inlineStr">
        <is>
          <t>apps/desktop/src/workspaces/</t>
        </is>
      </c>
      <c r="K200" s="3" t="inlineStr">
        <is>
          <t>Trocar workspace salva/expõe pendências e não mistura seleção/conteúdo entre boards.</t>
        </is>
      </c>
      <c r="L200" s="3" t="inlineStr">
        <is>
          <t>SL-S16-GATE; SL-S17-GATE; SL-S18-GATE</t>
        </is>
      </c>
      <c r="M200" s="3" t="inlineStr">
        <is>
          <t>R01; R09; R11; R12; R31</t>
        </is>
      </c>
      <c r="N200" s="10" t="inlineStr">
        <is>
          <t>Não iniciado</t>
        </is>
      </c>
      <c r="O200" s="3" t="inlineStr">
        <is>
          <t>P1</t>
        </is>
      </c>
      <c r="P200" s="3" t="inlineStr">
        <is>
          <t>Alto</t>
        </is>
      </c>
      <c r="Q200" s="3" t="inlineStr">
        <is>
          <t>Obrigatória no escopo da versão</t>
        </is>
      </c>
      <c r="R200" s="10" t="inlineStr">
        <is>
          <t>Autor + agente de IA</t>
        </is>
      </c>
      <c r="S200" s="10" t="inlineStr"/>
      <c r="T200" s="11" t="inlineStr"/>
      <c r="U200" s="3" t="inlineStr">
        <is>
          <t>reports/S19/SL-S19-01.md</t>
        </is>
      </c>
      <c r="V200" s="10" t="inlineStr"/>
      <c r="W200" s="10" t="inlineStr"/>
      <c r="X200" s="3">
        <f>IF(N200="Concluído",IF(AND(S200&lt;&gt;"",ISNUMBER(T200),T200&gt;0,V200&lt;&gt;"",AND(OR(X177="OK",X177="DISPENSADO"),OR(X188="OK",X188="DISPENSADO"),OR(X199="OK",X199="DISPENSADO"))),"OK","REVISAR"),IF(N200="Dispensado (ADR)",IF(AND(LEFT(Q200,11)="Condicional",W200&lt;&gt;"",S200&lt;&gt;"",ISNUMBER(T200),T200&gt;0,V200&lt;&gt;""),"DISPENSADO","REVISAR"),"PENDENTE"))</f>
        <v/>
      </c>
      <c r="Y200" s="10" t="inlineStr"/>
    </row>
    <row r="201" ht="112" customHeight="1">
      <c r="A201" s="3" t="n">
        <v>200</v>
      </c>
      <c r="B201" s="3" t="inlineStr">
        <is>
          <t>SL-S19-02</t>
        </is>
      </c>
      <c r="C201" s="9" t="inlineStr">
        <is>
          <t>v0.3.0</t>
        </is>
      </c>
      <c r="D201" s="9" t="inlineStr">
        <is>
          <t>S19</t>
        </is>
      </c>
      <c r="E201" s="3" t="inlineStr">
        <is>
          <t>Whiteboard / performance</t>
        </is>
      </c>
      <c r="F201" s="3" t="inlineStr">
        <is>
          <t>Próprio</t>
        </is>
      </c>
      <c r="G201" s="3" t="inlineStr">
        <is>
          <t>Implementação</t>
        </is>
      </c>
      <c r="H201" s="3" t="inlineStr">
        <is>
          <t>Implementar culling</t>
        </is>
      </c>
      <c r="I201" s="3" t="inlineStr">
        <is>
          <t>Excluir da renderização elementos fora da câmera preservando dados do domínio.</t>
        </is>
      </c>
      <c r="J201" s="3" t="inlineStr">
        <is>
          <t>apps/desktop/src/board/culling.ts</t>
        </is>
      </c>
      <c r="K201" s="3" t="inlineStr">
        <is>
          <t>Nó invisível continua persistido e retorna corretamente ao viewport.</t>
        </is>
      </c>
      <c r="L201" s="3" t="inlineStr">
        <is>
          <t>SL-S19-01</t>
        </is>
      </c>
      <c r="M201" s="3" t="inlineStr">
        <is>
          <t>R01; R09; R11; R12; R31</t>
        </is>
      </c>
      <c r="N201" s="10" t="inlineStr">
        <is>
          <t>Não iniciado</t>
        </is>
      </c>
      <c r="O201" s="3" t="inlineStr">
        <is>
          <t>P1</t>
        </is>
      </c>
      <c r="P201" s="3" t="inlineStr">
        <is>
          <t>Alto</t>
        </is>
      </c>
      <c r="Q201" s="3" t="inlineStr">
        <is>
          <t>Obrigatória no escopo da versão</t>
        </is>
      </c>
      <c r="R201" s="10" t="inlineStr">
        <is>
          <t>Autor + agente de IA</t>
        </is>
      </c>
      <c r="S201" s="10" t="inlineStr"/>
      <c r="T201" s="11" t="inlineStr"/>
      <c r="U201" s="3" t="inlineStr">
        <is>
          <t>reports/S19/SL-S19-02.md</t>
        </is>
      </c>
      <c r="V201" s="10" t="inlineStr"/>
      <c r="W201" s="10" t="inlineStr"/>
      <c r="X201" s="3">
        <f>IF(N201="Concluído",IF(AND(S201&lt;&gt;"",ISNUMBER(T201),T201&gt;0,V201&lt;&gt;"",AND(OR(X200="OK",X200="DISPENSADO"))),"OK","REVISAR"),IF(N201="Dispensado (ADR)",IF(AND(LEFT(Q201,11)="Condicional",W201&lt;&gt;"",S201&lt;&gt;"",ISNUMBER(T201),T201&gt;0,V201&lt;&gt;""),"DISPENSADO","REVISAR"),"PENDENTE"))</f>
        <v/>
      </c>
      <c r="Y201" s="10" t="inlineStr"/>
    </row>
    <row r="202" ht="112" customHeight="1">
      <c r="A202" s="3" t="n">
        <v>201</v>
      </c>
      <c r="B202" s="3" t="inlineStr">
        <is>
          <t>SL-S19-03</t>
        </is>
      </c>
      <c r="C202" s="9" t="inlineStr">
        <is>
          <t>v0.3.0</t>
        </is>
      </c>
      <c r="D202" s="9" t="inlineStr">
        <is>
          <t>S19</t>
        </is>
      </c>
      <c r="E202" s="3" t="inlineStr">
        <is>
          <t>Whiteboard / performance</t>
        </is>
      </c>
      <c r="F202" s="3" t="inlineStr">
        <is>
          <t>Próprio</t>
        </is>
      </c>
      <c r="G202" s="3" t="inlineStr">
        <is>
          <t>Implementação</t>
        </is>
      </c>
      <c r="H202" s="3" t="inlineStr">
        <is>
          <t>Implementar níveis de detalhe</t>
        </is>
      </c>
      <c r="I202" s="3" t="inlineStr">
        <is>
          <t>Usar previews, títulos e proxies conforme zoom e orçamento.</t>
        </is>
      </c>
      <c r="J202" s="3" t="inlineStr">
        <is>
          <t>apps/desktop/src/board/lod.ts</t>
        </is>
      </c>
      <c r="K202" s="3" t="inlineStr">
        <is>
          <t>Mudança de LOD não altera conteúdo, tamanho persistido ou alvo de interação.</t>
        </is>
      </c>
      <c r="L202" s="3" t="inlineStr">
        <is>
          <t>SL-S19-02</t>
        </is>
      </c>
      <c r="M202" s="3" t="inlineStr">
        <is>
          <t>R01; R09; R11; R12; R31</t>
        </is>
      </c>
      <c r="N202" s="10" t="inlineStr">
        <is>
          <t>Não iniciado</t>
        </is>
      </c>
      <c r="O202" s="3" t="inlineStr">
        <is>
          <t>P1</t>
        </is>
      </c>
      <c r="P202" s="3" t="inlineStr">
        <is>
          <t>Alto</t>
        </is>
      </c>
      <c r="Q202" s="3" t="inlineStr">
        <is>
          <t>Obrigatória no escopo da versão</t>
        </is>
      </c>
      <c r="R202" s="10" t="inlineStr">
        <is>
          <t>Autor + agente de IA</t>
        </is>
      </c>
      <c r="S202" s="10" t="inlineStr"/>
      <c r="T202" s="11" t="inlineStr"/>
      <c r="U202" s="3" t="inlineStr">
        <is>
          <t>reports/S19/SL-S19-03.md</t>
        </is>
      </c>
      <c r="V202" s="10" t="inlineStr"/>
      <c r="W202" s="10" t="inlineStr"/>
      <c r="X202" s="3">
        <f>IF(N202="Concluído",IF(AND(S202&lt;&gt;"",ISNUMBER(T202),T202&gt;0,V202&lt;&gt;"",AND(OR(X201="OK",X201="DISPENSADO"))),"OK","REVISAR"),IF(N202="Dispensado (ADR)",IF(AND(LEFT(Q202,11)="Condicional",W202&lt;&gt;"",S202&lt;&gt;"",ISNUMBER(T202),T202&gt;0,V202&lt;&gt;""),"DISPENSADO","REVISAR"),"PENDENTE"))</f>
        <v/>
      </c>
      <c r="Y202" s="10" t="inlineStr"/>
    </row>
    <row r="203" ht="112" customHeight="1">
      <c r="A203" s="3" t="n">
        <v>202</v>
      </c>
      <c r="B203" s="3" t="inlineStr">
        <is>
          <t>SL-S19-04</t>
        </is>
      </c>
      <c r="C203" s="9" t="inlineStr">
        <is>
          <t>v0.3.0</t>
        </is>
      </c>
      <c r="D203" s="9" t="inlineStr">
        <is>
          <t>S19</t>
        </is>
      </c>
      <c r="E203" s="3" t="inlineStr">
        <is>
          <t>Whiteboard / performance</t>
        </is>
      </c>
      <c r="F203" s="3" t="inlineStr">
        <is>
          <t>Próprio</t>
        </is>
      </c>
      <c r="G203" s="3" t="inlineStr">
        <is>
          <t>Implementação</t>
        </is>
      </c>
      <c r="H203" s="3" t="inlineStr">
        <is>
          <t>Controlar assets/texturas</t>
        </is>
      </c>
      <c r="I203" s="3" t="inlineStr">
        <is>
          <t>Carregar imagens por demanda e liberar recursos gráficos não usados.</t>
        </is>
      </c>
      <c r="J203" s="3" t="inlineStr">
        <is>
          <t>apps/desktop/src/board/texture-cache.ts</t>
        </is>
      </c>
      <c r="K203" s="3" t="inlineStr">
        <is>
          <t>Alternar boards pesados não mantém todas as texturas residentes.</t>
        </is>
      </c>
      <c r="L203" s="3" t="inlineStr">
        <is>
          <t>SL-S19-03</t>
        </is>
      </c>
      <c r="M203" s="3" t="inlineStr">
        <is>
          <t>R01; R09; R11; R12; R31</t>
        </is>
      </c>
      <c r="N203" s="10" t="inlineStr">
        <is>
          <t>Não iniciado</t>
        </is>
      </c>
      <c r="O203" s="3" t="inlineStr">
        <is>
          <t>P1</t>
        </is>
      </c>
      <c r="P203" s="3" t="inlineStr">
        <is>
          <t>Alto</t>
        </is>
      </c>
      <c r="Q203" s="3" t="inlineStr">
        <is>
          <t>Obrigatória no escopo da versão</t>
        </is>
      </c>
      <c r="R203" s="10" t="inlineStr">
        <is>
          <t>Autor + agente de IA</t>
        </is>
      </c>
      <c r="S203" s="10" t="inlineStr"/>
      <c r="T203" s="11" t="inlineStr"/>
      <c r="U203" s="3" t="inlineStr">
        <is>
          <t>reports/S19/SL-S19-04.md</t>
        </is>
      </c>
      <c r="V203" s="10" t="inlineStr"/>
      <c r="W203" s="10" t="inlineStr"/>
      <c r="X203" s="3">
        <f>IF(N203="Concluído",IF(AND(S203&lt;&gt;"",ISNUMBER(T203),T203&gt;0,V203&lt;&gt;"",AND(OR(X202="OK",X202="DISPENSADO"))),"OK","REVISAR"),IF(N203="Dispensado (ADR)",IF(AND(LEFT(Q203,11)="Condicional",W203&lt;&gt;"",S203&lt;&gt;"",ISNUMBER(T203),T203&gt;0,V203&lt;&gt;""),"DISPENSADO","REVISAR"),"PENDENTE"))</f>
        <v/>
      </c>
      <c r="Y203" s="10" t="inlineStr"/>
    </row>
    <row r="204" ht="112" customHeight="1">
      <c r="A204" s="3" t="n">
        <v>203</v>
      </c>
      <c r="B204" s="3" t="inlineStr">
        <is>
          <t>SL-S19-05</t>
        </is>
      </c>
      <c r="C204" s="9" t="inlineStr">
        <is>
          <t>v0.3.0</t>
        </is>
      </c>
      <c r="D204" s="9" t="inlineStr">
        <is>
          <t>S19</t>
        </is>
      </c>
      <c r="E204" s="3" t="inlineStr">
        <is>
          <t>Whiteboard / performance</t>
        </is>
      </c>
      <c r="F204" s="3" t="inlineStr">
        <is>
          <t>Próprio</t>
        </is>
      </c>
      <c r="G204" s="3" t="inlineStr">
        <is>
          <t>Implementação</t>
        </is>
      </c>
      <c r="H204" s="3" t="inlineStr">
        <is>
          <t>Otimizar relações</t>
        </is>
      </c>
      <c r="I204" s="3" t="inlineStr">
        <is>
          <t>Atualizar somente conectores afetados e aplicar estratégia para arestas fora da tela.</t>
        </is>
      </c>
      <c r="J204" s="3" t="inlineStr">
        <is>
          <t>apps/desktop/src/board/edge-renderer.ts</t>
        </is>
      </c>
      <c r="K204" s="3" t="inlineStr">
        <is>
          <t>Mover um nó não recalcula toda a cena sem necessidade demonstrada.</t>
        </is>
      </c>
      <c r="L204" s="3" t="inlineStr">
        <is>
          <t>SL-S19-04</t>
        </is>
      </c>
      <c r="M204" s="3" t="inlineStr">
        <is>
          <t>R01; R09; R11; R12; R31</t>
        </is>
      </c>
      <c r="N204" s="10" t="inlineStr">
        <is>
          <t>Não iniciado</t>
        </is>
      </c>
      <c r="O204" s="3" t="inlineStr">
        <is>
          <t>P1</t>
        </is>
      </c>
      <c r="P204" s="3" t="inlineStr">
        <is>
          <t>Alto</t>
        </is>
      </c>
      <c r="Q204" s="3" t="inlineStr">
        <is>
          <t>Obrigatória no escopo da versão</t>
        </is>
      </c>
      <c r="R204" s="10" t="inlineStr">
        <is>
          <t>Autor + agente de IA</t>
        </is>
      </c>
      <c r="S204" s="10" t="inlineStr"/>
      <c r="T204" s="11" t="inlineStr"/>
      <c r="U204" s="3" t="inlineStr">
        <is>
          <t>reports/S19/SL-S19-05.md</t>
        </is>
      </c>
      <c r="V204" s="10" t="inlineStr"/>
      <c r="W204" s="10" t="inlineStr"/>
      <c r="X204" s="3">
        <f>IF(N204="Concluído",IF(AND(S204&lt;&gt;"",ISNUMBER(T204),T204&gt;0,V204&lt;&gt;"",AND(OR(X203="OK",X203="DISPENSADO"))),"OK","REVISAR"),IF(N204="Dispensado (ADR)",IF(AND(LEFT(Q204,11)="Condicional",W204&lt;&gt;"",S204&lt;&gt;"",ISNUMBER(T204),T204&gt;0,V204&lt;&gt;""),"DISPENSADO","REVISAR"),"PENDENTE"))</f>
        <v/>
      </c>
      <c r="Y204" s="10" t="inlineStr"/>
    </row>
    <row r="205" ht="112" customHeight="1">
      <c r="A205" s="3" t="n">
        <v>204</v>
      </c>
      <c r="B205" s="3" t="inlineStr">
        <is>
          <t>SL-S19-06</t>
        </is>
      </c>
      <c r="C205" s="9" t="inlineStr">
        <is>
          <t>v0.3.0</t>
        </is>
      </c>
      <c r="D205" s="9" t="inlineStr">
        <is>
          <t>S19</t>
        </is>
      </c>
      <c r="E205" s="3" t="inlineStr">
        <is>
          <t>Whiteboard / performance</t>
        </is>
      </c>
      <c r="F205" s="3" t="inlineStr">
        <is>
          <t>Próprio</t>
        </is>
      </c>
      <c r="G205" s="3" t="inlineStr">
        <is>
          <t>Implementação</t>
        </is>
      </c>
      <c r="H205" s="3" t="inlineStr">
        <is>
          <t>Criar operações em lote</t>
        </is>
      </c>
      <c r="I205" s="3" t="inlineStr">
        <is>
          <t>Duplicar ocorrências, alinhar e agrupar com uma operação reversível.</t>
        </is>
      </c>
      <c r="J205" s="3" t="inlineStr">
        <is>
          <t>crates/board/src/batch.rs</t>
        </is>
      </c>
      <c r="K205" s="3" t="inlineStr">
        <is>
          <t>Cancelar/falhar não deixa lote parcialmente aplicado sem recuperação.</t>
        </is>
      </c>
      <c r="L205" s="3" t="inlineStr">
        <is>
          <t>SL-S19-05</t>
        </is>
      </c>
      <c r="M205" s="3" t="inlineStr">
        <is>
          <t>R01; R09; R11; R12; R31</t>
        </is>
      </c>
      <c r="N205" s="10" t="inlineStr">
        <is>
          <t>Não iniciado</t>
        </is>
      </c>
      <c r="O205" s="3" t="inlineStr">
        <is>
          <t>P1</t>
        </is>
      </c>
      <c r="P205" s="3" t="inlineStr">
        <is>
          <t>Alto</t>
        </is>
      </c>
      <c r="Q205" s="3" t="inlineStr">
        <is>
          <t>Obrigatória no escopo da versão</t>
        </is>
      </c>
      <c r="R205" s="10" t="inlineStr">
        <is>
          <t>Autor + agente de IA</t>
        </is>
      </c>
      <c r="S205" s="10" t="inlineStr"/>
      <c r="T205" s="11" t="inlineStr"/>
      <c r="U205" s="3" t="inlineStr">
        <is>
          <t>reports/S19/SL-S19-06.md</t>
        </is>
      </c>
      <c r="V205" s="10" t="inlineStr"/>
      <c r="W205" s="10" t="inlineStr"/>
      <c r="X205" s="3">
        <f>IF(N205="Concluído",IF(AND(S205&lt;&gt;"",ISNUMBER(T205),T205&gt;0,V205&lt;&gt;"",AND(OR(X204="OK",X204="DISPENSADO"))),"OK","REVISAR"),IF(N205="Dispensado (ADR)",IF(AND(LEFT(Q205,11)="Condicional",W205&lt;&gt;"",S205&lt;&gt;"",ISNUMBER(T205),T205&gt;0,V205&lt;&gt;""),"DISPENSADO","REVISAR"),"PENDENTE"))</f>
        <v/>
      </c>
      <c r="Y205" s="10" t="inlineStr"/>
    </row>
    <row r="206" ht="112" customHeight="1">
      <c r="A206" s="3" t="n">
        <v>205</v>
      </c>
      <c r="B206" s="3" t="inlineStr">
        <is>
          <t>SL-S19-07</t>
        </is>
      </c>
      <c r="C206" s="9" t="inlineStr">
        <is>
          <t>v0.3.0</t>
        </is>
      </c>
      <c r="D206" s="9" t="inlineStr">
        <is>
          <t>S19</t>
        </is>
      </c>
      <c r="E206" s="3" t="inlineStr">
        <is>
          <t>Whiteboard / performance</t>
        </is>
      </c>
      <c r="F206" s="3" t="inlineStr">
        <is>
          <t>Próprio</t>
        </is>
      </c>
      <c r="G206" s="3" t="inlineStr">
        <is>
          <t>Implementação</t>
        </is>
      </c>
      <c r="H206" s="3" t="inlineStr">
        <is>
          <t>Salvar viewport como preferência</t>
        </is>
      </c>
      <c r="I206" s="3" t="inlineStr">
        <is>
          <t>Separar navegação pessoal da topologia autoral quando apropriado.</t>
        </is>
      </c>
      <c r="J206" s="3" t="inlineStr">
        <is>
          <t>crates/board/src/view_state.rs</t>
        </is>
      </c>
      <c r="K206" s="3" t="inlineStr">
        <is>
          <t>Pan sem mudança de conhecimento não gera ruído indevido no histórico autoral.</t>
        </is>
      </c>
      <c r="L206" s="3" t="inlineStr">
        <is>
          <t>SL-S19-06</t>
        </is>
      </c>
      <c r="M206" s="3" t="inlineStr">
        <is>
          <t>R01; R09; R11; R12; R31</t>
        </is>
      </c>
      <c r="N206" s="10" t="inlineStr">
        <is>
          <t>Não iniciado</t>
        </is>
      </c>
      <c r="O206" s="3" t="inlineStr">
        <is>
          <t>P1</t>
        </is>
      </c>
      <c r="P206" s="3" t="inlineStr">
        <is>
          <t>Alto</t>
        </is>
      </c>
      <c r="Q206" s="3" t="inlineStr">
        <is>
          <t>Obrigatória no escopo da versão</t>
        </is>
      </c>
      <c r="R206" s="10" t="inlineStr">
        <is>
          <t>Autor + agente de IA</t>
        </is>
      </c>
      <c r="S206" s="10" t="inlineStr"/>
      <c r="T206" s="11" t="inlineStr"/>
      <c r="U206" s="3" t="inlineStr">
        <is>
          <t>reports/S19/SL-S19-07.md</t>
        </is>
      </c>
      <c r="V206" s="10" t="inlineStr"/>
      <c r="W206" s="10" t="inlineStr"/>
      <c r="X206" s="3">
        <f>IF(N206="Concluído",IF(AND(S206&lt;&gt;"",ISNUMBER(T206),T206&gt;0,V206&lt;&gt;"",AND(OR(X205="OK",X205="DISPENSADO"))),"OK","REVISAR"),IF(N206="Dispensado (ADR)",IF(AND(LEFT(Q206,11)="Condicional",W206&lt;&gt;"",S206&lt;&gt;"",ISNUMBER(T206),T206&gt;0,V206&lt;&gt;""),"DISPENSADO","REVISAR"),"PENDENTE"))</f>
        <v/>
      </c>
      <c r="Y206" s="10" t="inlineStr"/>
    </row>
    <row r="207" ht="112" customHeight="1">
      <c r="A207" s="3" t="n">
        <v>206</v>
      </c>
      <c r="B207" s="3" t="inlineStr">
        <is>
          <t>SL-S19-08</t>
        </is>
      </c>
      <c r="C207" s="9" t="inlineStr">
        <is>
          <t>v0.3.0</t>
        </is>
      </c>
      <c r="D207" s="9" t="inlineStr">
        <is>
          <t>S19</t>
        </is>
      </c>
      <c r="E207" s="3" t="inlineStr">
        <is>
          <t>Whiteboard / performance</t>
        </is>
      </c>
      <c r="F207" s="3" t="inlineStr">
        <is>
          <t>Próprio</t>
        </is>
      </c>
      <c r="G207" s="3" t="inlineStr">
        <is>
          <t>Teste</t>
        </is>
      </c>
      <c r="H207" s="3" t="inlineStr">
        <is>
          <t>Medir cenas representativas</t>
        </is>
      </c>
      <c r="I207" s="3" t="inlineStr">
        <is>
          <t>Rodar benchmark de 100/1.000 nós, imagens e arestas densas.</t>
        </is>
      </c>
      <c r="J207" s="3" t="inlineStr">
        <is>
          <t>reports/v0.3/frame-times.json</t>
        </is>
      </c>
      <c r="K207" s="3" t="inlineStr">
        <is>
          <t>Perfil documenta p95/frame time, recursos e limitações; regressões bloqueiam a tag.</t>
        </is>
      </c>
      <c r="L207" s="3" t="inlineStr">
        <is>
          <t>SL-S19-07</t>
        </is>
      </c>
      <c r="M207" s="3" t="inlineStr">
        <is>
          <t>R01; R09; R11; R12; R31</t>
        </is>
      </c>
      <c r="N207" s="10" t="inlineStr">
        <is>
          <t>Não iniciado</t>
        </is>
      </c>
      <c r="O207" s="3" t="inlineStr">
        <is>
          <t>P1</t>
        </is>
      </c>
      <c r="P207" s="3" t="inlineStr">
        <is>
          <t>Alto</t>
        </is>
      </c>
      <c r="Q207" s="3" t="inlineStr">
        <is>
          <t>Obrigatória no escopo da versão</t>
        </is>
      </c>
      <c r="R207" s="10" t="inlineStr">
        <is>
          <t>Autor + agente de IA</t>
        </is>
      </c>
      <c r="S207" s="10" t="inlineStr"/>
      <c r="T207" s="11" t="inlineStr"/>
      <c r="U207" s="3" t="inlineStr">
        <is>
          <t>reports/S19/SL-S19-08.md</t>
        </is>
      </c>
      <c r="V207" s="10" t="inlineStr"/>
      <c r="W207" s="10" t="inlineStr"/>
      <c r="X207" s="3">
        <f>IF(N207="Concluído",IF(AND(S207&lt;&gt;"",ISNUMBER(T207),T207&gt;0,V207&lt;&gt;"",AND(OR(X206="OK",X206="DISPENSADO"))),"OK","REVISAR"),IF(N207="Dispensado (ADR)",IF(AND(LEFT(Q207,11)="Condicional",W207&lt;&gt;"",S207&lt;&gt;"",ISNUMBER(T207),T207&gt;0,V207&lt;&gt;""),"DISPENSADO","REVISAR"),"PENDENTE"))</f>
        <v/>
      </c>
      <c r="Y207" s="10" t="inlineStr"/>
    </row>
    <row r="208" ht="112" customHeight="1">
      <c r="A208" s="3" t="n">
        <v>207</v>
      </c>
      <c r="B208" s="3" t="inlineStr">
        <is>
          <t>SL-S19-09</t>
        </is>
      </c>
      <c r="C208" s="9" t="inlineStr">
        <is>
          <t>v0.3.0</t>
        </is>
      </c>
      <c r="D208" s="9" t="inlineStr">
        <is>
          <t>S19</t>
        </is>
      </c>
      <c r="E208" s="3" t="inlineStr">
        <is>
          <t>Whiteboard / performance</t>
        </is>
      </c>
      <c r="F208" s="3" t="inlineStr">
        <is>
          <t>Próprio</t>
        </is>
      </c>
      <c r="G208" s="3" t="inlineStr">
        <is>
          <t>Teste</t>
        </is>
      </c>
      <c r="H208" s="3" t="inlineStr">
        <is>
          <t>Validar isolamento de workspace</t>
        </is>
      </c>
      <c r="I208" s="3" t="inlineStr">
        <is>
          <t>Abrir vários boards e tentar resolver referências fora do escopo permitido.</t>
        </is>
      </c>
      <c r="J208" s="3" t="inlineStr">
        <is>
          <t>tests/board/workspace-scope/</t>
        </is>
      </c>
      <c r="K208" s="3" t="inlineStr">
        <is>
          <t>UI e broker respeitam política mesmo com cache de board anterior ainda existente.</t>
        </is>
      </c>
      <c r="L208" s="3" t="inlineStr">
        <is>
          <t>SL-S19-08</t>
        </is>
      </c>
      <c r="M208" s="3" t="inlineStr">
        <is>
          <t>R01; R09; R11; R12; R31</t>
        </is>
      </c>
      <c r="N208" s="10" t="inlineStr">
        <is>
          <t>Não iniciado</t>
        </is>
      </c>
      <c r="O208" s="3" t="inlineStr">
        <is>
          <t>P1</t>
        </is>
      </c>
      <c r="P208" s="3" t="inlineStr">
        <is>
          <t>Alto</t>
        </is>
      </c>
      <c r="Q208" s="3" t="inlineStr">
        <is>
          <t>Obrigatória no escopo da versão</t>
        </is>
      </c>
      <c r="R208" s="10" t="inlineStr">
        <is>
          <t>Autor + agente de IA</t>
        </is>
      </c>
      <c r="S208" s="10" t="inlineStr"/>
      <c r="T208" s="11" t="inlineStr"/>
      <c r="U208" s="3" t="inlineStr">
        <is>
          <t>reports/S19/SL-S19-09.md</t>
        </is>
      </c>
      <c r="V208" s="10" t="inlineStr"/>
      <c r="W208" s="10" t="inlineStr"/>
      <c r="X208" s="3">
        <f>IF(N208="Concluído",IF(AND(S208&lt;&gt;"",ISNUMBER(T208),T208&gt;0,V208&lt;&gt;"",AND(OR(X207="OK",X207="DISPENSADO"))),"OK","REVISAR"),IF(N208="Dispensado (ADR)",IF(AND(LEFT(Q208,11)="Condicional",W208&lt;&gt;"",S208&lt;&gt;"",ISNUMBER(T208),T208&gt;0,V208&lt;&gt;""),"DISPENSADO","REVISAR"),"PENDENTE"))</f>
        <v/>
      </c>
      <c r="Y208" s="10" t="inlineStr"/>
    </row>
    <row r="209" ht="112" customHeight="1">
      <c r="A209" s="3" t="n">
        <v>208</v>
      </c>
      <c r="B209" s="3" t="inlineStr">
        <is>
          <t>SL-S19-10</t>
        </is>
      </c>
      <c r="C209" s="9" t="inlineStr">
        <is>
          <t>v0.3.0</t>
        </is>
      </c>
      <c r="D209" s="9" t="inlineStr">
        <is>
          <t>S19</t>
        </is>
      </c>
      <c r="E209" s="3" t="inlineStr">
        <is>
          <t>Whiteboard / performance</t>
        </is>
      </c>
      <c r="F209" s="3" t="inlineStr">
        <is>
          <t>Próprio</t>
        </is>
      </c>
      <c r="G209" s="3" t="inlineStr">
        <is>
          <t>Release</t>
        </is>
      </c>
      <c r="H209" s="3" t="inlineStr">
        <is>
          <t>Publicar alpha da Mesa</t>
        </is>
      </c>
      <c r="I209" s="3" t="inlineStr">
        <is>
          <t>Gravar demo, limites, guia de teclado e relatório de reconstrução.</t>
        </is>
      </c>
      <c r="J209" s="3" t="inlineStr">
        <is>
          <t>release/v0.3.0/</t>
        </is>
      </c>
      <c r="K209" s="3" t="inlineStr">
        <is>
          <t>Produto permite exploração espacial sem modelos, rede ou conta.</t>
        </is>
      </c>
      <c r="L209" s="3" t="inlineStr">
        <is>
          <t>SL-S19-09</t>
        </is>
      </c>
      <c r="M209" s="3" t="inlineStr">
        <is>
          <t>R01; R09; R11; R12; R31</t>
        </is>
      </c>
      <c r="N209" s="10" t="inlineStr">
        <is>
          <t>Não iniciado</t>
        </is>
      </c>
      <c r="O209" s="3" t="inlineStr">
        <is>
          <t>P1</t>
        </is>
      </c>
      <c r="P209" s="3" t="inlineStr">
        <is>
          <t>Alto</t>
        </is>
      </c>
      <c r="Q209" s="3" t="inlineStr">
        <is>
          <t>Obrigatória no escopo da versão</t>
        </is>
      </c>
      <c r="R209" s="10" t="inlineStr">
        <is>
          <t>Autor</t>
        </is>
      </c>
      <c r="S209" s="10" t="inlineStr"/>
      <c r="T209" s="11" t="inlineStr"/>
      <c r="U209" s="3" t="inlineStr">
        <is>
          <t>reports/S19/SL-S19-10.md</t>
        </is>
      </c>
      <c r="V209" s="10" t="inlineStr"/>
      <c r="W209" s="10" t="inlineStr"/>
      <c r="X209" s="3">
        <f>IF(N209="Concluído",IF(AND(S209&lt;&gt;"",ISNUMBER(T209),T209&gt;0,V209&lt;&gt;"",AND(OR(X208="OK",X208="DISPENSADO"))),"OK","REVISAR"),IF(N209="Dispensado (ADR)",IF(AND(LEFT(Q209,11)="Condicional",W209&lt;&gt;"",S209&lt;&gt;"",ISNUMBER(T209),T209&gt;0,V209&lt;&gt;""),"DISPENSADO","REVISAR"),"PENDENTE"))</f>
        <v/>
      </c>
      <c r="Y209" s="10" t="inlineStr"/>
    </row>
    <row r="210" ht="98" customHeight="1">
      <c r="A210" s="3" t="n">
        <v>209</v>
      </c>
      <c r="B210" s="12" t="inlineStr">
        <is>
          <t>SL-S19-GATE</t>
        </is>
      </c>
      <c r="C210" s="9" t="inlineStr">
        <is>
          <t>v0.3.0</t>
        </is>
      </c>
      <c r="D210" s="9" t="inlineStr">
        <is>
          <t>S19</t>
        </is>
      </c>
      <c r="E210" s="3" t="inlineStr">
        <is>
          <t>Whiteboard / performance</t>
        </is>
      </c>
      <c r="F210" s="3" t="inlineStr">
        <is>
          <t>Aceite humano</t>
        </is>
      </c>
      <c r="G210" s="12" t="inlineStr">
        <is>
          <t>Gate</t>
        </is>
      </c>
      <c r="H210" s="12" t="inlineStr">
        <is>
          <t>Aceitar S19 — Concluir navegação, LOD e workspaces</t>
        </is>
      </c>
      <c r="I210" s="3" t="inlineStr">
        <is>
          <t>Revisar as dez tarefas, executar a demonstração do sprint, confrontar critérios e registrar decisão go/no-go.</t>
        </is>
      </c>
      <c r="J210" s="3" t="inlineStr">
        <is>
          <t>reports/S19/acceptance.md</t>
        </is>
      </c>
      <c r="K210" s="3" t="inlineStr">
        <is>
          <t>Navegar entre boards de 100/1.000 nós e reconstruir a cena após reinício. Todas as dependências aceitas; evidências vinculadas a revisão/ambiente; nenhum blocker de integridade/segurança.</t>
        </is>
      </c>
      <c r="L210" s="3" t="inlineStr">
        <is>
          <t>SL-S19-01; SL-S19-02; SL-S19-03; SL-S19-04; SL-S19-05; SL-S19-06; SL-S19-07; SL-S19-08; SL-S19-09; SL-S19-10</t>
        </is>
      </c>
      <c r="M210" s="3" t="inlineStr">
        <is>
          <t>R01; R09; R11; R12; R31</t>
        </is>
      </c>
      <c r="N210" s="10" t="inlineStr">
        <is>
          <t>Não iniciado</t>
        </is>
      </c>
      <c r="O210" s="3" t="inlineStr">
        <is>
          <t>P0</t>
        </is>
      </c>
      <c r="P210" s="3" t="inlineStr">
        <is>
          <t>Alto</t>
        </is>
      </c>
      <c r="Q210" s="3" t="inlineStr">
        <is>
          <t>Obrigatória para fechar a versão aprovada</t>
        </is>
      </c>
      <c r="R210" s="10" t="inlineStr">
        <is>
          <t>Autor</t>
        </is>
      </c>
      <c r="S210" s="10" t="inlineStr"/>
      <c r="T210" s="11" t="inlineStr"/>
      <c r="U210" s="3" t="inlineStr">
        <is>
          <t>reports/S19/acceptance.md</t>
        </is>
      </c>
      <c r="V210" s="10" t="inlineStr"/>
      <c r="W210" s="10" t="inlineStr"/>
      <c r="X210" s="3">
        <f>IF(N210="Concluído",IF(AND(S210&lt;&gt;"",ISNUMBER(T210),T210&gt;0,V210&lt;&gt;"",AND(OR(X200="OK",X200="DISPENSADO"),OR(X201="OK",X201="DISPENSADO"),OR(X202="OK",X202="DISPENSADO"),OR(X203="OK",X203="DISPENSADO"),OR(X204="OK",X204="DISPENSADO"),OR(X205="OK",X205="DISPENSADO"),OR(X206="OK",X206="DISPENSADO"),OR(X207="OK",X207="DISPENSADO"),OR(X208="OK",X208="DISPENSADO"),OR(X209="OK",X209="DISPENSADO"))),"OK","REVISAR"),IF(N210="Dispensado (ADR)",IF(AND(LEFT(Q210,11)="Condicional",W210&lt;&gt;"",S210&lt;&gt;"",ISNUMBER(T210),T210&gt;0,V210&lt;&gt;""),"DISPENSADO","REVISAR"),"PENDENTE"))</f>
        <v/>
      </c>
      <c r="Y210" s="10" t="inlineStr"/>
    </row>
    <row r="211" ht="112" customHeight="1">
      <c r="A211" s="3" t="n">
        <v>210</v>
      </c>
      <c r="B211" s="3" t="inlineStr">
        <is>
          <t>SL-S20-01</t>
        </is>
      </c>
      <c r="C211" s="9" t="inlineStr">
        <is>
          <t>v0.4.0</t>
        </is>
      </c>
      <c r="D211" s="9" t="inlineStr">
        <is>
          <t>S20</t>
        </is>
      </c>
      <c r="E211" s="3" t="inlineStr">
        <is>
          <t>BlockSuite / Peça</t>
        </is>
      </c>
      <c r="F211" s="3" t="inlineStr">
        <is>
          <t>Integração</t>
        </is>
      </c>
      <c r="G211" s="3" t="inlineStr">
        <is>
          <t>Contrato</t>
        </is>
      </c>
      <c r="H211" s="3" t="inlineStr">
        <is>
          <t>Definir entidade Peça</t>
        </is>
      </c>
      <c r="I211" s="3" t="inlineStr">
        <is>
          <t>Fixar identidade, revisões, vínculo com workspace e estado editorial.</t>
        </is>
      </c>
      <c r="J211" s="3" t="inlineStr">
        <is>
          <t>schemas/piece-v0.json</t>
        </is>
      </c>
      <c r="K211" s="3" t="inlineStr">
        <is>
          <t>Peça não é apenas uma célula com flag; pode ser exportada/reaberta independentemente do layout.</t>
        </is>
      </c>
      <c r="L211" s="3" t="inlineStr">
        <is>
          <t>SL-S15-GATE; SL-S19-GATE</t>
        </is>
      </c>
      <c r="M211" s="3" t="inlineStr">
        <is>
          <t>R04; R10; R13; R31</t>
        </is>
      </c>
      <c r="N211" s="10" t="inlineStr">
        <is>
          <t>Não iniciado</t>
        </is>
      </c>
      <c r="O211" s="3" t="inlineStr">
        <is>
          <t>P0</t>
        </is>
      </c>
      <c r="P211" s="3" t="inlineStr">
        <is>
          <t>Alto</t>
        </is>
      </c>
      <c r="Q211" s="3" t="inlineStr">
        <is>
          <t>Obrigatória no escopo da versão</t>
        </is>
      </c>
      <c r="R211" s="10" t="inlineStr">
        <is>
          <t>Autor + agente de IA</t>
        </is>
      </c>
      <c r="S211" s="10" t="inlineStr"/>
      <c r="T211" s="11" t="inlineStr"/>
      <c r="U211" s="3" t="inlineStr">
        <is>
          <t>reports/S20/SL-S20-01.md</t>
        </is>
      </c>
      <c r="V211" s="10" t="inlineStr"/>
      <c r="W211" s="10" t="inlineStr"/>
      <c r="X211" s="3">
        <f>IF(N211="Concluído",IF(AND(S211&lt;&gt;"",ISNUMBER(T211),T211&gt;0,V211&lt;&gt;"",AND(OR(X166="OK",X166="DISPENSADO"),OR(X210="OK",X210="DISPENSADO"))),"OK","REVISAR"),IF(N211="Dispensado (ADR)",IF(AND(LEFT(Q211,11)="Condicional",W211&lt;&gt;"",S211&lt;&gt;"",ISNUMBER(T211),T211&gt;0,V211&lt;&gt;""),"DISPENSADO","REVISAR"),"PENDENTE"))</f>
        <v/>
      </c>
      <c r="Y211" s="10" t="inlineStr"/>
    </row>
    <row r="212" ht="112" customHeight="1">
      <c r="A212" s="3" t="n">
        <v>211</v>
      </c>
      <c r="B212" s="3" t="inlineStr">
        <is>
          <t>SL-S20-02</t>
        </is>
      </c>
      <c r="C212" s="9" t="inlineStr">
        <is>
          <t>v0.4.0</t>
        </is>
      </c>
      <c r="D212" s="9" t="inlineStr">
        <is>
          <t>S20</t>
        </is>
      </c>
      <c r="E212" s="3" t="inlineStr">
        <is>
          <t>BlockSuite / Peça</t>
        </is>
      </c>
      <c r="F212" s="3" t="inlineStr">
        <is>
          <t>Integração</t>
        </is>
      </c>
      <c r="G212" s="3" t="inlineStr">
        <is>
          <t>Implementação</t>
        </is>
      </c>
      <c r="H212" s="3" t="inlineStr">
        <is>
          <t>Criar lifecycle da Peça</t>
        </is>
      </c>
      <c r="I212" s="3" t="inlineStr">
        <is>
          <t>Novo, abrir, renomear, arquivar e restaurar pelo Core.</t>
        </is>
      </c>
      <c r="J212" s="3" t="inlineStr">
        <is>
          <t>crates/piece/src/lifecycle.rs</t>
        </is>
      </c>
      <c r="K212" s="3" t="inlineStr">
        <is>
          <t>Paths e nomes não alteram identidade nem colidem silenciosamente.</t>
        </is>
      </c>
      <c r="L212" s="3" t="inlineStr">
        <is>
          <t>SL-S20-01</t>
        </is>
      </c>
      <c r="M212" s="3" t="inlineStr">
        <is>
          <t>R04; R10; R13; R31</t>
        </is>
      </c>
      <c r="N212" s="10" t="inlineStr">
        <is>
          <t>Não iniciado</t>
        </is>
      </c>
      <c r="O212" s="3" t="inlineStr">
        <is>
          <t>P1</t>
        </is>
      </c>
      <c r="P212" s="3" t="inlineStr">
        <is>
          <t>Alto</t>
        </is>
      </c>
      <c r="Q212" s="3" t="inlineStr">
        <is>
          <t>Obrigatória no escopo da versão</t>
        </is>
      </c>
      <c r="R212" s="10" t="inlineStr">
        <is>
          <t>Autor + agente de IA</t>
        </is>
      </c>
      <c r="S212" s="10" t="inlineStr"/>
      <c r="T212" s="11" t="inlineStr"/>
      <c r="U212" s="3" t="inlineStr">
        <is>
          <t>reports/S20/SL-S20-02.md</t>
        </is>
      </c>
      <c r="V212" s="10" t="inlineStr"/>
      <c r="W212" s="10" t="inlineStr"/>
      <c r="X212" s="3">
        <f>IF(N212="Concluído",IF(AND(S212&lt;&gt;"",ISNUMBER(T212),T212&gt;0,V212&lt;&gt;"",AND(OR(X211="OK",X211="DISPENSADO"))),"OK","REVISAR"),IF(N212="Dispensado (ADR)",IF(AND(LEFT(Q212,11)="Condicional",W212&lt;&gt;"",S212&lt;&gt;"",ISNUMBER(T212),T212&gt;0,V212&lt;&gt;""),"DISPENSADO","REVISAR"),"PENDENTE"))</f>
        <v/>
      </c>
      <c r="Y212" s="10" t="inlineStr"/>
    </row>
    <row r="213" ht="112" customHeight="1">
      <c r="A213" s="3" t="n">
        <v>212</v>
      </c>
      <c r="B213" s="3" t="inlineStr">
        <is>
          <t>SL-S20-03</t>
        </is>
      </c>
      <c r="C213" s="9" t="inlineStr">
        <is>
          <t>v0.4.0</t>
        </is>
      </c>
      <c r="D213" s="9" t="inlineStr">
        <is>
          <t>S20</t>
        </is>
      </c>
      <c r="E213" s="3" t="inlineStr">
        <is>
          <t>BlockSuite / Peça</t>
        </is>
      </c>
      <c r="F213" s="3" t="inlineStr">
        <is>
          <t>Integração</t>
        </is>
      </c>
      <c r="G213" s="3" t="inlineStr">
        <is>
          <t>Implementação</t>
        </is>
      </c>
      <c r="H213" s="3" t="inlineStr">
        <is>
          <t>Montar editor editorial</t>
        </is>
      </c>
      <c r="I213" s="3" t="inlineStr">
        <is>
          <t>Reutilizar facade BlockSuite com perfil e comandos apropriados à redação.</t>
        </is>
      </c>
      <c r="J213" s="3" t="inlineStr">
        <is>
          <t>apps/desktop/src/piece/editor.ts</t>
        </is>
      </c>
      <c r="K213" s="3" t="inlineStr">
        <is>
          <t>Não se cria outro motor de texto com codec divergente do usado nas notas.</t>
        </is>
      </c>
      <c r="L213" s="3" t="inlineStr">
        <is>
          <t>SL-S20-02</t>
        </is>
      </c>
      <c r="M213" s="3" t="inlineStr">
        <is>
          <t>R04; R10; R13; R31</t>
        </is>
      </c>
      <c r="N213" s="10" t="inlineStr">
        <is>
          <t>Não iniciado</t>
        </is>
      </c>
      <c r="O213" s="3" t="inlineStr">
        <is>
          <t>P1</t>
        </is>
      </c>
      <c r="P213" s="3" t="inlineStr">
        <is>
          <t>Alto</t>
        </is>
      </c>
      <c r="Q213" s="3" t="inlineStr">
        <is>
          <t>Obrigatória no escopo da versão</t>
        </is>
      </c>
      <c r="R213" s="10" t="inlineStr">
        <is>
          <t>Autor + agente de IA</t>
        </is>
      </c>
      <c r="S213" s="10" t="inlineStr"/>
      <c r="T213" s="11" t="inlineStr"/>
      <c r="U213" s="3" t="inlineStr">
        <is>
          <t>reports/S20/SL-S20-03.md</t>
        </is>
      </c>
      <c r="V213" s="10" t="inlineStr"/>
      <c r="W213" s="10" t="inlineStr"/>
      <c r="X213" s="3">
        <f>IF(N213="Concluído",IF(AND(S213&lt;&gt;"",ISNUMBER(T213),T213&gt;0,V213&lt;&gt;"",AND(OR(X212="OK",X212="DISPENSADO"))),"OK","REVISAR"),IF(N213="Dispensado (ADR)",IF(AND(LEFT(Q213,11)="Condicional",W213&lt;&gt;"",S213&lt;&gt;"",ISNUMBER(T213),T213&gt;0,V213&lt;&gt;""),"DISPENSADO","REVISAR"),"PENDENTE"))</f>
        <v/>
      </c>
      <c r="Y213" s="10" t="inlineStr"/>
    </row>
    <row r="214" ht="112" customHeight="1">
      <c r="A214" s="3" t="n">
        <v>213</v>
      </c>
      <c r="B214" s="3" t="inlineStr">
        <is>
          <t>SL-S20-04</t>
        </is>
      </c>
      <c r="C214" s="9" t="inlineStr">
        <is>
          <t>v0.4.0</t>
        </is>
      </c>
      <c r="D214" s="9" t="inlineStr">
        <is>
          <t>S20</t>
        </is>
      </c>
      <c r="E214" s="3" t="inlineStr">
        <is>
          <t>BlockSuite / Peça</t>
        </is>
      </c>
      <c r="F214" s="3" t="inlineStr">
        <is>
          <t>Integração</t>
        </is>
      </c>
      <c r="G214" s="3" t="inlineStr">
        <is>
          <t>Implementação</t>
        </is>
      </c>
      <c r="H214" s="3" t="inlineStr">
        <is>
          <t>Criar painel dockado</t>
        </is>
      </c>
      <c r="I214" s="3" t="inlineStr">
        <is>
          <t>Abrir/retrair/redimensionar respeitando largura e foco do canvas.</t>
        </is>
      </c>
      <c r="J214" s="3" t="inlineStr">
        <is>
          <t>apps/desktop/src/piece/dock.ts</t>
        </is>
      </c>
      <c r="K214" s="3" t="inlineStr">
        <is>
          <t>Redimensionar não altera conteúdo nem dispara eventos espaciais de cartões.</t>
        </is>
      </c>
      <c r="L214" s="3" t="inlineStr">
        <is>
          <t>SL-S20-03</t>
        </is>
      </c>
      <c r="M214" s="3" t="inlineStr">
        <is>
          <t>R04; R10; R13; R31</t>
        </is>
      </c>
      <c r="N214" s="10" t="inlineStr">
        <is>
          <t>Não iniciado</t>
        </is>
      </c>
      <c r="O214" s="3" t="inlineStr">
        <is>
          <t>P1</t>
        </is>
      </c>
      <c r="P214" s="3" t="inlineStr">
        <is>
          <t>Alto</t>
        </is>
      </c>
      <c r="Q214" s="3" t="inlineStr">
        <is>
          <t>Obrigatória no escopo da versão</t>
        </is>
      </c>
      <c r="R214" s="10" t="inlineStr">
        <is>
          <t>Autor + agente de IA</t>
        </is>
      </c>
      <c r="S214" s="10" t="inlineStr"/>
      <c r="T214" s="11" t="inlineStr"/>
      <c r="U214" s="3" t="inlineStr">
        <is>
          <t>reports/S20/SL-S20-04.md</t>
        </is>
      </c>
      <c r="V214" s="10" t="inlineStr"/>
      <c r="W214" s="10" t="inlineStr"/>
      <c r="X214" s="3">
        <f>IF(N214="Concluído",IF(AND(S214&lt;&gt;"",ISNUMBER(T214),T214&gt;0,V214&lt;&gt;"",AND(OR(X213="OK",X213="DISPENSADO"))),"OK","REVISAR"),IF(N214="Dispensado (ADR)",IF(AND(LEFT(Q214,11)="Condicional",W214&lt;&gt;"",S214&lt;&gt;"",ISNUMBER(T214),T214&gt;0,V214&lt;&gt;""),"DISPENSADO","REVISAR"),"PENDENTE"))</f>
        <v/>
      </c>
      <c r="Y214" s="10" t="inlineStr"/>
    </row>
    <row r="215" ht="112" customHeight="1">
      <c r="A215" s="3" t="n">
        <v>214</v>
      </c>
      <c r="B215" s="3" t="inlineStr">
        <is>
          <t>SL-S20-05</t>
        </is>
      </c>
      <c r="C215" s="9" t="inlineStr">
        <is>
          <t>v0.4.0</t>
        </is>
      </c>
      <c r="D215" s="9" t="inlineStr">
        <is>
          <t>S20</t>
        </is>
      </c>
      <c r="E215" s="3" t="inlineStr">
        <is>
          <t>BlockSuite / Peça</t>
        </is>
      </c>
      <c r="F215" s="3" t="inlineStr">
        <is>
          <t>Integração</t>
        </is>
      </c>
      <c r="G215" s="3" t="inlineStr">
        <is>
          <t>Implementação</t>
        </is>
      </c>
      <c r="H215" s="3" t="inlineStr">
        <is>
          <t>Criar outline e navegação</t>
        </is>
      </c>
      <c r="I215" s="3" t="inlineStr">
        <is>
          <t>Derivar headings da Peça e navegar por blocos estáveis.</t>
        </is>
      </c>
      <c r="J215" s="3" t="inlineStr">
        <is>
          <t>apps/desktop/src/piece/outline.ts</t>
        </is>
      </c>
      <c r="K215" s="3" t="inlineStr">
        <is>
          <t>Reordenar headings atualiza navegação sem quebrar IDs de citações preservados.</t>
        </is>
      </c>
      <c r="L215" s="3" t="inlineStr">
        <is>
          <t>SL-S20-04</t>
        </is>
      </c>
      <c r="M215" s="3" t="inlineStr">
        <is>
          <t>R04; R10; R13; R31</t>
        </is>
      </c>
      <c r="N215" s="10" t="inlineStr">
        <is>
          <t>Não iniciado</t>
        </is>
      </c>
      <c r="O215" s="3" t="inlineStr">
        <is>
          <t>P1</t>
        </is>
      </c>
      <c r="P215" s="3" t="inlineStr">
        <is>
          <t>Alto</t>
        </is>
      </c>
      <c r="Q215" s="3" t="inlineStr">
        <is>
          <t>Obrigatória no escopo da versão</t>
        </is>
      </c>
      <c r="R215" s="10" t="inlineStr">
        <is>
          <t>Autor + agente de IA</t>
        </is>
      </c>
      <c r="S215" s="10" t="inlineStr"/>
      <c r="T215" s="11" t="inlineStr"/>
      <c r="U215" s="3" t="inlineStr">
        <is>
          <t>reports/S20/SL-S20-05.md</t>
        </is>
      </c>
      <c r="V215" s="10" t="inlineStr"/>
      <c r="W215" s="10" t="inlineStr"/>
      <c r="X215" s="3">
        <f>IF(N215="Concluído",IF(AND(S215&lt;&gt;"",ISNUMBER(T215),T215&gt;0,V215&lt;&gt;"",AND(OR(X214="OK",X214="DISPENSADO"))),"OK","REVISAR"),IF(N215="Dispensado (ADR)",IF(AND(LEFT(Q215,11)="Condicional",W215&lt;&gt;"",S215&lt;&gt;"",ISNUMBER(T215),T215&gt;0,V215&lt;&gt;""),"DISPENSADO","REVISAR"),"PENDENTE"))</f>
        <v/>
      </c>
      <c r="Y215" s="10" t="inlineStr"/>
    </row>
    <row r="216" ht="112" customHeight="1">
      <c r="A216" s="3" t="n">
        <v>215</v>
      </c>
      <c r="B216" s="3" t="inlineStr">
        <is>
          <t>SL-S20-06</t>
        </is>
      </c>
      <c r="C216" s="9" t="inlineStr">
        <is>
          <t>v0.4.0</t>
        </is>
      </c>
      <c r="D216" s="9" t="inlineStr">
        <is>
          <t>S20</t>
        </is>
      </c>
      <c r="E216" s="3" t="inlineStr">
        <is>
          <t>BlockSuite / Peça</t>
        </is>
      </c>
      <c r="F216" s="3" t="inlineStr">
        <is>
          <t>Integração</t>
        </is>
      </c>
      <c r="G216" s="3" t="inlineStr">
        <is>
          <t>Implementação</t>
        </is>
      </c>
      <c r="H216" s="3" t="inlineStr">
        <is>
          <t>Integrar autosave editorial</t>
        </is>
      </c>
      <c r="I216" s="3" t="inlineStr">
        <is>
          <t>Usar fila do Core e estado claro de publicação durável.</t>
        </is>
      </c>
      <c r="J216" s="3" t="inlineStr">
        <is>
          <t>apps/desktop/src/piece/save.ts</t>
        </is>
      </c>
      <c r="K216" s="3" t="inlineStr">
        <is>
          <t>Fechar painel não destrói edição pendente; conflito externo usa o mesmo protocolo.</t>
        </is>
      </c>
      <c r="L216" s="3" t="inlineStr">
        <is>
          <t>SL-S20-05</t>
        </is>
      </c>
      <c r="M216" s="3" t="inlineStr">
        <is>
          <t>R04; R10; R13; R31</t>
        </is>
      </c>
      <c r="N216" s="10" t="inlineStr">
        <is>
          <t>Não iniciado</t>
        </is>
      </c>
      <c r="O216" s="3" t="inlineStr">
        <is>
          <t>P1</t>
        </is>
      </c>
      <c r="P216" s="3" t="inlineStr">
        <is>
          <t>Alto</t>
        </is>
      </c>
      <c r="Q216" s="3" t="inlineStr">
        <is>
          <t>Obrigatória no escopo da versão</t>
        </is>
      </c>
      <c r="R216" s="10" t="inlineStr">
        <is>
          <t>Autor + agente de IA</t>
        </is>
      </c>
      <c r="S216" s="10" t="inlineStr"/>
      <c r="T216" s="11" t="inlineStr"/>
      <c r="U216" s="3" t="inlineStr">
        <is>
          <t>reports/S20/SL-S20-06.md</t>
        </is>
      </c>
      <c r="V216" s="10" t="inlineStr"/>
      <c r="W216" s="10" t="inlineStr"/>
      <c r="X216" s="3">
        <f>IF(N216="Concluído",IF(AND(S216&lt;&gt;"",ISNUMBER(T216),T216&gt;0,V216&lt;&gt;"",AND(OR(X215="OK",X215="DISPENSADO"))),"OK","REVISAR"),IF(N216="Dispensado (ADR)",IF(AND(LEFT(Q216,11)="Condicional",W216&lt;&gt;"",S216&lt;&gt;"",ISNUMBER(T216),T216&gt;0,V216&lt;&gt;""),"DISPENSADO","REVISAR"),"PENDENTE"))</f>
        <v/>
      </c>
      <c r="Y216" s="10" t="inlineStr"/>
    </row>
    <row r="217" ht="112" customHeight="1">
      <c r="A217" s="3" t="n">
        <v>216</v>
      </c>
      <c r="B217" s="3" t="inlineStr">
        <is>
          <t>SL-S20-07</t>
        </is>
      </c>
      <c r="C217" s="9" t="inlineStr">
        <is>
          <t>v0.4.0</t>
        </is>
      </c>
      <c r="D217" s="9" t="inlineStr">
        <is>
          <t>S20</t>
        </is>
      </c>
      <c r="E217" s="3" t="inlineStr">
        <is>
          <t>BlockSuite / Peça</t>
        </is>
      </c>
      <c r="F217" s="3" t="inlineStr">
        <is>
          <t>Integração</t>
        </is>
      </c>
      <c r="G217" s="3" t="inlineStr">
        <is>
          <t>Implementação</t>
        </is>
      </c>
      <c r="H217" s="3" t="inlineStr">
        <is>
          <t>Criar estados de produção</t>
        </is>
      </c>
      <c r="I217" s="3" t="inlineStr">
        <is>
          <t>Rascunho/finalizado ou estados aprovados, sem impor workflow excessivo.</t>
        </is>
      </c>
      <c r="J217" s="3" t="inlineStr">
        <is>
          <t>crates/piece/src/editorial_state.rs</t>
        </is>
      </c>
      <c r="K217" s="3" t="inlineStr">
        <is>
          <t>Estado é metadado canônico e não depende do índice de busca.</t>
        </is>
      </c>
      <c r="L217" s="3" t="inlineStr">
        <is>
          <t>SL-S20-06</t>
        </is>
      </c>
      <c r="M217" s="3" t="inlineStr">
        <is>
          <t>R04; R10; R13; R31</t>
        </is>
      </c>
      <c r="N217" s="10" t="inlineStr">
        <is>
          <t>Não iniciado</t>
        </is>
      </c>
      <c r="O217" s="3" t="inlineStr">
        <is>
          <t>P1</t>
        </is>
      </c>
      <c r="P217" s="3" t="inlineStr">
        <is>
          <t>Alto</t>
        </is>
      </c>
      <c r="Q217" s="3" t="inlineStr">
        <is>
          <t>Obrigatória no escopo da versão</t>
        </is>
      </c>
      <c r="R217" s="10" t="inlineStr">
        <is>
          <t>Autor + agente de IA</t>
        </is>
      </c>
      <c r="S217" s="10" t="inlineStr"/>
      <c r="T217" s="11" t="inlineStr"/>
      <c r="U217" s="3" t="inlineStr">
        <is>
          <t>reports/S20/SL-S20-07.md</t>
        </is>
      </c>
      <c r="V217" s="10" t="inlineStr"/>
      <c r="W217" s="10" t="inlineStr"/>
      <c r="X217" s="3">
        <f>IF(N217="Concluído",IF(AND(S217&lt;&gt;"",ISNUMBER(T217),T217&gt;0,V217&lt;&gt;"",AND(OR(X216="OK",X216="DISPENSADO"))),"OK","REVISAR"),IF(N217="Dispensado (ADR)",IF(AND(LEFT(Q217,11)="Condicional",W217&lt;&gt;"",S217&lt;&gt;"",ISNUMBER(T217),T217&gt;0,V217&lt;&gt;""),"DISPENSADO","REVISAR"),"PENDENTE"))</f>
        <v/>
      </c>
      <c r="Y217" s="10" t="inlineStr"/>
    </row>
    <row r="218" ht="112" customHeight="1">
      <c r="A218" s="3" t="n">
        <v>217</v>
      </c>
      <c r="B218" s="3" t="inlineStr">
        <is>
          <t>SL-S20-08</t>
        </is>
      </c>
      <c r="C218" s="9" t="inlineStr">
        <is>
          <t>v0.4.0</t>
        </is>
      </c>
      <c r="D218" s="9" t="inlineStr">
        <is>
          <t>S20</t>
        </is>
      </c>
      <c r="E218" s="3" t="inlineStr">
        <is>
          <t>BlockSuite / Peça</t>
        </is>
      </c>
      <c r="F218" s="3" t="inlineStr">
        <is>
          <t>Integração</t>
        </is>
      </c>
      <c r="G218" s="3" t="inlineStr">
        <is>
          <t>Implementação</t>
        </is>
      </c>
      <c r="H218" s="3" t="inlineStr">
        <is>
          <t>Preparar área de copiloto</t>
        </is>
      </c>
      <c r="I218" s="3" t="inlineStr">
        <is>
          <t>Criar região de propostas desativada sem modelo, sem bloquear editor.</t>
        </is>
      </c>
      <c r="J218" s="3" t="inlineStr">
        <is>
          <t>apps/desktop/src/piece/copilot-shell.ts</t>
        </is>
      </c>
      <c r="K218" s="3" t="inlineStr">
        <is>
          <t>Ausência de IA mantém funcionalidade editorial completa.</t>
        </is>
      </c>
      <c r="L218" s="3" t="inlineStr">
        <is>
          <t>SL-S20-07</t>
        </is>
      </c>
      <c r="M218" s="3" t="inlineStr">
        <is>
          <t>R04; R10; R13; R31</t>
        </is>
      </c>
      <c r="N218" s="10" t="inlineStr">
        <is>
          <t>Não iniciado</t>
        </is>
      </c>
      <c r="O218" s="3" t="inlineStr">
        <is>
          <t>P1</t>
        </is>
      </c>
      <c r="P218" s="3" t="inlineStr">
        <is>
          <t>Alto</t>
        </is>
      </c>
      <c r="Q218" s="3" t="inlineStr">
        <is>
          <t>Obrigatória no escopo da versão</t>
        </is>
      </c>
      <c r="R218" s="10" t="inlineStr">
        <is>
          <t>Autor + agente de IA</t>
        </is>
      </c>
      <c r="S218" s="10" t="inlineStr"/>
      <c r="T218" s="11" t="inlineStr"/>
      <c r="U218" s="3" t="inlineStr">
        <is>
          <t>reports/S20/SL-S20-08.md</t>
        </is>
      </c>
      <c r="V218" s="10" t="inlineStr"/>
      <c r="W218" s="10" t="inlineStr"/>
      <c r="X218" s="3">
        <f>IF(N218="Concluído",IF(AND(S218&lt;&gt;"",ISNUMBER(T218),T218&gt;0,V218&lt;&gt;"",AND(OR(X217="OK",X217="DISPENSADO"))),"OK","REVISAR"),IF(N218="Dispensado (ADR)",IF(AND(LEFT(Q218,11)="Condicional",W218&lt;&gt;"",S218&lt;&gt;"",ISNUMBER(T218),T218&gt;0,V218&lt;&gt;""),"DISPENSADO","REVISAR"),"PENDENTE"))</f>
        <v/>
      </c>
      <c r="Y218" s="10" t="inlineStr"/>
    </row>
    <row r="219" ht="112" customHeight="1">
      <c r="A219" s="3" t="n">
        <v>218</v>
      </c>
      <c r="B219" s="3" t="inlineStr">
        <is>
          <t>SL-S20-09</t>
        </is>
      </c>
      <c r="C219" s="9" t="inlineStr">
        <is>
          <t>v0.4.0</t>
        </is>
      </c>
      <c r="D219" s="9" t="inlineStr">
        <is>
          <t>S20</t>
        </is>
      </c>
      <c r="E219" s="3" t="inlineStr">
        <is>
          <t>BlockSuite / Peça</t>
        </is>
      </c>
      <c r="F219" s="3" t="inlineStr">
        <is>
          <t>Integração</t>
        </is>
      </c>
      <c r="G219" s="3" t="inlineStr">
        <is>
          <t>Teste</t>
        </is>
      </c>
      <c r="H219" s="3" t="inlineStr">
        <is>
          <t>Testar documentos longos</t>
        </is>
      </c>
      <c r="I219" s="3" t="inlineStr">
        <is>
          <t>Abrir Peças com listas, tabelas e citações além da viewport.</t>
        </is>
      </c>
      <c r="J219" s="3" t="inlineStr">
        <is>
          <t>tests/piece/long-documents/</t>
        </is>
      </c>
      <c r="K219" s="3" t="inlineStr">
        <is>
          <t>Salvamento/exportação inclui todo o documento e não só blocos montados.</t>
        </is>
      </c>
      <c r="L219" s="3" t="inlineStr">
        <is>
          <t>SL-S20-08</t>
        </is>
      </c>
      <c r="M219" s="3" t="inlineStr">
        <is>
          <t>R04; R10; R13; R31</t>
        </is>
      </c>
      <c r="N219" s="10" t="inlineStr">
        <is>
          <t>Não iniciado</t>
        </is>
      </c>
      <c r="O219" s="3" t="inlineStr">
        <is>
          <t>P1</t>
        </is>
      </c>
      <c r="P219" s="3" t="inlineStr">
        <is>
          <t>Alto</t>
        </is>
      </c>
      <c r="Q219" s="3" t="inlineStr">
        <is>
          <t>Obrigatória no escopo da versão</t>
        </is>
      </c>
      <c r="R219" s="10" t="inlineStr">
        <is>
          <t>Autor + agente de IA</t>
        </is>
      </c>
      <c r="S219" s="10" t="inlineStr"/>
      <c r="T219" s="11" t="inlineStr"/>
      <c r="U219" s="3" t="inlineStr">
        <is>
          <t>reports/S20/SL-S20-09.md</t>
        </is>
      </c>
      <c r="V219" s="10" t="inlineStr"/>
      <c r="W219" s="10" t="inlineStr"/>
      <c r="X219" s="3">
        <f>IF(N219="Concluído",IF(AND(S219&lt;&gt;"",ISNUMBER(T219),T219&gt;0,V219&lt;&gt;"",AND(OR(X218="OK",X218="DISPENSADO"))),"OK","REVISAR"),IF(N219="Dispensado (ADR)",IF(AND(LEFT(Q219,11)="Condicional",W219&lt;&gt;"",S219&lt;&gt;"",ISNUMBER(T219),T219&gt;0,V219&lt;&gt;""),"DISPENSADO","REVISAR"),"PENDENTE"))</f>
        <v/>
      </c>
      <c r="Y219" s="10" t="inlineStr"/>
    </row>
    <row r="220" ht="112" customHeight="1">
      <c r="A220" s="3" t="n">
        <v>219</v>
      </c>
      <c r="B220" s="3" t="inlineStr">
        <is>
          <t>SL-S20-10</t>
        </is>
      </c>
      <c r="C220" s="9" t="inlineStr">
        <is>
          <t>v0.4.0</t>
        </is>
      </c>
      <c r="D220" s="9" t="inlineStr">
        <is>
          <t>S20</t>
        </is>
      </c>
      <c r="E220" s="3" t="inlineStr">
        <is>
          <t>BlockSuite / Peça</t>
        </is>
      </c>
      <c r="F220" s="3" t="inlineStr">
        <is>
          <t>Integração</t>
        </is>
      </c>
      <c r="G220" s="3" t="inlineStr">
        <is>
          <t>Teste</t>
        </is>
      </c>
      <c r="H220" s="3" t="inlineStr">
        <is>
          <t>Validar edição simultânea de contextos</t>
        </is>
      </c>
      <c r="I220" s="3" t="inlineStr">
        <is>
          <t>Alternar foco Mesa/Peça e inspecionar revisões.</t>
        </is>
      </c>
      <c r="J220" s="3" t="inlineStr">
        <is>
          <t>reports/piece/focus-and-save.md</t>
        </is>
      </c>
      <c r="K220" s="3" t="inlineStr">
        <is>
          <t>Comando de uma área não modifica documento da outra.</t>
        </is>
      </c>
      <c r="L220" s="3" t="inlineStr">
        <is>
          <t>SL-S20-09</t>
        </is>
      </c>
      <c r="M220" s="3" t="inlineStr">
        <is>
          <t>R04; R10; R13; R31</t>
        </is>
      </c>
      <c r="N220" s="10" t="inlineStr">
        <is>
          <t>Não iniciado</t>
        </is>
      </c>
      <c r="O220" s="3" t="inlineStr">
        <is>
          <t>P1</t>
        </is>
      </c>
      <c r="P220" s="3" t="inlineStr">
        <is>
          <t>Alto</t>
        </is>
      </c>
      <c r="Q220" s="3" t="inlineStr">
        <is>
          <t>Obrigatória no escopo da versão</t>
        </is>
      </c>
      <c r="R220" s="10" t="inlineStr">
        <is>
          <t>Autor + agente de IA</t>
        </is>
      </c>
      <c r="S220" s="10" t="inlineStr"/>
      <c r="T220" s="11" t="inlineStr"/>
      <c r="U220" s="3" t="inlineStr">
        <is>
          <t>reports/S20/SL-S20-10.md</t>
        </is>
      </c>
      <c r="V220" s="10" t="inlineStr"/>
      <c r="W220" s="10" t="inlineStr"/>
      <c r="X220" s="3">
        <f>IF(N220="Concluído",IF(AND(S220&lt;&gt;"",ISNUMBER(T220),T220&gt;0,V220&lt;&gt;"",AND(OR(X219="OK",X219="DISPENSADO"))),"OK","REVISAR"),IF(N220="Dispensado (ADR)",IF(AND(LEFT(Q220,11)="Condicional",W220&lt;&gt;"",S220&lt;&gt;"",ISNUMBER(T220),T220&gt;0,V220&lt;&gt;""),"DISPENSADO","REVISAR"),"PENDENTE"))</f>
        <v/>
      </c>
      <c r="Y220" s="10" t="inlineStr"/>
    </row>
    <row r="221" ht="98" customHeight="1">
      <c r="A221" s="3" t="n">
        <v>220</v>
      </c>
      <c r="B221" s="12" t="inlineStr">
        <is>
          <t>SL-S20-GATE</t>
        </is>
      </c>
      <c r="C221" s="9" t="inlineStr">
        <is>
          <t>v0.4.0</t>
        </is>
      </c>
      <c r="D221" s="9" t="inlineStr">
        <is>
          <t>S20</t>
        </is>
      </c>
      <c r="E221" s="3" t="inlineStr">
        <is>
          <t>BlockSuite / Peça</t>
        </is>
      </c>
      <c r="F221" s="3" t="inlineStr">
        <is>
          <t>Aceite humano</t>
        </is>
      </c>
      <c r="G221" s="12" t="inlineStr">
        <is>
          <t>Gate</t>
        </is>
      </c>
      <c r="H221" s="12" t="inlineStr">
        <is>
          <t>Aceitar S20 — Construir editor da Peça e layout editorial</t>
        </is>
      </c>
      <c r="I221" s="3" t="inlineStr">
        <is>
          <t>Revisar as dez tarefas, executar a demonstração do sprint, confrontar critérios e registrar decisão go/no-go.</t>
        </is>
      </c>
      <c r="J221" s="3" t="inlineStr">
        <is>
          <t>reports/S20/acceptance.md</t>
        </is>
      </c>
      <c r="K221" s="3" t="inlineStr">
        <is>
          <t>Abrir Peça vinculada ao workspace e editar enquanto consulta células. Todas as dependências aceitas; evidências vinculadas a revisão/ambiente; nenhum blocker de integridade/segurança.</t>
        </is>
      </c>
      <c r="L221" s="3" t="inlineStr">
        <is>
          <t>SL-S20-01; SL-S20-02; SL-S20-03; SL-S20-04; SL-S20-05; SL-S20-06; SL-S20-07; SL-S20-08; SL-S20-09; SL-S20-10</t>
        </is>
      </c>
      <c r="M221" s="3" t="inlineStr">
        <is>
          <t>R04; R10; R13; R31</t>
        </is>
      </c>
      <c r="N221" s="10" t="inlineStr">
        <is>
          <t>Não iniciado</t>
        </is>
      </c>
      <c r="O221" s="3" t="inlineStr">
        <is>
          <t>P0</t>
        </is>
      </c>
      <c r="P221" s="3" t="inlineStr">
        <is>
          <t>Alto</t>
        </is>
      </c>
      <c r="Q221" s="3" t="inlineStr">
        <is>
          <t>Obrigatória para fechar a versão aprovada</t>
        </is>
      </c>
      <c r="R221" s="10" t="inlineStr">
        <is>
          <t>Autor</t>
        </is>
      </c>
      <c r="S221" s="10" t="inlineStr"/>
      <c r="T221" s="11" t="inlineStr"/>
      <c r="U221" s="3" t="inlineStr">
        <is>
          <t>reports/S20/acceptance.md</t>
        </is>
      </c>
      <c r="V221" s="10" t="inlineStr"/>
      <c r="W221" s="10" t="inlineStr"/>
      <c r="X221" s="3">
        <f>IF(N221="Concluído",IF(AND(S221&lt;&gt;"",ISNUMBER(T221),T221&gt;0,V221&lt;&gt;"",AND(OR(X211="OK",X211="DISPENSADO"),OR(X212="OK",X212="DISPENSADO"),OR(X213="OK",X213="DISPENSADO"),OR(X214="OK",X214="DISPENSADO"),OR(X215="OK",X215="DISPENSADO"),OR(X216="OK",X216="DISPENSADO"),OR(X217="OK",X217="DISPENSADO"),OR(X218="OK",X218="DISPENSADO"),OR(X219="OK",X219="DISPENSADO"),OR(X220="OK",X220="DISPENSADO"))),"OK","REVISAR"),IF(N221="Dispensado (ADR)",IF(AND(LEFT(Q221,11)="Condicional",W221&lt;&gt;"",S221&lt;&gt;"",ISNUMBER(T221),T221&gt;0,V221&lt;&gt;""),"DISPENSADO","REVISAR"),"PENDENTE"))</f>
        <v/>
      </c>
      <c r="Y221" s="10" t="inlineStr"/>
    </row>
    <row r="222" ht="112" customHeight="1">
      <c r="A222" s="3" t="n">
        <v>221</v>
      </c>
      <c r="B222" s="3" t="inlineStr">
        <is>
          <t>SL-S21-01</t>
        </is>
      </c>
      <c r="C222" s="9" t="inlineStr">
        <is>
          <t>v0.4.0</t>
        </is>
      </c>
      <c r="D222" s="9" t="inlineStr">
        <is>
          <t>S21</t>
        </is>
      </c>
      <c r="E222" s="3" t="inlineStr">
        <is>
          <t>ProvenanceStore / Peça</t>
        </is>
      </c>
      <c r="F222" s="3" t="inlineStr">
        <is>
          <t>Próprio</t>
        </is>
      </c>
      <c r="G222" s="3" t="inlineStr">
        <is>
          <t>Contrato</t>
        </is>
      </c>
      <c r="H222" s="3" t="inlineStr">
        <is>
          <t>Definir evento de inserção</t>
        </is>
      </c>
      <c r="I222" s="3" t="inlineStr">
        <is>
          <t>Registrar célula/revisão, fragmento, evidência e bloco de destino.</t>
        </is>
      </c>
      <c r="J222" s="3" t="inlineStr">
        <is>
          <t>schemas/cell-forked-into-piece.json</t>
        </is>
      </c>
      <c r="K222" s="3" t="inlineStr">
        <is>
          <t>Referência não se resume a ID+data e pode apontar ao texto efetivamente inserido.</t>
        </is>
      </c>
      <c r="L222" s="3" t="inlineStr">
        <is>
          <t>SL-S17-GATE; SL-S20-GATE</t>
        </is>
      </c>
      <c r="M222" s="3" t="inlineStr">
        <is>
          <t>R02; R05; R13; R37</t>
        </is>
      </c>
      <c r="N222" s="10" t="inlineStr">
        <is>
          <t>Não iniciado</t>
        </is>
      </c>
      <c r="O222" s="3" t="inlineStr">
        <is>
          <t>P0</t>
        </is>
      </c>
      <c r="P222" s="3" t="inlineStr">
        <is>
          <t>Crítico</t>
        </is>
      </c>
      <c r="Q222" s="3" t="inlineStr">
        <is>
          <t>Obrigatória no escopo da versão</t>
        </is>
      </c>
      <c r="R222" s="10" t="inlineStr">
        <is>
          <t>Autor + agente de IA</t>
        </is>
      </c>
      <c r="S222" s="10" t="inlineStr"/>
      <c r="T222" s="11" t="inlineStr"/>
      <c r="U222" s="3" t="inlineStr">
        <is>
          <t>reports/S21/SL-S21-01.md</t>
        </is>
      </c>
      <c r="V222" s="10" t="inlineStr"/>
      <c r="W222" s="10" t="inlineStr"/>
      <c r="X222" s="3">
        <f>IF(N222="Concluído",IF(AND(S222&lt;&gt;"",ISNUMBER(T222),T222&gt;0,V222&lt;&gt;"",AND(OR(X188="OK",X188="DISPENSADO"),OR(X221="OK",X221="DISPENSADO"))),"OK","REVISAR"),IF(N222="Dispensado (ADR)",IF(AND(LEFT(Q222,11)="Condicional",W222&lt;&gt;"",S222&lt;&gt;"",ISNUMBER(T222),T222&gt;0,V222&lt;&gt;""),"DISPENSADO","REVISAR"),"PENDENTE"))</f>
        <v/>
      </c>
      <c r="Y222" s="10" t="inlineStr"/>
    </row>
    <row r="223" ht="112" customHeight="1">
      <c r="A223" s="3" t="n">
        <v>222</v>
      </c>
      <c r="B223" s="3" t="inlineStr">
        <is>
          <t>SL-S21-02</t>
        </is>
      </c>
      <c r="C223" s="9" t="inlineStr">
        <is>
          <t>v0.4.0</t>
        </is>
      </c>
      <c r="D223" s="9" t="inlineStr">
        <is>
          <t>S21</t>
        </is>
      </c>
      <c r="E223" s="3" t="inlineStr">
        <is>
          <t>ProvenanceStore / Peça</t>
        </is>
      </c>
      <c r="F223" s="3" t="inlineStr">
        <is>
          <t>Próprio</t>
        </is>
      </c>
      <c r="G223" s="3" t="inlineStr">
        <is>
          <t>Implementação</t>
        </is>
      </c>
      <c r="H223" s="3" t="inlineStr">
        <is>
          <t>Capturar snapshot da seleção</t>
        </is>
      </c>
      <c r="I223" s="3" t="inlineStr">
        <is>
          <t>Resolver conteúdo na revisão exata antes de clonar.</t>
        </is>
      </c>
      <c r="J223" s="3" t="inlineStr">
        <is>
          <t>crates/provenance/src/snapshot.rs</t>
        </is>
      </c>
      <c r="K223" s="3" t="inlineStr">
        <is>
          <t>Edição concorrente da célula não altera o fragmento entre preview e confirmação.</t>
        </is>
      </c>
      <c r="L223" s="3" t="inlineStr">
        <is>
          <t>SL-S21-01</t>
        </is>
      </c>
      <c r="M223" s="3" t="inlineStr">
        <is>
          <t>R02; R05; R13; R37</t>
        </is>
      </c>
      <c r="N223" s="10" t="inlineStr">
        <is>
          <t>Não iniciado</t>
        </is>
      </c>
      <c r="O223" s="3" t="inlineStr">
        <is>
          <t>P0</t>
        </is>
      </c>
      <c r="P223" s="3" t="inlineStr">
        <is>
          <t>Crítico</t>
        </is>
      </c>
      <c r="Q223" s="3" t="inlineStr">
        <is>
          <t>Obrigatória no escopo da versão</t>
        </is>
      </c>
      <c r="R223" s="10" t="inlineStr">
        <is>
          <t>Autor + agente de IA</t>
        </is>
      </c>
      <c r="S223" s="10" t="inlineStr"/>
      <c r="T223" s="11" t="inlineStr"/>
      <c r="U223" s="3" t="inlineStr">
        <is>
          <t>reports/S21/SL-S21-02.md</t>
        </is>
      </c>
      <c r="V223" s="10" t="inlineStr"/>
      <c r="W223" s="10" t="inlineStr"/>
      <c r="X223" s="3">
        <f>IF(N223="Concluído",IF(AND(S223&lt;&gt;"",ISNUMBER(T223),T223&gt;0,V223&lt;&gt;"",AND(OR(X222="OK",X222="DISPENSADO"))),"OK","REVISAR"),IF(N223="Dispensado (ADR)",IF(AND(LEFT(Q223,11)="Condicional",W223&lt;&gt;"",S223&lt;&gt;"",ISNUMBER(T223),T223&gt;0,V223&lt;&gt;""),"DISPENSADO","REVISAR"),"PENDENTE"))</f>
        <v/>
      </c>
      <c r="Y223" s="10" t="inlineStr"/>
    </row>
    <row r="224" ht="112" customHeight="1">
      <c r="A224" s="3" t="n">
        <v>223</v>
      </c>
      <c r="B224" s="3" t="inlineStr">
        <is>
          <t>SL-S21-03</t>
        </is>
      </c>
      <c r="C224" s="9" t="inlineStr">
        <is>
          <t>v0.4.0</t>
        </is>
      </c>
      <c r="D224" s="9" t="inlineStr">
        <is>
          <t>S21</t>
        </is>
      </c>
      <c r="E224" s="3" t="inlineStr">
        <is>
          <t>ProvenanceStore / Peça</t>
        </is>
      </c>
      <c r="F224" s="3" t="inlineStr">
        <is>
          <t>Próprio</t>
        </is>
      </c>
      <c r="G224" s="3" t="inlineStr">
        <is>
          <t>Implementação</t>
        </is>
      </c>
      <c r="H224" s="3" t="inlineStr">
        <is>
          <t>Clonar blocos com nova identidade</t>
        </is>
      </c>
      <c r="I224" s="3" t="inlineStr">
        <is>
          <t>Gerar IDs de destino e manter origem separada.</t>
        </is>
      </c>
      <c r="J224" s="3" t="inlineStr">
        <is>
          <t>crates/piece/src/fork_insert.rs</t>
        </is>
      </c>
      <c r="K224" s="3" t="inlineStr">
        <is>
          <t>Editar Peça não escreve de volta na célula e vice-versa.</t>
        </is>
      </c>
      <c r="L224" s="3" t="inlineStr">
        <is>
          <t>SL-S21-02</t>
        </is>
      </c>
      <c r="M224" s="3" t="inlineStr">
        <is>
          <t>R02; R05; R13; R37</t>
        </is>
      </c>
      <c r="N224" s="10" t="inlineStr">
        <is>
          <t>Não iniciado</t>
        </is>
      </c>
      <c r="O224" s="3" t="inlineStr">
        <is>
          <t>P0</t>
        </is>
      </c>
      <c r="P224" s="3" t="inlineStr">
        <is>
          <t>Crítico</t>
        </is>
      </c>
      <c r="Q224" s="3" t="inlineStr">
        <is>
          <t>Obrigatória no escopo da versão</t>
        </is>
      </c>
      <c r="R224" s="10" t="inlineStr">
        <is>
          <t>Autor + agente de IA</t>
        </is>
      </c>
      <c r="S224" s="10" t="inlineStr"/>
      <c r="T224" s="11" t="inlineStr"/>
      <c r="U224" s="3" t="inlineStr">
        <is>
          <t>reports/S21/SL-S21-03.md</t>
        </is>
      </c>
      <c r="V224" s="10" t="inlineStr"/>
      <c r="W224" s="10" t="inlineStr"/>
      <c r="X224" s="3">
        <f>IF(N224="Concluído",IF(AND(S224&lt;&gt;"",ISNUMBER(T224),T224&gt;0,V224&lt;&gt;"",AND(OR(X223="OK",X223="DISPENSADO"))),"OK","REVISAR"),IF(N224="Dispensado (ADR)",IF(AND(LEFT(Q224,11)="Condicional",W224&lt;&gt;"",S224&lt;&gt;"",ISNUMBER(T224),T224&gt;0,V224&lt;&gt;""),"DISPENSADO","REVISAR"),"PENDENTE"))</f>
        <v/>
      </c>
      <c r="Y224" s="10" t="inlineStr"/>
    </row>
    <row r="225" ht="112" customHeight="1">
      <c r="A225" s="3" t="n">
        <v>224</v>
      </c>
      <c r="B225" s="3" t="inlineStr">
        <is>
          <t>SL-S21-04</t>
        </is>
      </c>
      <c r="C225" s="9" t="inlineStr">
        <is>
          <t>v0.4.0</t>
        </is>
      </c>
      <c r="D225" s="9" t="inlineStr">
        <is>
          <t>S21</t>
        </is>
      </c>
      <c r="E225" s="3" t="inlineStr">
        <is>
          <t>ProvenanceStore / Peça</t>
        </is>
      </c>
      <c r="F225" s="3" t="inlineStr">
        <is>
          <t>Próprio</t>
        </is>
      </c>
      <c r="G225" s="3" t="inlineStr">
        <is>
          <t>Implementação</t>
        </is>
      </c>
      <c r="H225" s="3" t="inlineStr">
        <is>
          <t>Persistir texto citado e hash</t>
        </is>
      </c>
      <c r="I225" s="3" t="inlineStr">
        <is>
          <t>Conservar trecho e localizador correspondente no formato aprovado.</t>
        </is>
      </c>
      <c r="J225" s="3" t="inlineStr">
        <is>
          <t>crates/provenance/src/quote.rs</t>
        </is>
      </c>
      <c r="K225" s="3" t="inlineStr">
        <is>
          <t>Texto citado pode ser verificado mesmo depois de renomear arquivo original.</t>
        </is>
      </c>
      <c r="L225" s="3" t="inlineStr">
        <is>
          <t>SL-S21-03</t>
        </is>
      </c>
      <c r="M225" s="3" t="inlineStr">
        <is>
          <t>R02; R05; R13; R37</t>
        </is>
      </c>
      <c r="N225" s="10" t="inlineStr">
        <is>
          <t>Não iniciado</t>
        </is>
      </c>
      <c r="O225" s="3" t="inlineStr">
        <is>
          <t>P0</t>
        </is>
      </c>
      <c r="P225" s="3" t="inlineStr">
        <is>
          <t>Crítico</t>
        </is>
      </c>
      <c r="Q225" s="3" t="inlineStr">
        <is>
          <t>Obrigatória no escopo da versão</t>
        </is>
      </c>
      <c r="R225" s="10" t="inlineStr">
        <is>
          <t>Autor + agente de IA</t>
        </is>
      </c>
      <c r="S225" s="10" t="inlineStr"/>
      <c r="T225" s="11" t="inlineStr"/>
      <c r="U225" s="3" t="inlineStr">
        <is>
          <t>reports/S21/SL-S21-04.md</t>
        </is>
      </c>
      <c r="V225" s="10" t="inlineStr"/>
      <c r="W225" s="10" t="inlineStr"/>
      <c r="X225" s="3">
        <f>IF(N225="Concluído",IF(AND(S225&lt;&gt;"",ISNUMBER(T225),T225&gt;0,V225&lt;&gt;"",AND(OR(X224="OK",X224="DISPENSADO"))),"OK","REVISAR"),IF(N225="Dispensado (ADR)",IF(AND(LEFT(Q225,11)="Condicional",W225&lt;&gt;"",S225&lt;&gt;"",ISNUMBER(T225),T225&gt;0,V225&lt;&gt;""),"DISPENSADO","REVISAR"),"PENDENTE"))</f>
        <v/>
      </c>
      <c r="Y225" s="10" t="inlineStr"/>
    </row>
    <row r="226" ht="112" customHeight="1">
      <c r="A226" s="3" t="n">
        <v>225</v>
      </c>
      <c r="B226" s="3" t="inlineStr">
        <is>
          <t>SL-S21-05</t>
        </is>
      </c>
      <c r="C226" s="9" t="inlineStr">
        <is>
          <t>v0.4.0</t>
        </is>
      </c>
      <c r="D226" s="9" t="inlineStr">
        <is>
          <t>S21</t>
        </is>
      </c>
      <c r="E226" s="3" t="inlineStr">
        <is>
          <t>ProvenanceStore / Peça</t>
        </is>
      </c>
      <c r="F226" s="3" t="inlineStr">
        <is>
          <t>Próprio</t>
        </is>
      </c>
      <c r="G226" s="3" t="inlineStr">
        <is>
          <t>Implementação</t>
        </is>
      </c>
      <c r="H226" s="3" t="inlineStr">
        <is>
          <t>Encadear fonte primária</t>
        </is>
      </c>
      <c r="I226" s="3" t="inlineStr">
        <is>
          <t>Propagar referências de recorte até material/asset original quando existentes.</t>
        </is>
      </c>
      <c r="J226" s="3" t="inlineStr">
        <is>
          <t>crates/provenance/src/chain.rs</t>
        </is>
      </c>
      <c r="K226" s="3" t="inlineStr">
        <is>
          <t>Célula derivada não é apresentada como fonte primária independente.</t>
        </is>
      </c>
      <c r="L226" s="3" t="inlineStr">
        <is>
          <t>SL-S21-04</t>
        </is>
      </c>
      <c r="M226" s="3" t="inlineStr">
        <is>
          <t>R02; R05; R13; R37</t>
        </is>
      </c>
      <c r="N226" s="10" t="inlineStr">
        <is>
          <t>Não iniciado</t>
        </is>
      </c>
      <c r="O226" s="3" t="inlineStr">
        <is>
          <t>P0</t>
        </is>
      </c>
      <c r="P226" s="3" t="inlineStr">
        <is>
          <t>Crítico</t>
        </is>
      </c>
      <c r="Q226" s="3" t="inlineStr">
        <is>
          <t>Obrigatória no escopo da versão</t>
        </is>
      </c>
      <c r="R226" s="10" t="inlineStr">
        <is>
          <t>Autor + agente de IA</t>
        </is>
      </c>
      <c r="S226" s="10" t="inlineStr"/>
      <c r="T226" s="11" t="inlineStr"/>
      <c r="U226" s="3" t="inlineStr">
        <is>
          <t>reports/S21/SL-S21-05.md</t>
        </is>
      </c>
      <c r="V226" s="10" t="inlineStr"/>
      <c r="W226" s="10" t="inlineStr"/>
      <c r="X226" s="3">
        <f>IF(N226="Concluído",IF(AND(S226&lt;&gt;"",ISNUMBER(T226),T226&gt;0,V226&lt;&gt;"",AND(OR(X225="OK",X225="DISPENSADO"))),"OK","REVISAR"),IF(N226="Dispensado (ADR)",IF(AND(LEFT(Q226,11)="Condicional",W226&lt;&gt;"",S226&lt;&gt;"",ISNUMBER(T226),T226&gt;0,V226&lt;&gt;""),"DISPENSADO","REVISAR"),"PENDENTE"))</f>
        <v/>
      </c>
      <c r="Y226" s="10" t="inlineStr"/>
    </row>
    <row r="227" ht="112" customHeight="1">
      <c r="A227" s="3" t="n">
        <v>226</v>
      </c>
      <c r="B227" s="3" t="inlineStr">
        <is>
          <t>SL-S21-06</t>
        </is>
      </c>
      <c r="C227" s="9" t="inlineStr">
        <is>
          <t>v0.4.0</t>
        </is>
      </c>
      <c r="D227" s="9" t="inlineStr">
        <is>
          <t>S21</t>
        </is>
      </c>
      <c r="E227" s="3" t="inlineStr">
        <is>
          <t>ProvenanceStore / Peça</t>
        </is>
      </c>
      <c r="F227" s="3" t="inlineStr">
        <is>
          <t>Próprio</t>
        </is>
      </c>
      <c r="G227" s="3" t="inlineStr">
        <is>
          <t>Implementação</t>
        </is>
      </c>
      <c r="H227" s="3" t="inlineStr">
        <is>
          <t>Renderizar citações clicáveis</t>
        </is>
      </c>
      <c r="I227" s="3" t="inlineStr">
        <is>
          <t>Navegar ao trecho/revisão, com estado para fonte ausente.</t>
        </is>
      </c>
      <c r="J227" s="3" t="inlineStr">
        <is>
          <t>apps/desktop/src/piece/citations.ts</t>
        </is>
      </c>
      <c r="K227" s="3" t="inlineStr">
        <is>
          <t>Clique não abre path externo sem autorização nem substitui silenciosamente revisão antiga.</t>
        </is>
      </c>
      <c r="L227" s="3" t="inlineStr">
        <is>
          <t>SL-S21-05</t>
        </is>
      </c>
      <c r="M227" s="3" t="inlineStr">
        <is>
          <t>R02; R05; R13; R37</t>
        </is>
      </c>
      <c r="N227" s="10" t="inlineStr">
        <is>
          <t>Não iniciado</t>
        </is>
      </c>
      <c r="O227" s="3" t="inlineStr">
        <is>
          <t>P0</t>
        </is>
      </c>
      <c r="P227" s="3" t="inlineStr">
        <is>
          <t>Crítico</t>
        </is>
      </c>
      <c r="Q227" s="3" t="inlineStr">
        <is>
          <t>Obrigatória no escopo da versão</t>
        </is>
      </c>
      <c r="R227" s="10" t="inlineStr">
        <is>
          <t>Autor + agente de IA</t>
        </is>
      </c>
      <c r="S227" s="10" t="inlineStr"/>
      <c r="T227" s="11" t="inlineStr"/>
      <c r="U227" s="3" t="inlineStr">
        <is>
          <t>reports/S21/SL-S21-06.md</t>
        </is>
      </c>
      <c r="V227" s="10" t="inlineStr"/>
      <c r="W227" s="10" t="inlineStr"/>
      <c r="X227" s="3">
        <f>IF(N227="Concluído",IF(AND(S227&lt;&gt;"",ISNUMBER(T227),T227&gt;0,V227&lt;&gt;"",AND(OR(X226="OK",X226="DISPENSADO"))),"OK","REVISAR"),IF(N227="Dispensado (ADR)",IF(AND(LEFT(Q227,11)="Condicional",W227&lt;&gt;"",S227&lt;&gt;"",ISNUMBER(T227),T227&gt;0,V227&lt;&gt;""),"DISPENSADO","REVISAR"),"PENDENTE"))</f>
        <v/>
      </c>
      <c r="Y227" s="10" t="inlineStr"/>
    </row>
    <row r="228" ht="112" customHeight="1">
      <c r="A228" s="3" t="n">
        <v>227</v>
      </c>
      <c r="B228" s="3" t="inlineStr">
        <is>
          <t>SL-S21-07</t>
        </is>
      </c>
      <c r="C228" s="9" t="inlineStr">
        <is>
          <t>v0.4.0</t>
        </is>
      </c>
      <c r="D228" s="9" t="inlineStr">
        <is>
          <t>S21</t>
        </is>
      </c>
      <c r="E228" s="3" t="inlineStr">
        <is>
          <t>ProvenanceStore / Peça</t>
        </is>
      </c>
      <c r="F228" s="3" t="inlineStr">
        <is>
          <t>Próprio</t>
        </is>
      </c>
      <c r="G228" s="3" t="inlineStr">
        <is>
          <t>Implementação</t>
        </is>
      </c>
      <c r="H228" s="3" t="inlineStr">
        <is>
          <t>Tratar atualização da fonte</t>
        </is>
      </c>
      <c r="I228" s="3" t="inlineStr">
        <is>
          <t>Mostrar divergência e oferecer comparação, sem atualização automática da Peça.</t>
        </is>
      </c>
      <c r="J228" s="3" t="inlineStr">
        <is>
          <t>apps/desktop/src/piece/source-diff.ts</t>
        </is>
      </c>
      <c r="K228" s="3" t="inlineStr">
        <is>
          <t>Mudança posterior da fonte não modifica a citação histórica.</t>
        </is>
      </c>
      <c r="L228" s="3" t="inlineStr">
        <is>
          <t>SL-S21-06</t>
        </is>
      </c>
      <c r="M228" s="3" t="inlineStr">
        <is>
          <t>R02; R05; R13; R37</t>
        </is>
      </c>
      <c r="N228" s="10" t="inlineStr">
        <is>
          <t>Não iniciado</t>
        </is>
      </c>
      <c r="O228" s="3" t="inlineStr">
        <is>
          <t>P0</t>
        </is>
      </c>
      <c r="P228" s="3" t="inlineStr">
        <is>
          <t>Crítico</t>
        </is>
      </c>
      <c r="Q228" s="3" t="inlineStr">
        <is>
          <t>Obrigatória no escopo da versão</t>
        </is>
      </c>
      <c r="R228" s="10" t="inlineStr">
        <is>
          <t>Autor + agente de IA</t>
        </is>
      </c>
      <c r="S228" s="10" t="inlineStr"/>
      <c r="T228" s="11" t="inlineStr"/>
      <c r="U228" s="3" t="inlineStr">
        <is>
          <t>reports/S21/SL-S21-07.md</t>
        </is>
      </c>
      <c r="V228" s="10" t="inlineStr"/>
      <c r="W228" s="10" t="inlineStr"/>
      <c r="X228" s="3">
        <f>IF(N228="Concluído",IF(AND(S228&lt;&gt;"",ISNUMBER(T228),T228&gt;0,V228&lt;&gt;"",AND(OR(X227="OK",X227="DISPENSADO"))),"OK","REVISAR"),IF(N228="Dispensado (ADR)",IF(AND(LEFT(Q228,11)="Condicional",W228&lt;&gt;"",S228&lt;&gt;"",ISNUMBER(T228),T228&gt;0,V228&lt;&gt;""),"DISPENSADO","REVISAR"),"PENDENTE"))</f>
        <v/>
      </c>
      <c r="Y228" s="10" t="inlineStr"/>
    </row>
    <row r="229" ht="112" customHeight="1">
      <c r="A229" s="3" t="n">
        <v>228</v>
      </c>
      <c r="B229" s="3" t="inlineStr">
        <is>
          <t>SL-S21-08</t>
        </is>
      </c>
      <c r="C229" s="9" t="inlineStr">
        <is>
          <t>v0.4.0</t>
        </is>
      </c>
      <c r="D229" s="9" t="inlineStr">
        <is>
          <t>S21</t>
        </is>
      </c>
      <c r="E229" s="3" t="inlineStr">
        <is>
          <t>ProvenanceStore / Peça</t>
        </is>
      </c>
      <c r="F229" s="3" t="inlineStr">
        <is>
          <t>Próprio</t>
        </is>
      </c>
      <c r="G229" s="3" t="inlineStr">
        <is>
          <t>Implementação</t>
        </is>
      </c>
      <c r="H229" s="3" t="inlineStr">
        <is>
          <t>Reverter inserção</t>
        </is>
      </c>
      <c r="I229" s="3" t="inlineStr">
        <is>
          <t>Desfazer blocos e vínculos do mesmo evento preservando histórico.</t>
        </is>
      </c>
      <c r="J229" s="3" t="inlineStr">
        <is>
          <t>crates/piece/src/undo_insert.rs</t>
        </is>
      </c>
      <c r="K229" s="3" t="inlineStr">
        <is>
          <t>Undo não remove citações/assets ainda usados por outro trecho.</t>
        </is>
      </c>
      <c r="L229" s="3" t="inlineStr">
        <is>
          <t>SL-S21-07</t>
        </is>
      </c>
      <c r="M229" s="3" t="inlineStr">
        <is>
          <t>R02; R05; R13; R37</t>
        </is>
      </c>
      <c r="N229" s="10" t="inlineStr">
        <is>
          <t>Não iniciado</t>
        </is>
      </c>
      <c r="O229" s="3" t="inlineStr">
        <is>
          <t>P0</t>
        </is>
      </c>
      <c r="P229" s="3" t="inlineStr">
        <is>
          <t>Crítico</t>
        </is>
      </c>
      <c r="Q229" s="3" t="inlineStr">
        <is>
          <t>Obrigatória no escopo da versão</t>
        </is>
      </c>
      <c r="R229" s="10" t="inlineStr">
        <is>
          <t>Autor + agente de IA</t>
        </is>
      </c>
      <c r="S229" s="10" t="inlineStr"/>
      <c r="T229" s="11" t="inlineStr"/>
      <c r="U229" s="3" t="inlineStr">
        <is>
          <t>reports/S21/SL-S21-08.md</t>
        </is>
      </c>
      <c r="V229" s="10" t="inlineStr"/>
      <c r="W229" s="10" t="inlineStr"/>
      <c r="X229" s="3">
        <f>IF(N229="Concluído",IF(AND(S229&lt;&gt;"",ISNUMBER(T229),T229&gt;0,V229&lt;&gt;"",AND(OR(X228="OK",X228="DISPENSADO"))),"OK","REVISAR"),IF(N229="Dispensado (ADR)",IF(AND(LEFT(Q229,11)="Condicional",W229&lt;&gt;"",S229&lt;&gt;"",ISNUMBER(T229),T229&gt;0,V229&lt;&gt;""),"DISPENSADO","REVISAR"),"PENDENTE"))</f>
        <v/>
      </c>
      <c r="Y229" s="10" t="inlineStr"/>
    </row>
    <row r="230" ht="112" customHeight="1">
      <c r="A230" s="3" t="n">
        <v>229</v>
      </c>
      <c r="B230" s="3" t="inlineStr">
        <is>
          <t>SL-S21-09</t>
        </is>
      </c>
      <c r="C230" s="9" t="inlineStr">
        <is>
          <t>v0.4.0</t>
        </is>
      </c>
      <c r="D230" s="9" t="inlineStr">
        <is>
          <t>S21</t>
        </is>
      </c>
      <c r="E230" s="3" t="inlineStr">
        <is>
          <t>ProvenanceStore / Peça</t>
        </is>
      </c>
      <c r="F230" s="3" t="inlineStr">
        <is>
          <t>Próprio</t>
        </is>
      </c>
      <c r="G230" s="3" t="inlineStr">
        <is>
          <t>Teste</t>
        </is>
      </c>
      <c r="H230" s="3" t="inlineStr">
        <is>
          <t>Testar cadeias e duplicações</t>
        </is>
      </c>
      <c r="I230" s="3" t="inlineStr">
        <is>
          <t>Inserir mesma célula várias vezes e citar recortes aninhados.</t>
        </is>
      </c>
      <c r="J230" s="3" t="inlineStr">
        <is>
          <t>tests/provenance/fork/</t>
        </is>
      </c>
      <c r="K230" s="3" t="inlineStr">
        <is>
          <t>Cada ocorrência possui destino próprio e origem inequívoca.</t>
        </is>
      </c>
      <c r="L230" s="3" t="inlineStr">
        <is>
          <t>SL-S21-08</t>
        </is>
      </c>
      <c r="M230" s="3" t="inlineStr">
        <is>
          <t>R02; R05; R13; R37</t>
        </is>
      </c>
      <c r="N230" s="10" t="inlineStr">
        <is>
          <t>Não iniciado</t>
        </is>
      </c>
      <c r="O230" s="3" t="inlineStr">
        <is>
          <t>P0</t>
        </is>
      </c>
      <c r="P230" s="3" t="inlineStr">
        <is>
          <t>Crítico</t>
        </is>
      </c>
      <c r="Q230" s="3" t="inlineStr">
        <is>
          <t>Obrigatória no escopo da versão</t>
        </is>
      </c>
      <c r="R230" s="10" t="inlineStr">
        <is>
          <t>Autor + agente de IA</t>
        </is>
      </c>
      <c r="S230" s="10" t="inlineStr"/>
      <c r="T230" s="11" t="inlineStr"/>
      <c r="U230" s="3" t="inlineStr">
        <is>
          <t>reports/S21/SL-S21-09.md</t>
        </is>
      </c>
      <c r="V230" s="10" t="inlineStr"/>
      <c r="W230" s="10" t="inlineStr"/>
      <c r="X230" s="3">
        <f>IF(N230="Concluído",IF(AND(S230&lt;&gt;"",ISNUMBER(T230),T230&gt;0,V230&lt;&gt;"",AND(OR(X229="OK",X229="DISPENSADO"))),"OK","REVISAR"),IF(N230="Dispensado (ADR)",IF(AND(LEFT(Q230,11)="Condicional",W230&lt;&gt;"",S230&lt;&gt;"",ISNUMBER(T230),T230&gt;0,V230&lt;&gt;""),"DISPENSADO","REVISAR"),"PENDENTE"))</f>
        <v/>
      </c>
      <c r="Y230" s="10" t="inlineStr"/>
    </row>
    <row r="231" ht="112" customHeight="1">
      <c r="A231" s="3" t="n">
        <v>230</v>
      </c>
      <c r="B231" s="3" t="inlineStr">
        <is>
          <t>SL-S21-10</t>
        </is>
      </c>
      <c r="C231" s="9" t="inlineStr">
        <is>
          <t>v0.4.0</t>
        </is>
      </c>
      <c r="D231" s="9" t="inlineStr">
        <is>
          <t>S21</t>
        </is>
      </c>
      <c r="E231" s="3" t="inlineStr">
        <is>
          <t>ProvenanceStore / Peça</t>
        </is>
      </c>
      <c r="F231" s="3" t="inlineStr">
        <is>
          <t>Próprio</t>
        </is>
      </c>
      <c r="G231" s="3" t="inlineStr">
        <is>
          <t>Teste</t>
        </is>
      </c>
      <c r="H231" s="3" t="inlineStr">
        <is>
          <t>Verificar referências após reconstrução</t>
        </is>
      </c>
      <c r="I231" s="3" t="inlineStr">
        <is>
          <t>Apagar DB e caches editoriais e resolver todas as citações.</t>
        </is>
      </c>
      <c r="J231" s="3" t="inlineStr">
        <is>
          <t>reports/provenance/rebuild.json</t>
        </is>
      </c>
      <c r="K231" s="3" t="inlineStr">
        <is>
          <t>Cadeia é reconstruível exclusivamente dos arquivos e objetos canônicos.</t>
        </is>
      </c>
      <c r="L231" s="3" t="inlineStr">
        <is>
          <t>SL-S21-09</t>
        </is>
      </c>
      <c r="M231" s="3" t="inlineStr">
        <is>
          <t>R02; R05; R13; R37</t>
        </is>
      </c>
      <c r="N231" s="10" t="inlineStr">
        <is>
          <t>Não iniciado</t>
        </is>
      </c>
      <c r="O231" s="3" t="inlineStr">
        <is>
          <t>P0</t>
        </is>
      </c>
      <c r="P231" s="3" t="inlineStr">
        <is>
          <t>Crítico</t>
        </is>
      </c>
      <c r="Q231" s="3" t="inlineStr">
        <is>
          <t>Obrigatória no escopo da versão</t>
        </is>
      </c>
      <c r="R231" s="10" t="inlineStr">
        <is>
          <t>Autor + agente de IA</t>
        </is>
      </c>
      <c r="S231" s="10" t="inlineStr"/>
      <c r="T231" s="11" t="inlineStr"/>
      <c r="U231" s="3" t="inlineStr">
        <is>
          <t>reports/S21/SL-S21-10.md</t>
        </is>
      </c>
      <c r="V231" s="10" t="inlineStr"/>
      <c r="W231" s="10" t="inlineStr"/>
      <c r="X231" s="3">
        <f>IF(N231="Concluído",IF(AND(S231&lt;&gt;"",ISNUMBER(T231),T231&gt;0,V231&lt;&gt;"",AND(OR(X230="OK",X230="DISPENSADO"))),"OK","REVISAR"),IF(N231="Dispensado (ADR)",IF(AND(LEFT(Q231,11)="Condicional",W231&lt;&gt;"",S231&lt;&gt;"",ISNUMBER(T231),T231&gt;0,V231&lt;&gt;""),"DISPENSADO","REVISAR"),"PENDENTE"))</f>
        <v/>
      </c>
      <c r="Y231" s="10" t="inlineStr"/>
    </row>
    <row r="232" ht="98" customHeight="1">
      <c r="A232" s="3" t="n">
        <v>231</v>
      </c>
      <c r="B232" s="12" t="inlineStr">
        <is>
          <t>SL-S21-GATE</t>
        </is>
      </c>
      <c r="C232" s="9" t="inlineStr">
        <is>
          <t>v0.4.0</t>
        </is>
      </c>
      <c r="D232" s="9" t="inlineStr">
        <is>
          <t>S21</t>
        </is>
      </c>
      <c r="E232" s="3" t="inlineStr">
        <is>
          <t>ProvenanceStore / Peça</t>
        </is>
      </c>
      <c r="F232" s="3" t="inlineStr">
        <is>
          <t>Aceite humano</t>
        </is>
      </c>
      <c r="G232" s="12" t="inlineStr">
        <is>
          <t>Gate</t>
        </is>
      </c>
      <c r="H232" s="12" t="inlineStr">
        <is>
          <t>Aceitar S21 — Implementar fork-on-insert e cadeia de evidências</t>
        </is>
      </c>
      <c r="I232" s="3" t="inlineStr">
        <is>
          <t>Revisar as dez tarefas, executar a demonstração do sprint, confrontar critérios e registrar decisão go/no-go.</t>
        </is>
      </c>
      <c r="J232" s="3" t="inlineStr">
        <is>
          <t>reports/S21/acceptance.md</t>
        </is>
      </c>
      <c r="K232" s="3" t="inlineStr">
        <is>
          <t>Arrastar célula, editar a fonte e comprovar que a Peça conserva o trecho inserido. Todas as dependências aceitas; evidências vinculadas a revisão/ambiente; nenhum blocker de integridade/segurança.</t>
        </is>
      </c>
      <c r="L232" s="3" t="inlineStr">
        <is>
          <t>SL-S21-01; SL-S21-02; SL-S21-03; SL-S21-04; SL-S21-05; SL-S21-06; SL-S21-07; SL-S21-08; SL-S21-09; SL-S21-10</t>
        </is>
      </c>
      <c r="M232" s="3" t="inlineStr">
        <is>
          <t>R02; R05; R13; R37</t>
        </is>
      </c>
      <c r="N232" s="10" t="inlineStr">
        <is>
          <t>Não iniciado</t>
        </is>
      </c>
      <c r="O232" s="3" t="inlineStr">
        <is>
          <t>P0</t>
        </is>
      </c>
      <c r="P232" s="3" t="inlineStr">
        <is>
          <t>Crítico</t>
        </is>
      </c>
      <c r="Q232" s="3" t="inlineStr">
        <is>
          <t>Obrigatória para fechar a versão aprovada</t>
        </is>
      </c>
      <c r="R232" s="10" t="inlineStr">
        <is>
          <t>Autor</t>
        </is>
      </c>
      <c r="S232" s="10" t="inlineStr"/>
      <c r="T232" s="11" t="inlineStr"/>
      <c r="U232" s="3" t="inlineStr">
        <is>
          <t>reports/S21/acceptance.md</t>
        </is>
      </c>
      <c r="V232" s="10" t="inlineStr"/>
      <c r="W232" s="10" t="inlineStr"/>
      <c r="X232" s="3">
        <f>IF(N232="Concluído",IF(AND(S232&lt;&gt;"",ISNUMBER(T232),T232&gt;0,V232&lt;&gt;"",AND(OR(X222="OK",X222="DISPENSADO"),OR(X223="OK",X223="DISPENSADO"),OR(X224="OK",X224="DISPENSADO"),OR(X225="OK",X225="DISPENSADO"),OR(X226="OK",X226="DISPENSADO"),OR(X227="OK",X227="DISPENSADO"),OR(X228="OK",X228="DISPENSADO"),OR(X229="OK",X229="DISPENSADO"),OR(X230="OK",X230="DISPENSADO"),OR(X231="OK",X231="DISPENSADO"))),"OK","REVISAR"),IF(N232="Dispensado (ADR)",IF(AND(LEFT(Q232,11)="Condicional",W232&lt;&gt;"",S232&lt;&gt;"",ISNUMBER(T232),T232&gt;0,V232&lt;&gt;""),"DISPENSADO","REVISAR"),"PENDENTE"))</f>
        <v/>
      </c>
      <c r="Y232" s="10" t="inlineStr"/>
    </row>
    <row r="233" ht="112" customHeight="1">
      <c r="A233" s="3" t="n">
        <v>232</v>
      </c>
      <c r="B233" s="3" t="inlineStr">
        <is>
          <t>SL-S22-01</t>
        </is>
      </c>
      <c r="C233" s="9" t="inlineStr">
        <is>
          <t>v0.4.0</t>
        </is>
      </c>
      <c r="D233" s="9" t="inlineStr">
        <is>
          <t>S22</t>
        </is>
      </c>
      <c r="E233" s="3" t="inlineStr">
        <is>
          <t>Peça / autoria completa</t>
        </is>
      </c>
      <c r="F233" s="3" t="inlineStr">
        <is>
          <t>Próprio</t>
        </is>
      </c>
      <c r="G233" s="3" t="inlineStr">
        <is>
          <t>Implementação</t>
        </is>
      </c>
      <c r="H233" s="3" t="inlineStr">
        <is>
          <t>Criar navegação entre Peças</t>
        </is>
      </c>
      <c r="I233" s="3" t="inlineStr">
        <is>
          <t>Listar por workspace e manter contexto de consulta à Mesa.</t>
        </is>
      </c>
      <c r="J233" s="3" t="inlineStr">
        <is>
          <t>apps/desktop/src/piece/library.ts</t>
        </is>
      </c>
      <c r="K233" s="3" t="inlineStr">
        <is>
          <t>Uma Peça não some quando seu painel é fechado ou o board é arquivado.</t>
        </is>
      </c>
      <c r="L233" s="3" t="inlineStr">
        <is>
          <t>SL-S20-GATE; SL-S21-GATE</t>
        </is>
      </c>
      <c r="M233" s="3" t="inlineStr">
        <is>
          <t>R02; R05; R07; R13; R29; R31</t>
        </is>
      </c>
      <c r="N233" s="10" t="inlineStr">
        <is>
          <t>Não iniciado</t>
        </is>
      </c>
      <c r="O233" s="3" t="inlineStr">
        <is>
          <t>P0</t>
        </is>
      </c>
      <c r="P233" s="3" t="inlineStr">
        <is>
          <t>Crítico</t>
        </is>
      </c>
      <c r="Q233" s="3" t="inlineStr">
        <is>
          <t>Obrigatória no escopo da versão</t>
        </is>
      </c>
      <c r="R233" s="10" t="inlineStr">
        <is>
          <t>Autor + agente de IA</t>
        </is>
      </c>
      <c r="S233" s="10" t="inlineStr"/>
      <c r="T233" s="11" t="inlineStr"/>
      <c r="U233" s="3" t="inlineStr">
        <is>
          <t>reports/S22/SL-S22-01.md</t>
        </is>
      </c>
      <c r="V233" s="10" t="inlineStr"/>
      <c r="W233" s="10" t="inlineStr"/>
      <c r="X233" s="3">
        <f>IF(N233="Concluído",IF(AND(S233&lt;&gt;"",ISNUMBER(T233),T233&gt;0,V233&lt;&gt;"",AND(OR(X221="OK",X221="DISPENSADO"),OR(X232="OK",X232="DISPENSADO"))),"OK","REVISAR"),IF(N233="Dispensado (ADR)",IF(AND(LEFT(Q233,11)="Condicional",W233&lt;&gt;"",S233&lt;&gt;"",ISNUMBER(T233),T233&gt;0,V233&lt;&gt;""),"DISPENSADO","REVISAR"),"PENDENTE"))</f>
        <v/>
      </c>
      <c r="Y233" s="10" t="inlineStr"/>
    </row>
    <row r="234" ht="112" customHeight="1">
      <c r="A234" s="3" t="n">
        <v>233</v>
      </c>
      <c r="B234" s="3" t="inlineStr">
        <is>
          <t>SL-S22-02</t>
        </is>
      </c>
      <c r="C234" s="9" t="inlineStr">
        <is>
          <t>v0.4.0</t>
        </is>
      </c>
      <c r="D234" s="9" t="inlineStr">
        <is>
          <t>S22</t>
        </is>
      </c>
      <c r="E234" s="3" t="inlineStr">
        <is>
          <t>Peça / autoria completa</t>
        </is>
      </c>
      <c r="F234" s="3" t="inlineStr">
        <is>
          <t>Próprio</t>
        </is>
      </c>
      <c r="G234" s="3" t="inlineStr">
        <is>
          <t>Implementação</t>
        </is>
      </c>
      <c r="H234" s="3" t="inlineStr">
        <is>
          <t>Exibir histórico semântico</t>
        </is>
      </c>
      <c r="I234" s="3" t="inlineStr">
        <is>
          <t>Mostrar edições, inserções e autoria automática/humana.</t>
        </is>
      </c>
      <c r="J234" s="3" t="inlineStr">
        <is>
          <t>apps/desktop/src/history/</t>
        </is>
      </c>
      <c r="K234" s="3" t="inlineStr">
        <is>
          <t>Cada entrada resolve revisão válida e não depende exclusivamente de audit_log.db.</t>
        </is>
      </c>
      <c r="L234" s="3" t="inlineStr">
        <is>
          <t>SL-S22-01</t>
        </is>
      </c>
      <c r="M234" s="3" t="inlineStr">
        <is>
          <t>R02; R05; R07; R13; R29; R31</t>
        </is>
      </c>
      <c r="N234" s="10" t="inlineStr">
        <is>
          <t>Não iniciado</t>
        </is>
      </c>
      <c r="O234" s="3" t="inlineStr">
        <is>
          <t>P0</t>
        </is>
      </c>
      <c r="P234" s="3" t="inlineStr">
        <is>
          <t>Crítico</t>
        </is>
      </c>
      <c r="Q234" s="3" t="inlineStr">
        <is>
          <t>Obrigatória no escopo da versão</t>
        </is>
      </c>
      <c r="R234" s="10" t="inlineStr">
        <is>
          <t>Autor + agente de IA</t>
        </is>
      </c>
      <c r="S234" s="10" t="inlineStr"/>
      <c r="T234" s="11" t="inlineStr"/>
      <c r="U234" s="3" t="inlineStr">
        <is>
          <t>reports/S22/SL-S22-02.md</t>
        </is>
      </c>
      <c r="V234" s="10" t="inlineStr"/>
      <c r="W234" s="10" t="inlineStr"/>
      <c r="X234" s="3">
        <f>IF(N234="Concluído",IF(AND(S234&lt;&gt;"",ISNUMBER(T234),T234&gt;0,V234&lt;&gt;"",AND(OR(X233="OK",X233="DISPENSADO"))),"OK","REVISAR"),IF(N234="Dispensado (ADR)",IF(AND(LEFT(Q234,11)="Condicional",W234&lt;&gt;"",S234&lt;&gt;"",ISNUMBER(T234),T234&gt;0,V234&lt;&gt;""),"DISPENSADO","REVISAR"),"PENDENTE"))</f>
        <v/>
      </c>
      <c r="Y234" s="10" t="inlineStr"/>
    </row>
    <row r="235" ht="112" customHeight="1">
      <c r="A235" s="3" t="n">
        <v>234</v>
      </c>
      <c r="B235" s="3" t="inlineStr">
        <is>
          <t>SL-S22-03</t>
        </is>
      </c>
      <c r="C235" s="9" t="inlineStr">
        <is>
          <t>v0.4.0</t>
        </is>
      </c>
      <c r="D235" s="9" t="inlineStr">
        <is>
          <t>S22</t>
        </is>
      </c>
      <c r="E235" s="3" t="inlineStr">
        <is>
          <t>Peça / autoria completa</t>
        </is>
      </c>
      <c r="F235" s="3" t="inlineStr">
        <is>
          <t>Próprio</t>
        </is>
      </c>
      <c r="G235" s="3" t="inlineStr">
        <is>
          <t>Implementação</t>
        </is>
      </c>
      <c r="H235" s="3" t="inlineStr">
        <is>
          <t>Comparar revisões editoriais</t>
        </is>
      </c>
      <c r="I235" s="3" t="inlineStr">
        <is>
          <t>Mostrar mudanças de texto/metadados e permitir restauração como nova revisão.</t>
        </is>
      </c>
      <c r="J235" s="3" t="inlineStr">
        <is>
          <t>apps/desktop/src/piece/revision-diff.ts</t>
        </is>
      </c>
      <c r="K235" s="3" t="inlineStr">
        <is>
          <t>Restaurar não apaga a linha temporal nem referências necessárias.</t>
        </is>
      </c>
      <c r="L235" s="3" t="inlineStr">
        <is>
          <t>SL-S22-02</t>
        </is>
      </c>
      <c r="M235" s="3" t="inlineStr">
        <is>
          <t>R02; R05; R07; R13; R29; R31</t>
        </is>
      </c>
      <c r="N235" s="10" t="inlineStr">
        <is>
          <t>Não iniciado</t>
        </is>
      </c>
      <c r="O235" s="3" t="inlineStr">
        <is>
          <t>P0</t>
        </is>
      </c>
      <c r="P235" s="3" t="inlineStr">
        <is>
          <t>Crítico</t>
        </is>
      </c>
      <c r="Q235" s="3" t="inlineStr">
        <is>
          <t>Obrigatória no escopo da versão</t>
        </is>
      </c>
      <c r="R235" s="10" t="inlineStr">
        <is>
          <t>Autor + agente de IA</t>
        </is>
      </c>
      <c r="S235" s="10" t="inlineStr"/>
      <c r="T235" s="11" t="inlineStr"/>
      <c r="U235" s="3" t="inlineStr">
        <is>
          <t>reports/S22/SL-S22-03.md</t>
        </is>
      </c>
      <c r="V235" s="10" t="inlineStr"/>
      <c r="W235" s="10" t="inlineStr"/>
      <c r="X235" s="3">
        <f>IF(N235="Concluído",IF(AND(S235&lt;&gt;"",ISNUMBER(T235),T235&gt;0,V235&lt;&gt;"",AND(OR(X234="OK",X234="DISPENSADO"))),"OK","REVISAR"),IF(N235="Dispensado (ADR)",IF(AND(LEFT(Q235,11)="Condicional",W235&lt;&gt;"",S235&lt;&gt;"",ISNUMBER(T235),T235&gt;0,V235&lt;&gt;""),"DISPENSADO","REVISAR"),"PENDENTE"))</f>
        <v/>
      </c>
      <c r="Y235" s="10" t="inlineStr"/>
    </row>
    <row r="236" ht="112" customHeight="1">
      <c r="A236" s="3" t="n">
        <v>235</v>
      </c>
      <c r="B236" s="3" t="inlineStr">
        <is>
          <t>SL-S22-04</t>
        </is>
      </c>
      <c r="C236" s="9" t="inlineStr">
        <is>
          <t>v0.4.0</t>
        </is>
      </c>
      <c r="D236" s="9" t="inlineStr">
        <is>
          <t>S22</t>
        </is>
      </c>
      <c r="E236" s="3" t="inlineStr">
        <is>
          <t>Peça / autoria completa</t>
        </is>
      </c>
      <c r="F236" s="3" t="inlineStr">
        <is>
          <t>Próprio</t>
        </is>
      </c>
      <c r="G236" s="3" t="inlineStr">
        <is>
          <t>Implementação</t>
        </is>
      </c>
      <c r="H236" s="3" t="inlineStr">
        <is>
          <t>Exportar Markdown portátil</t>
        </is>
      </c>
      <c r="I236" s="3" t="inlineStr">
        <is>
          <t>Resolver caminhos relativos e incluir referências/manifest conforme perfil.</t>
        </is>
      </c>
      <c r="J236" s="3" t="inlineStr">
        <is>
          <t>crates/export/src/markdown.rs</t>
        </is>
      </c>
      <c r="K236" s="3" t="inlineStr">
        <is>
          <t>Arquivo exportado abre em editor comum e preserva texto/citações suportados.</t>
        </is>
      </c>
      <c r="L236" s="3" t="inlineStr">
        <is>
          <t>SL-S22-03</t>
        </is>
      </c>
      <c r="M236" s="3" t="inlineStr">
        <is>
          <t>R02; R05; R07; R13; R29; R31</t>
        </is>
      </c>
      <c r="N236" s="10" t="inlineStr">
        <is>
          <t>Não iniciado</t>
        </is>
      </c>
      <c r="O236" s="3" t="inlineStr">
        <is>
          <t>P0</t>
        </is>
      </c>
      <c r="P236" s="3" t="inlineStr">
        <is>
          <t>Crítico</t>
        </is>
      </c>
      <c r="Q236" s="3" t="inlineStr">
        <is>
          <t>Obrigatória no escopo da versão</t>
        </is>
      </c>
      <c r="R236" s="10" t="inlineStr">
        <is>
          <t>Autor + agente de IA</t>
        </is>
      </c>
      <c r="S236" s="10" t="inlineStr"/>
      <c r="T236" s="11" t="inlineStr"/>
      <c r="U236" s="3" t="inlineStr">
        <is>
          <t>reports/S22/SL-S22-04.md</t>
        </is>
      </c>
      <c r="V236" s="10" t="inlineStr"/>
      <c r="W236" s="10" t="inlineStr"/>
      <c r="X236" s="3">
        <f>IF(N236="Concluído",IF(AND(S236&lt;&gt;"",ISNUMBER(T236),T236&gt;0,V236&lt;&gt;"",AND(OR(X235="OK",X235="DISPENSADO"))),"OK","REVISAR"),IF(N236="Dispensado (ADR)",IF(AND(LEFT(Q236,11)="Condicional",W236&lt;&gt;"",S236&lt;&gt;"",ISNUMBER(T236),T236&gt;0,V236&lt;&gt;""),"DISPENSADO","REVISAR"),"PENDENTE"))</f>
        <v/>
      </c>
      <c r="Y236" s="10" t="inlineStr"/>
    </row>
    <row r="237" ht="112" customHeight="1">
      <c r="A237" s="3" t="n">
        <v>236</v>
      </c>
      <c r="B237" s="3" t="inlineStr">
        <is>
          <t>SL-S22-05</t>
        </is>
      </c>
      <c r="C237" s="9" t="inlineStr">
        <is>
          <t>v0.4.0</t>
        </is>
      </c>
      <c r="D237" s="9" t="inlineStr">
        <is>
          <t>S22</t>
        </is>
      </c>
      <c r="E237" s="3" t="inlineStr">
        <is>
          <t>Peça / autoria completa</t>
        </is>
      </c>
      <c r="F237" s="3" t="inlineStr">
        <is>
          <t>Próprio</t>
        </is>
      </c>
      <c r="G237" s="3" t="inlineStr">
        <is>
          <t>Implementação</t>
        </is>
      </c>
      <c r="H237" s="3" t="inlineStr">
        <is>
          <t>Exportar pacote de pesquisa</t>
        </is>
      </c>
      <c r="I237" s="3" t="inlineStr">
        <is>
          <t>Agrupar Peça, fontes autorizadas e mapa de proveniência opcional.</t>
        </is>
      </c>
      <c r="J237" s="3" t="inlineStr">
        <is>
          <t>crates/export/src/research_bundle.rs</t>
        </is>
      </c>
      <c r="K237" s="3" t="inlineStr">
        <is>
          <t>Export respeita escopo e não inclui todo o Vault por conveniência.</t>
        </is>
      </c>
      <c r="L237" s="3" t="inlineStr">
        <is>
          <t>SL-S22-04</t>
        </is>
      </c>
      <c r="M237" s="3" t="inlineStr">
        <is>
          <t>R02; R05; R07; R13; R29; R31</t>
        </is>
      </c>
      <c r="N237" s="10" t="inlineStr">
        <is>
          <t>Não iniciado</t>
        </is>
      </c>
      <c r="O237" s="3" t="inlineStr">
        <is>
          <t>P0</t>
        </is>
      </c>
      <c r="P237" s="3" t="inlineStr">
        <is>
          <t>Crítico</t>
        </is>
      </c>
      <c r="Q237" s="3" t="inlineStr">
        <is>
          <t>Obrigatória no escopo da versão</t>
        </is>
      </c>
      <c r="R237" s="10" t="inlineStr">
        <is>
          <t>Autor + agente de IA</t>
        </is>
      </c>
      <c r="S237" s="10" t="inlineStr"/>
      <c r="T237" s="11" t="inlineStr"/>
      <c r="U237" s="3" t="inlineStr">
        <is>
          <t>reports/S22/SL-S22-05.md</t>
        </is>
      </c>
      <c r="V237" s="10" t="inlineStr"/>
      <c r="W237" s="10" t="inlineStr"/>
      <c r="X237" s="3">
        <f>IF(N237="Concluído",IF(AND(S237&lt;&gt;"",ISNUMBER(T237),T237&gt;0,V237&lt;&gt;"",AND(OR(X236="OK",X236="DISPENSADO"))),"OK","REVISAR"),IF(N237="Dispensado (ADR)",IF(AND(LEFT(Q237,11)="Condicional",W237&lt;&gt;"",S237&lt;&gt;"",ISNUMBER(T237),T237&gt;0,V237&lt;&gt;""),"DISPENSADO","REVISAR"),"PENDENTE"))</f>
        <v/>
      </c>
      <c r="Y237" s="10" t="inlineStr"/>
    </row>
    <row r="238" ht="112" customHeight="1">
      <c r="A238" s="3" t="n">
        <v>237</v>
      </c>
      <c r="B238" s="3" t="inlineStr">
        <is>
          <t>SL-S22-06</t>
        </is>
      </c>
      <c r="C238" s="9" t="inlineStr">
        <is>
          <t>v0.4.0</t>
        </is>
      </c>
      <c r="D238" s="9" t="inlineStr">
        <is>
          <t>S22</t>
        </is>
      </c>
      <c r="E238" s="3" t="inlineStr">
        <is>
          <t>Peça / autoria completa</t>
        </is>
      </c>
      <c r="F238" s="3" t="inlineStr">
        <is>
          <t>Próprio</t>
        </is>
      </c>
      <c r="G238" s="3" t="inlineStr">
        <is>
          <t>Implementação</t>
        </is>
      </c>
      <c r="H238" s="3" t="inlineStr">
        <is>
          <t>Criar snapshot de backup local</t>
        </is>
      </c>
      <c r="I238" s="3" t="inlineStr">
        <is>
          <t>Gerar cópia consistente com manifest e hashes sem rotina remota.</t>
        </is>
      </c>
      <c r="J238" s="3" t="inlineStr">
        <is>
          <t>crates/backup/src/snapshot.rs</t>
        </is>
      </c>
      <c r="K238" s="3" t="inlineStr">
        <is>
          <t>Snapshot valida após alterações posteriores no Vault ativo.</t>
        </is>
      </c>
      <c r="L238" s="3" t="inlineStr">
        <is>
          <t>SL-S22-05</t>
        </is>
      </c>
      <c r="M238" s="3" t="inlineStr">
        <is>
          <t>R02; R05; R07; R13; R29; R31</t>
        </is>
      </c>
      <c r="N238" s="10" t="inlineStr">
        <is>
          <t>Não iniciado</t>
        </is>
      </c>
      <c r="O238" s="3" t="inlineStr">
        <is>
          <t>P0</t>
        </is>
      </c>
      <c r="P238" s="3" t="inlineStr">
        <is>
          <t>Crítico</t>
        </is>
      </c>
      <c r="Q238" s="3" t="inlineStr">
        <is>
          <t>Obrigatória no escopo da versão</t>
        </is>
      </c>
      <c r="R238" s="10" t="inlineStr">
        <is>
          <t>Autor + agente de IA</t>
        </is>
      </c>
      <c r="S238" s="10" t="inlineStr"/>
      <c r="T238" s="11" t="inlineStr"/>
      <c r="U238" s="3" t="inlineStr">
        <is>
          <t>reports/S22/SL-S22-06.md</t>
        </is>
      </c>
      <c r="V238" s="10" t="inlineStr"/>
      <c r="W238" s="10" t="inlineStr"/>
      <c r="X238" s="3">
        <f>IF(N238="Concluído",IF(AND(S238&lt;&gt;"",ISNUMBER(T238),T238&gt;0,V238&lt;&gt;"",AND(OR(X237="OK",X237="DISPENSADO"))),"OK","REVISAR"),IF(N238="Dispensado (ADR)",IF(AND(LEFT(Q238,11)="Condicional",W238&lt;&gt;"",S238&lt;&gt;"",ISNUMBER(T238),T238&gt;0,V238&lt;&gt;""),"DISPENSADO","REVISAR"),"PENDENTE"))</f>
        <v/>
      </c>
      <c r="Y238" s="10" t="inlineStr"/>
    </row>
    <row r="239" ht="112" customHeight="1">
      <c r="A239" s="3" t="n">
        <v>238</v>
      </c>
      <c r="B239" s="3" t="inlineStr">
        <is>
          <t>SL-S22-07</t>
        </is>
      </c>
      <c r="C239" s="9" t="inlineStr">
        <is>
          <t>v0.4.0</t>
        </is>
      </c>
      <c r="D239" s="9" t="inlineStr">
        <is>
          <t>S22</t>
        </is>
      </c>
      <c r="E239" s="3" t="inlineStr">
        <is>
          <t>Peça / autoria completa</t>
        </is>
      </c>
      <c r="F239" s="3" t="inlineStr">
        <is>
          <t>Próprio</t>
        </is>
      </c>
      <c r="G239" s="3" t="inlineStr">
        <is>
          <t>Implementação</t>
        </is>
      </c>
      <c r="H239" s="3" t="inlineStr">
        <is>
          <t>Criar restauração de ensaio</t>
        </is>
      </c>
      <c r="I239" s="3" t="inlineStr">
        <is>
          <t>Restaurar em diretório novo com confirmação e validação.</t>
        </is>
      </c>
      <c r="J239" s="3" t="inlineStr">
        <is>
          <t>crates/backup/src/restore.rs</t>
        </is>
      </c>
      <c r="K239" s="3" t="inlineStr">
        <is>
          <t>Nenhum arquivo existente é sobrescrito silenciosamente.</t>
        </is>
      </c>
      <c r="L239" s="3" t="inlineStr">
        <is>
          <t>SL-S22-06</t>
        </is>
      </c>
      <c r="M239" s="3" t="inlineStr">
        <is>
          <t>R02; R05; R07; R13; R29; R31</t>
        </is>
      </c>
      <c r="N239" s="10" t="inlineStr">
        <is>
          <t>Não iniciado</t>
        </is>
      </c>
      <c r="O239" s="3" t="inlineStr">
        <is>
          <t>P0</t>
        </is>
      </c>
      <c r="P239" s="3" t="inlineStr">
        <is>
          <t>Crítico</t>
        </is>
      </c>
      <c r="Q239" s="3" t="inlineStr">
        <is>
          <t>Obrigatória no escopo da versão</t>
        </is>
      </c>
      <c r="R239" s="10" t="inlineStr">
        <is>
          <t>Autor + agente de IA</t>
        </is>
      </c>
      <c r="S239" s="10" t="inlineStr"/>
      <c r="T239" s="11" t="inlineStr"/>
      <c r="U239" s="3" t="inlineStr">
        <is>
          <t>reports/S22/SL-S22-07.md</t>
        </is>
      </c>
      <c r="V239" s="10" t="inlineStr"/>
      <c r="W239" s="10" t="inlineStr"/>
      <c r="X239" s="3">
        <f>IF(N239="Concluído",IF(AND(S239&lt;&gt;"",ISNUMBER(T239),T239&gt;0,V239&lt;&gt;"",AND(OR(X238="OK",X238="DISPENSADO"))),"OK","REVISAR"),IF(N239="Dispensado (ADR)",IF(AND(LEFT(Q239,11)="Condicional",W239&lt;&gt;"",S239&lt;&gt;"",ISNUMBER(T239),T239&gt;0,V239&lt;&gt;""),"DISPENSADO","REVISAR"),"PENDENTE"))</f>
        <v/>
      </c>
      <c r="Y239" s="10" t="inlineStr"/>
    </row>
    <row r="240" ht="112" customHeight="1">
      <c r="A240" s="3" t="n">
        <v>239</v>
      </c>
      <c r="B240" s="3" t="inlineStr">
        <is>
          <t>SL-S22-08</t>
        </is>
      </c>
      <c r="C240" s="9" t="inlineStr">
        <is>
          <t>v0.4.0</t>
        </is>
      </c>
      <c r="D240" s="9" t="inlineStr">
        <is>
          <t>S22</t>
        </is>
      </c>
      <c r="E240" s="3" t="inlineStr">
        <is>
          <t>Peça / autoria completa</t>
        </is>
      </c>
      <c r="F240" s="3" t="inlineStr">
        <is>
          <t>Próprio</t>
        </is>
      </c>
      <c r="G240" s="3" t="inlineStr">
        <is>
          <t>Teste</t>
        </is>
      </c>
      <c r="H240" s="3" t="inlineStr">
        <is>
          <t>Validar ciclo integral offline</t>
        </is>
      </c>
      <c r="I240" s="3" t="inlineStr">
        <is>
          <t>Capturar nota manual, organizar, inserir na Peça, revisar e exportar com rede bloqueada.</t>
        </is>
      </c>
      <c r="J240" s="3" t="inlineStr">
        <is>
          <t>reports/v0.4/offline-journey.md</t>
        </is>
      </c>
      <c r="K240" s="3" t="inlineStr">
        <is>
          <t>Todos os passos essenciais funcionam sem credenciais/modelos.</t>
        </is>
      </c>
      <c r="L240" s="3" t="inlineStr">
        <is>
          <t>SL-S22-07</t>
        </is>
      </c>
      <c r="M240" s="3" t="inlineStr">
        <is>
          <t>R02; R05; R07; R13; R29; R31</t>
        </is>
      </c>
      <c r="N240" s="10" t="inlineStr">
        <is>
          <t>Não iniciado</t>
        </is>
      </c>
      <c r="O240" s="3" t="inlineStr">
        <is>
          <t>P0</t>
        </is>
      </c>
      <c r="P240" s="3" t="inlineStr">
        <is>
          <t>Crítico</t>
        </is>
      </c>
      <c r="Q240" s="3" t="inlineStr">
        <is>
          <t>Obrigatória no escopo da versão</t>
        </is>
      </c>
      <c r="R240" s="10" t="inlineStr">
        <is>
          <t>Autor + agente de IA</t>
        </is>
      </c>
      <c r="S240" s="10" t="inlineStr"/>
      <c r="T240" s="11" t="inlineStr"/>
      <c r="U240" s="3" t="inlineStr">
        <is>
          <t>reports/S22/SL-S22-08.md</t>
        </is>
      </c>
      <c r="V240" s="10" t="inlineStr"/>
      <c r="W240" s="10" t="inlineStr"/>
      <c r="X240" s="3">
        <f>IF(N240="Concluído",IF(AND(S240&lt;&gt;"",ISNUMBER(T240),T240&gt;0,V240&lt;&gt;"",AND(OR(X239="OK",X239="DISPENSADO"))),"OK","REVISAR"),IF(N240="Dispensado (ADR)",IF(AND(LEFT(Q240,11)="Condicional",W240&lt;&gt;"",S240&lt;&gt;"",ISNUMBER(T240),T240&gt;0,V240&lt;&gt;""),"DISPENSADO","REVISAR"),"PENDENTE"))</f>
        <v/>
      </c>
      <c r="Y240" s="10" t="inlineStr"/>
    </row>
    <row r="241" ht="112" customHeight="1">
      <c r="A241" s="3" t="n">
        <v>240</v>
      </c>
      <c r="B241" s="3" t="inlineStr">
        <is>
          <t>SL-S22-09</t>
        </is>
      </c>
      <c r="C241" s="9" t="inlineStr">
        <is>
          <t>v0.4.0</t>
        </is>
      </c>
      <c r="D241" s="9" t="inlineStr">
        <is>
          <t>S22</t>
        </is>
      </c>
      <c r="E241" s="3" t="inlineStr">
        <is>
          <t>Peça / autoria completa</t>
        </is>
      </c>
      <c r="F241" s="3" t="inlineStr">
        <is>
          <t>Próprio</t>
        </is>
      </c>
      <c r="G241" s="3" t="inlineStr">
        <is>
          <t>Teste</t>
        </is>
      </c>
      <c r="H241" s="3" t="inlineStr">
        <is>
          <t>Executar recuperação de autoria</t>
        </is>
      </c>
      <c r="I241" s="3" t="inlineStr">
        <is>
          <t>Interromper durante inserção e restauração, depois reconstruir caches.</t>
        </is>
      </c>
      <c r="J241" s="3" t="inlineStr">
        <is>
          <t>tests/piece/recovery/</t>
        </is>
      </c>
      <c r="K241" s="3" t="inlineStr">
        <is>
          <t>Operação fica anterior ou recuperável, nunca com texto e citação divergentes sem detecção.</t>
        </is>
      </c>
      <c r="L241" s="3" t="inlineStr">
        <is>
          <t>SL-S22-08</t>
        </is>
      </c>
      <c r="M241" s="3" t="inlineStr">
        <is>
          <t>R02; R05; R07; R13; R29; R31</t>
        </is>
      </c>
      <c r="N241" s="10" t="inlineStr">
        <is>
          <t>Não iniciado</t>
        </is>
      </c>
      <c r="O241" s="3" t="inlineStr">
        <is>
          <t>P0</t>
        </is>
      </c>
      <c r="P241" s="3" t="inlineStr">
        <is>
          <t>Crítico</t>
        </is>
      </c>
      <c r="Q241" s="3" t="inlineStr">
        <is>
          <t>Obrigatória no escopo da versão</t>
        </is>
      </c>
      <c r="R241" s="10" t="inlineStr">
        <is>
          <t>Autor + agente de IA</t>
        </is>
      </c>
      <c r="S241" s="10" t="inlineStr"/>
      <c r="T241" s="11" t="inlineStr"/>
      <c r="U241" s="3" t="inlineStr">
        <is>
          <t>reports/S22/SL-S22-09.md</t>
        </is>
      </c>
      <c r="V241" s="10" t="inlineStr"/>
      <c r="W241" s="10" t="inlineStr"/>
      <c r="X241" s="3">
        <f>IF(N241="Concluído",IF(AND(S241&lt;&gt;"",ISNUMBER(T241),T241&gt;0,V241&lt;&gt;"",AND(OR(X240="OK",X240="DISPENSADO"))),"OK","REVISAR"),IF(N241="Dispensado (ADR)",IF(AND(LEFT(Q241,11)="Condicional",W241&lt;&gt;"",S241&lt;&gt;"",ISNUMBER(T241),T241&gt;0,V241&lt;&gt;""),"DISPENSADO","REVISAR"),"PENDENTE"))</f>
        <v/>
      </c>
      <c r="Y241" s="10" t="inlineStr"/>
    </row>
    <row r="242" ht="112" customHeight="1">
      <c r="A242" s="3" t="n">
        <v>241</v>
      </c>
      <c r="B242" s="3" t="inlineStr">
        <is>
          <t>SL-S22-10</t>
        </is>
      </c>
      <c r="C242" s="9" t="inlineStr">
        <is>
          <t>v0.4.0</t>
        </is>
      </c>
      <c r="D242" s="9" t="inlineStr">
        <is>
          <t>S22</t>
        </is>
      </c>
      <c r="E242" s="3" t="inlineStr">
        <is>
          <t>Peça / autoria completa</t>
        </is>
      </c>
      <c r="F242" s="3" t="inlineStr">
        <is>
          <t>Próprio</t>
        </is>
      </c>
      <c r="G242" s="3" t="inlineStr">
        <is>
          <t>Release</t>
        </is>
      </c>
      <c r="H242" s="3" t="inlineStr">
        <is>
          <t>Publicar alpha funcional local</t>
        </is>
      </c>
      <c r="I242" s="3" t="inlineStr">
        <is>
          <t>Documentar limitações e preparar pacote com evidências.</t>
        </is>
      </c>
      <c r="J242" s="3" t="inlineStr">
        <is>
          <t>release/v0.4.0/</t>
        </is>
      </c>
      <c r="K242" s="3" t="inlineStr">
        <is>
          <t>Mantenedor consegue usar o app para trabalho real sem habilitar funcionalidades ainda não seguras.</t>
        </is>
      </c>
      <c r="L242" s="3" t="inlineStr">
        <is>
          <t>SL-S22-09</t>
        </is>
      </c>
      <c r="M242" s="3" t="inlineStr">
        <is>
          <t>R02; R05; R07; R13; R29; R31</t>
        </is>
      </c>
      <c r="N242" s="10" t="inlineStr">
        <is>
          <t>Não iniciado</t>
        </is>
      </c>
      <c r="O242" s="3" t="inlineStr">
        <is>
          <t>P0</t>
        </is>
      </c>
      <c r="P242" s="3" t="inlineStr">
        <is>
          <t>Crítico</t>
        </is>
      </c>
      <c r="Q242" s="3" t="inlineStr">
        <is>
          <t>Obrigatória no escopo da versão</t>
        </is>
      </c>
      <c r="R242" s="10" t="inlineStr">
        <is>
          <t>Autor</t>
        </is>
      </c>
      <c r="S242" s="10" t="inlineStr"/>
      <c r="T242" s="11" t="inlineStr"/>
      <c r="U242" s="3" t="inlineStr">
        <is>
          <t>reports/S22/SL-S22-10.md</t>
        </is>
      </c>
      <c r="V242" s="10" t="inlineStr"/>
      <c r="W242" s="10" t="inlineStr"/>
      <c r="X242" s="3">
        <f>IF(N242="Concluído",IF(AND(S242&lt;&gt;"",ISNUMBER(T242),T242&gt;0,V242&lt;&gt;"",AND(OR(X241="OK",X241="DISPENSADO"))),"OK","REVISAR"),IF(N242="Dispensado (ADR)",IF(AND(LEFT(Q242,11)="Condicional",W242&lt;&gt;"",S242&lt;&gt;"",ISNUMBER(T242),T242&gt;0,V242&lt;&gt;""),"DISPENSADO","REVISAR"),"PENDENTE"))</f>
        <v/>
      </c>
      <c r="Y242" s="10" t="inlineStr"/>
    </row>
    <row r="243" ht="98" customHeight="1">
      <c r="A243" s="3" t="n">
        <v>242</v>
      </c>
      <c r="B243" s="12" t="inlineStr">
        <is>
          <t>SL-S22-GATE</t>
        </is>
      </c>
      <c r="C243" s="9" t="inlineStr">
        <is>
          <t>v0.4.0</t>
        </is>
      </c>
      <c r="D243" s="9" t="inlineStr">
        <is>
          <t>S22</t>
        </is>
      </c>
      <c r="E243" s="3" t="inlineStr">
        <is>
          <t>Peça / autoria completa</t>
        </is>
      </c>
      <c r="F243" s="3" t="inlineStr">
        <is>
          <t>Aceite humano</t>
        </is>
      </c>
      <c r="G243" s="12" t="inlineStr">
        <is>
          <t>Gate</t>
        </is>
      </c>
      <c r="H243" s="12" t="inlineStr">
        <is>
          <t>Aceitar S22 — Entregar produção local, histórico e exportação</t>
        </is>
      </c>
      <c r="I243" s="3" t="inlineStr">
        <is>
          <t>Revisar as dez tarefas, executar a demonstração do sprint, confrontar critérios e registrar decisão go/no-go.</t>
        </is>
      </c>
      <c r="J243" s="3" t="inlineStr">
        <is>
          <t>reports/S22/acceptance.md</t>
        </is>
      </c>
      <c r="K243" s="3" t="inlineStr">
        <is>
          <t>Produzir ensaio local, recuperar uma revisão e exportar texto com fontes. Todas as dependências aceitas; evidências vinculadas a revisão/ambiente; nenhum blocker de integridade/segurança.</t>
        </is>
      </c>
      <c r="L243" s="3" t="inlineStr">
        <is>
          <t>SL-S22-01; SL-S22-02; SL-S22-03; SL-S22-04; SL-S22-05; SL-S22-06; SL-S22-07; SL-S22-08; SL-S22-09; SL-S22-10</t>
        </is>
      </c>
      <c r="M243" s="3" t="inlineStr">
        <is>
          <t>R02; R05; R07; R13; R29; R31</t>
        </is>
      </c>
      <c r="N243" s="10" t="inlineStr">
        <is>
          <t>Não iniciado</t>
        </is>
      </c>
      <c r="O243" s="3" t="inlineStr">
        <is>
          <t>P0</t>
        </is>
      </c>
      <c r="P243" s="3" t="inlineStr">
        <is>
          <t>Crítico</t>
        </is>
      </c>
      <c r="Q243" s="3" t="inlineStr">
        <is>
          <t>Obrigatória para fechar a versão aprovada</t>
        </is>
      </c>
      <c r="R243" s="10" t="inlineStr">
        <is>
          <t>Autor</t>
        </is>
      </c>
      <c r="S243" s="10" t="inlineStr"/>
      <c r="T243" s="11" t="inlineStr"/>
      <c r="U243" s="3" t="inlineStr">
        <is>
          <t>reports/S22/acceptance.md</t>
        </is>
      </c>
      <c r="V243" s="10" t="inlineStr"/>
      <c r="W243" s="10" t="inlineStr"/>
      <c r="X243" s="3">
        <f>IF(N243="Concluído",IF(AND(S243&lt;&gt;"",ISNUMBER(T243),T243&gt;0,V243&lt;&gt;"",AND(OR(X233="OK",X233="DISPENSADO"),OR(X234="OK",X234="DISPENSADO"),OR(X235="OK",X235="DISPENSADO"),OR(X236="OK",X236="DISPENSADO"),OR(X237="OK",X237="DISPENSADO"),OR(X238="OK",X238="DISPENSADO"),OR(X239="OK",X239="DISPENSADO"),OR(X240="OK",X240="DISPENSADO"),OR(X241="OK",X241="DISPENSADO"),OR(X242="OK",X242="DISPENSADO"))),"OK","REVISAR"),IF(N243="Dispensado (ADR)",IF(AND(LEFT(Q243,11)="Condicional",W243&lt;&gt;"",S243&lt;&gt;"",ISNUMBER(T243),T243&gt;0,V243&lt;&gt;""),"DISPENSADO","REVISAR"),"PENDENTE"))</f>
        <v/>
      </c>
      <c r="Y243" s="10" t="inlineStr"/>
    </row>
    <row r="244" ht="112" customHeight="1">
      <c r="A244" s="3" t="n">
        <v>243</v>
      </c>
      <c r="B244" s="3" t="inlineStr">
        <is>
          <t>SL-S23-01</t>
        </is>
      </c>
      <c r="C244" s="9" t="inlineStr">
        <is>
          <t>v0.5.0</t>
        </is>
      </c>
      <c r="D244" s="9" t="inlineStr">
        <is>
          <t>S23</t>
        </is>
      </c>
      <c r="E244" s="3" t="inlineStr">
        <is>
          <t>JobScheduler / WorkerHost</t>
        </is>
      </c>
      <c r="F244" s="3" t="inlineStr">
        <is>
          <t>Próprio</t>
        </is>
      </c>
      <c r="G244" s="3" t="inlineStr">
        <is>
          <t>Decisão</t>
        </is>
      </c>
      <c r="H244" s="3" t="inlineStr">
        <is>
          <t>Aprovar protocolo e isolamento</t>
        </is>
      </c>
      <c r="I244" s="3" t="inlineStr">
        <is>
          <t>Resolver ADR-009; selecionar pipes/sockets/API local e escopo por tarefa.</t>
        </is>
      </c>
      <c r="J244" s="3" t="inlineStr">
        <is>
          <t>docs/adr/009-workers.md</t>
        </is>
      </c>
      <c r="K244" s="3" t="inlineStr">
        <is>
          <t>Processo auxiliar não compartilha implicitamente todos os direitos do Core.</t>
        </is>
      </c>
      <c r="L244" s="3" t="inlineStr">
        <is>
          <t>SL-S09-GATE; SL-S11-GATE; SL-S22-GATE</t>
        </is>
      </c>
      <c r="M244" s="3" t="inlineStr">
        <is>
          <t>R03; R05; R06; R08; R09</t>
        </is>
      </c>
      <c r="N244" s="10" t="inlineStr">
        <is>
          <t>Não iniciado</t>
        </is>
      </c>
      <c r="O244" s="3" t="inlineStr">
        <is>
          <t>P0</t>
        </is>
      </c>
      <c r="P244" s="3" t="inlineStr">
        <is>
          <t>Crítico</t>
        </is>
      </c>
      <c r="Q244" s="3" t="inlineStr">
        <is>
          <t>Obrigatória no escopo da versão</t>
        </is>
      </c>
      <c r="R244" s="10" t="inlineStr">
        <is>
          <t>Autor</t>
        </is>
      </c>
      <c r="S244" s="10" t="inlineStr"/>
      <c r="T244" s="11" t="inlineStr"/>
      <c r="U244" s="3" t="inlineStr">
        <is>
          <t>reports/S23/SL-S23-01.md</t>
        </is>
      </c>
      <c r="V244" s="10" t="inlineStr"/>
      <c r="W244" s="10" t="inlineStr"/>
      <c r="X244" s="3">
        <f>IF(N244="Concluído",IF(AND(S244&lt;&gt;"",ISNUMBER(T244),T244&gt;0,V244&lt;&gt;"",AND(OR(X100="OK",X100="DISPENSADO"),OR(X122="OK",X122="DISPENSADO"),OR(X243="OK",X243="DISPENSADO"))),"OK","REVISAR"),IF(N244="Dispensado (ADR)",IF(AND(LEFT(Q244,11)="Condicional",W244&lt;&gt;"",S244&lt;&gt;"",ISNUMBER(T244),T244&gt;0,V244&lt;&gt;""),"DISPENSADO","REVISAR"),"PENDENTE"))</f>
        <v/>
      </c>
      <c r="Y244" s="10" t="inlineStr"/>
    </row>
    <row r="245" ht="112" customHeight="1">
      <c r="A245" s="3" t="n">
        <v>244</v>
      </c>
      <c r="B245" s="3" t="inlineStr">
        <is>
          <t>SL-S23-02</t>
        </is>
      </c>
      <c r="C245" s="9" t="inlineStr">
        <is>
          <t>v0.5.0</t>
        </is>
      </c>
      <c r="D245" s="9" t="inlineStr">
        <is>
          <t>S23</t>
        </is>
      </c>
      <c r="E245" s="3" t="inlineStr">
        <is>
          <t>JobScheduler / WorkerHost</t>
        </is>
      </c>
      <c r="F245" s="3" t="inlineStr">
        <is>
          <t>Próprio</t>
        </is>
      </c>
      <c r="G245" s="3" t="inlineStr">
        <is>
          <t>Contrato</t>
        </is>
      </c>
      <c r="H245" s="3" t="inlineStr">
        <is>
          <t>Definir envelope de job</t>
        </is>
      </c>
      <c r="I245" s="3" t="inlineStr">
        <is>
          <t>Incluir IDs, revisão, input_refs, capacidade, orçamento, deadline e cancelamento.</t>
        </is>
      </c>
      <c r="J245" s="3" t="inlineStr">
        <is>
          <t>schemas/job-v0.json</t>
        </is>
      </c>
      <c r="K245" s="3" t="inlineStr">
        <is>
          <t>Job de revisão antiga é distinguível; payload inválido não inicia worker.</t>
        </is>
      </c>
      <c r="L245" s="3" t="inlineStr">
        <is>
          <t>SL-S23-01</t>
        </is>
      </c>
      <c r="M245" s="3" t="inlineStr">
        <is>
          <t>R03; R05; R06; R08; R09</t>
        </is>
      </c>
      <c r="N245" s="10" t="inlineStr">
        <is>
          <t>Não iniciado</t>
        </is>
      </c>
      <c r="O245" s="3" t="inlineStr">
        <is>
          <t>P0</t>
        </is>
      </c>
      <c r="P245" s="3" t="inlineStr">
        <is>
          <t>Crítico</t>
        </is>
      </c>
      <c r="Q245" s="3" t="inlineStr">
        <is>
          <t>Obrigatória no escopo da versão</t>
        </is>
      </c>
      <c r="R245" s="10" t="inlineStr">
        <is>
          <t>Autor + agente de IA</t>
        </is>
      </c>
      <c r="S245" s="10" t="inlineStr"/>
      <c r="T245" s="11" t="inlineStr"/>
      <c r="U245" s="3" t="inlineStr">
        <is>
          <t>reports/S23/SL-S23-02.md</t>
        </is>
      </c>
      <c r="V245" s="10" t="inlineStr"/>
      <c r="W245" s="10" t="inlineStr"/>
      <c r="X245" s="3">
        <f>IF(N245="Concluído",IF(AND(S245&lt;&gt;"",ISNUMBER(T245),T245&gt;0,V245&lt;&gt;"",AND(OR(X244="OK",X244="DISPENSADO"))),"OK","REVISAR"),IF(N245="Dispensado (ADR)",IF(AND(LEFT(Q245,11)="Condicional",W245&lt;&gt;"",S245&lt;&gt;"",ISNUMBER(T245),T245&gt;0,V245&lt;&gt;""),"DISPENSADO","REVISAR"),"PENDENTE"))</f>
        <v/>
      </c>
      <c r="Y245" s="10" t="inlineStr"/>
    </row>
    <row r="246" ht="112" customHeight="1">
      <c r="A246" s="3" t="n">
        <v>245</v>
      </c>
      <c r="B246" s="3" t="inlineStr">
        <is>
          <t>SL-S23-03</t>
        </is>
      </c>
      <c r="C246" s="9" t="inlineStr">
        <is>
          <t>v0.5.0</t>
        </is>
      </c>
      <c r="D246" s="9" t="inlineStr">
        <is>
          <t>S23</t>
        </is>
      </c>
      <c r="E246" s="3" t="inlineStr">
        <is>
          <t>JobScheduler / WorkerHost</t>
        </is>
      </c>
      <c r="F246" s="3" t="inlineStr">
        <is>
          <t>Próprio</t>
        </is>
      </c>
      <c r="G246" s="3" t="inlineStr">
        <is>
          <t>Implementação</t>
        </is>
      </c>
      <c r="H246" s="3" t="inlineStr">
        <is>
          <t>Implementar fila e estados</t>
        </is>
      </c>
      <c r="I246" s="3" t="inlineStr">
        <is>
          <t>Planejar pendente, em execução, retry, cancelado, bloqueado e concluído.</t>
        </is>
      </c>
      <c r="J246" s="3" t="inlineStr">
        <is>
          <t>crates/jobs/src/state.rs</t>
        </is>
      </c>
      <c r="K246" s="3" t="inlineStr">
        <is>
          <t>Reinício não duplica efeitos nem perde captura associada ao job.</t>
        </is>
      </c>
      <c r="L246" s="3" t="inlineStr">
        <is>
          <t>SL-S23-02</t>
        </is>
      </c>
      <c r="M246" s="3" t="inlineStr">
        <is>
          <t>R03; R05; R06; R08; R09</t>
        </is>
      </c>
      <c r="N246" s="10" t="inlineStr">
        <is>
          <t>Não iniciado</t>
        </is>
      </c>
      <c r="O246" s="3" t="inlineStr">
        <is>
          <t>P0</t>
        </is>
      </c>
      <c r="P246" s="3" t="inlineStr">
        <is>
          <t>Crítico</t>
        </is>
      </c>
      <c r="Q246" s="3" t="inlineStr">
        <is>
          <t>Obrigatória no escopo da versão</t>
        </is>
      </c>
      <c r="R246" s="10" t="inlineStr">
        <is>
          <t>Autor + agente de IA</t>
        </is>
      </c>
      <c r="S246" s="10" t="inlineStr"/>
      <c r="T246" s="11" t="inlineStr"/>
      <c r="U246" s="3" t="inlineStr">
        <is>
          <t>reports/S23/SL-S23-03.md</t>
        </is>
      </c>
      <c r="V246" s="10" t="inlineStr"/>
      <c r="W246" s="10" t="inlineStr"/>
      <c r="X246" s="3">
        <f>IF(N246="Concluído",IF(AND(S246&lt;&gt;"",ISNUMBER(T246),T246&gt;0,V246&lt;&gt;"",AND(OR(X245="OK",X245="DISPENSADO"))),"OK","REVISAR"),IF(N246="Dispensado (ADR)",IF(AND(LEFT(Q246,11)="Condicional",W246&lt;&gt;"",S246&lt;&gt;"",ISNUMBER(T246),T246&gt;0,V246&lt;&gt;""),"DISPENSADO","REVISAR"),"PENDENTE"))</f>
        <v/>
      </c>
      <c r="Y246" s="10" t="inlineStr"/>
    </row>
    <row r="247" ht="112" customHeight="1">
      <c r="A247" s="3" t="n">
        <v>246</v>
      </c>
      <c r="B247" s="3" t="inlineStr">
        <is>
          <t>SL-S23-04</t>
        </is>
      </c>
      <c r="C247" s="9" t="inlineStr">
        <is>
          <t>v0.5.0</t>
        </is>
      </c>
      <c r="D247" s="9" t="inlineStr">
        <is>
          <t>S23</t>
        </is>
      </c>
      <c r="E247" s="3" t="inlineStr">
        <is>
          <t>JobScheduler / WorkerHost</t>
        </is>
      </c>
      <c r="F247" s="3" t="inlineStr">
        <is>
          <t>Próprio</t>
        </is>
      </c>
      <c r="G247" s="3" t="inlineStr">
        <is>
          <t>Implementação</t>
        </is>
      </c>
      <c r="H247" s="3" t="inlineStr">
        <is>
          <t>Criar transporte local</t>
        </is>
      </c>
      <c r="I247" s="3" t="inlineStr">
        <is>
          <t>Fazer handshake, versão, limites de mensagem e identificação do processo.</t>
        </is>
      </c>
      <c r="J247" s="3" t="inlineStr">
        <is>
          <t>crates/workers/src/transport.rs</t>
        </is>
      </c>
      <c r="K247" s="3" t="inlineStr">
        <is>
          <t>Worker incompatível é recusado antes de receber dados.</t>
        </is>
      </c>
      <c r="L247" s="3" t="inlineStr">
        <is>
          <t>SL-S23-03</t>
        </is>
      </c>
      <c r="M247" s="3" t="inlineStr">
        <is>
          <t>R03; R05; R06; R08; R09</t>
        </is>
      </c>
      <c r="N247" s="10" t="inlineStr">
        <is>
          <t>Não iniciado</t>
        </is>
      </c>
      <c r="O247" s="3" t="inlineStr">
        <is>
          <t>P0</t>
        </is>
      </c>
      <c r="P247" s="3" t="inlineStr">
        <is>
          <t>Crítico</t>
        </is>
      </c>
      <c r="Q247" s="3" t="inlineStr">
        <is>
          <t>Obrigatória no escopo da versão</t>
        </is>
      </c>
      <c r="R247" s="10" t="inlineStr">
        <is>
          <t>Autor + agente de IA</t>
        </is>
      </c>
      <c r="S247" s="10" t="inlineStr"/>
      <c r="T247" s="11" t="inlineStr"/>
      <c r="U247" s="3" t="inlineStr">
        <is>
          <t>reports/S23/SL-S23-04.md</t>
        </is>
      </c>
      <c r="V247" s="10" t="inlineStr"/>
      <c r="W247" s="10" t="inlineStr"/>
      <c r="X247" s="3">
        <f>IF(N247="Concluído",IF(AND(S247&lt;&gt;"",ISNUMBER(T247),T247&gt;0,V247&lt;&gt;"",AND(OR(X246="OK",X246="DISPENSADO"))),"OK","REVISAR"),IF(N247="Dispensado (ADR)",IF(AND(LEFT(Q247,11)="Condicional",W247&lt;&gt;"",S247&lt;&gt;"",ISNUMBER(T247),T247&gt;0,V247&lt;&gt;""),"DISPENSADO","REVISAR"),"PENDENTE"))</f>
        <v/>
      </c>
      <c r="Y247" s="10" t="inlineStr"/>
    </row>
    <row r="248" ht="112" customHeight="1">
      <c r="A248" s="3" t="n">
        <v>247</v>
      </c>
      <c r="B248" s="3" t="inlineStr">
        <is>
          <t>SL-S23-05</t>
        </is>
      </c>
      <c r="C248" s="9" t="inlineStr">
        <is>
          <t>v0.5.0</t>
        </is>
      </c>
      <c r="D248" s="9" t="inlineStr">
        <is>
          <t>S23</t>
        </is>
      </c>
      <c r="E248" s="3" t="inlineStr">
        <is>
          <t>JobScheduler / WorkerHost</t>
        </is>
      </c>
      <c r="F248" s="3" t="inlineStr">
        <is>
          <t>Próprio</t>
        </is>
      </c>
      <c r="G248" s="3" t="inlineStr">
        <is>
          <t>Implementação</t>
        </is>
      </c>
      <c r="H248" s="3" t="inlineStr">
        <is>
          <t>Provisionar entradas restritas</t>
        </is>
      </c>
      <c r="I248" s="3" t="inlineStr">
        <is>
          <t>Entregar handles/cópias snapshot e diretório temporário exclusivo.</t>
        </is>
      </c>
      <c r="J248" s="3" t="inlineStr">
        <is>
          <t>crates/workers/src/inputs.rs</t>
        </is>
      </c>
      <c r="K248" s="3" t="inlineStr">
        <is>
          <t>Worker não ganha o path do Vault inteiro como atalho.</t>
        </is>
      </c>
      <c r="L248" s="3" t="inlineStr">
        <is>
          <t>SL-S23-04</t>
        </is>
      </c>
      <c r="M248" s="3" t="inlineStr">
        <is>
          <t>R03; R05; R06; R08; R09</t>
        </is>
      </c>
      <c r="N248" s="10" t="inlineStr">
        <is>
          <t>Não iniciado</t>
        </is>
      </c>
      <c r="O248" s="3" t="inlineStr">
        <is>
          <t>P0</t>
        </is>
      </c>
      <c r="P248" s="3" t="inlineStr">
        <is>
          <t>Crítico</t>
        </is>
      </c>
      <c r="Q248" s="3" t="inlineStr">
        <is>
          <t>Obrigatória no escopo da versão</t>
        </is>
      </c>
      <c r="R248" s="10" t="inlineStr">
        <is>
          <t>Autor + agente de IA</t>
        </is>
      </c>
      <c r="S248" s="10" t="inlineStr"/>
      <c r="T248" s="11" t="inlineStr"/>
      <c r="U248" s="3" t="inlineStr">
        <is>
          <t>reports/S23/SL-S23-05.md</t>
        </is>
      </c>
      <c r="V248" s="10" t="inlineStr"/>
      <c r="W248" s="10" t="inlineStr"/>
      <c r="X248" s="3">
        <f>IF(N248="Concluído",IF(AND(S248&lt;&gt;"",ISNUMBER(T248),T248&gt;0,V248&lt;&gt;"",AND(OR(X247="OK",X247="DISPENSADO"))),"OK","REVISAR"),IF(N248="Dispensado (ADR)",IF(AND(LEFT(Q248,11)="Condicional",W248&lt;&gt;"",S248&lt;&gt;"",ISNUMBER(T248),T248&gt;0,V248&lt;&gt;""),"DISPENSADO","REVISAR"),"PENDENTE"))</f>
        <v/>
      </c>
      <c r="Y248" s="10" t="inlineStr"/>
    </row>
    <row r="249" ht="112" customHeight="1">
      <c r="A249" s="3" t="n">
        <v>248</v>
      </c>
      <c r="B249" s="3" t="inlineStr">
        <is>
          <t>SL-S23-06</t>
        </is>
      </c>
      <c r="C249" s="9" t="inlineStr">
        <is>
          <t>v0.5.0</t>
        </is>
      </c>
      <c r="D249" s="9" t="inlineStr">
        <is>
          <t>S23</t>
        </is>
      </c>
      <c r="E249" s="3" t="inlineStr">
        <is>
          <t>JobScheduler / WorkerHost</t>
        </is>
      </c>
      <c r="F249" s="3" t="inlineStr">
        <is>
          <t>Próprio</t>
        </is>
      </c>
      <c r="G249" s="3" t="inlineStr">
        <is>
          <t>Implementação</t>
        </is>
      </c>
      <c r="H249" s="3" t="inlineStr">
        <is>
          <t>Validar resultados</t>
        </is>
      </c>
      <c r="I249" s="3" t="inlineStr">
        <is>
          <t>Checar esquema, hashes, revisão e destino antes de aceitar proposta.</t>
        </is>
      </c>
      <c r="J249" s="3" t="inlineStr">
        <is>
          <t>crates/workers/src/results.rs</t>
        </is>
      </c>
      <c r="K249" s="3" t="inlineStr">
        <is>
          <t>Resultado atrasado/malformado não publica conteúdo sobre revisão nova.</t>
        </is>
      </c>
      <c r="L249" s="3" t="inlineStr">
        <is>
          <t>SL-S23-05</t>
        </is>
      </c>
      <c r="M249" s="3" t="inlineStr">
        <is>
          <t>R03; R05; R06; R08; R09</t>
        </is>
      </c>
      <c r="N249" s="10" t="inlineStr">
        <is>
          <t>Não iniciado</t>
        </is>
      </c>
      <c r="O249" s="3" t="inlineStr">
        <is>
          <t>P0</t>
        </is>
      </c>
      <c r="P249" s="3" t="inlineStr">
        <is>
          <t>Crítico</t>
        </is>
      </c>
      <c r="Q249" s="3" t="inlineStr">
        <is>
          <t>Obrigatória no escopo da versão</t>
        </is>
      </c>
      <c r="R249" s="10" t="inlineStr">
        <is>
          <t>Autor + agente de IA</t>
        </is>
      </c>
      <c r="S249" s="10" t="inlineStr"/>
      <c r="T249" s="11" t="inlineStr"/>
      <c r="U249" s="3" t="inlineStr">
        <is>
          <t>reports/S23/SL-S23-06.md</t>
        </is>
      </c>
      <c r="V249" s="10" t="inlineStr"/>
      <c r="W249" s="10" t="inlineStr"/>
      <c r="X249" s="3">
        <f>IF(N249="Concluído",IF(AND(S249&lt;&gt;"",ISNUMBER(T249),T249&gt;0,V249&lt;&gt;"",AND(OR(X248="OK",X248="DISPENSADO"))),"OK","REVISAR"),IF(N249="Dispensado (ADR)",IF(AND(LEFT(Q249,11)="Condicional",W249&lt;&gt;"",S249&lt;&gt;"",ISNUMBER(T249),T249&gt;0,V249&lt;&gt;""),"DISPENSADO","REVISAR"),"PENDENTE"))</f>
        <v/>
      </c>
      <c r="Y249" s="10" t="inlineStr"/>
    </row>
    <row r="250" ht="112" customHeight="1">
      <c r="A250" s="3" t="n">
        <v>249</v>
      </c>
      <c r="B250" s="3" t="inlineStr">
        <is>
          <t>SL-S23-07</t>
        </is>
      </c>
      <c r="C250" s="9" t="inlineStr">
        <is>
          <t>v0.5.0</t>
        </is>
      </c>
      <c r="D250" s="9" t="inlineStr">
        <is>
          <t>S23</t>
        </is>
      </c>
      <c r="E250" s="3" t="inlineStr">
        <is>
          <t>JobScheduler / WorkerHost</t>
        </is>
      </c>
      <c r="F250" s="3" t="inlineStr">
        <is>
          <t>Próprio</t>
        </is>
      </c>
      <c r="G250" s="3" t="inlineStr">
        <is>
          <t>Implementação</t>
        </is>
      </c>
      <c r="H250" s="3" t="inlineStr">
        <is>
          <t>Implementar cancelamento</t>
        </is>
      </c>
      <c r="I250" s="3" t="inlineStr">
        <is>
          <t>Encerrar tarefa, limpar temporários e controlar descendentes.</t>
        </is>
      </c>
      <c r="J250" s="3" t="inlineStr">
        <is>
          <t>crates/workers/src/cancel.rs</t>
        </is>
      </c>
      <c r="K250" s="3" t="inlineStr">
        <is>
          <t>Cancelamento não apaga originais nem deixa processo órfão conhecido.</t>
        </is>
      </c>
      <c r="L250" s="3" t="inlineStr">
        <is>
          <t>SL-S23-06</t>
        </is>
      </c>
      <c r="M250" s="3" t="inlineStr">
        <is>
          <t>R03; R05; R06; R08; R09</t>
        </is>
      </c>
      <c r="N250" s="10" t="inlineStr">
        <is>
          <t>Não iniciado</t>
        </is>
      </c>
      <c r="O250" s="3" t="inlineStr">
        <is>
          <t>P0</t>
        </is>
      </c>
      <c r="P250" s="3" t="inlineStr">
        <is>
          <t>Crítico</t>
        </is>
      </c>
      <c r="Q250" s="3" t="inlineStr">
        <is>
          <t>Obrigatória no escopo da versão</t>
        </is>
      </c>
      <c r="R250" s="10" t="inlineStr">
        <is>
          <t>Autor + agente de IA</t>
        </is>
      </c>
      <c r="S250" s="10" t="inlineStr"/>
      <c r="T250" s="11" t="inlineStr"/>
      <c r="U250" s="3" t="inlineStr">
        <is>
          <t>reports/S23/SL-S23-07.md</t>
        </is>
      </c>
      <c r="V250" s="10" t="inlineStr"/>
      <c r="W250" s="10" t="inlineStr"/>
      <c r="X250" s="3">
        <f>IF(N250="Concluído",IF(AND(S250&lt;&gt;"",ISNUMBER(T250),T250&gt;0,V250&lt;&gt;"",AND(OR(X249="OK",X249="DISPENSADO"))),"OK","REVISAR"),IF(N250="Dispensado (ADR)",IF(AND(LEFT(Q250,11)="Condicional",W250&lt;&gt;"",S250&lt;&gt;"",ISNUMBER(T250),T250&gt;0,V250&lt;&gt;""),"DISPENSADO","REVISAR"),"PENDENTE"))</f>
        <v/>
      </c>
      <c r="Y250" s="10" t="inlineStr"/>
    </row>
    <row r="251" ht="112" customHeight="1">
      <c r="A251" s="3" t="n">
        <v>250</v>
      </c>
      <c r="B251" s="3" t="inlineStr">
        <is>
          <t>SL-S23-08</t>
        </is>
      </c>
      <c r="C251" s="9" t="inlineStr">
        <is>
          <t>v0.5.0</t>
        </is>
      </c>
      <c r="D251" s="9" t="inlineStr">
        <is>
          <t>S23</t>
        </is>
      </c>
      <c r="E251" s="3" t="inlineStr">
        <is>
          <t>JobScheduler / WorkerHost</t>
        </is>
      </c>
      <c r="F251" s="3" t="inlineStr">
        <is>
          <t>Próprio</t>
        </is>
      </c>
      <c r="G251" s="3" t="inlineStr">
        <is>
          <t>Implementação</t>
        </is>
      </c>
      <c r="H251" s="3" t="inlineStr">
        <is>
          <t>Implementar quotas</t>
        </is>
      </c>
      <c r="I251" s="3" t="inlineStr">
        <is>
          <t>Aplicar limites de CPU/memória/bytes/tempo por perfil e registrar consumo.</t>
        </is>
      </c>
      <c r="J251" s="3" t="inlineStr">
        <is>
          <t>crates/workers/src/budget.rs</t>
        </is>
      </c>
      <c r="K251" s="3" t="inlineStr">
        <is>
          <t>Worker que excede perfil falha de modo recuperável com causa identificada.</t>
        </is>
      </c>
      <c r="L251" s="3" t="inlineStr">
        <is>
          <t>SL-S23-07</t>
        </is>
      </c>
      <c r="M251" s="3" t="inlineStr">
        <is>
          <t>R03; R05; R06; R08; R09</t>
        </is>
      </c>
      <c r="N251" s="10" t="inlineStr">
        <is>
          <t>Não iniciado</t>
        </is>
      </c>
      <c r="O251" s="3" t="inlineStr">
        <is>
          <t>P0</t>
        </is>
      </c>
      <c r="P251" s="3" t="inlineStr">
        <is>
          <t>Crítico</t>
        </is>
      </c>
      <c r="Q251" s="3" t="inlineStr">
        <is>
          <t>Obrigatória no escopo da versão</t>
        </is>
      </c>
      <c r="R251" s="10" t="inlineStr">
        <is>
          <t>Autor + agente de IA</t>
        </is>
      </c>
      <c r="S251" s="10" t="inlineStr"/>
      <c r="T251" s="11" t="inlineStr"/>
      <c r="U251" s="3" t="inlineStr">
        <is>
          <t>reports/S23/SL-S23-08.md</t>
        </is>
      </c>
      <c r="V251" s="10" t="inlineStr"/>
      <c r="W251" s="10" t="inlineStr"/>
      <c r="X251" s="3">
        <f>IF(N251="Concluído",IF(AND(S251&lt;&gt;"",ISNUMBER(T251),T251&gt;0,V251&lt;&gt;"",AND(OR(X250="OK",X250="DISPENSADO"))),"OK","REVISAR"),IF(N251="Dispensado (ADR)",IF(AND(LEFT(Q251,11)="Condicional",W251&lt;&gt;"",S251&lt;&gt;"",ISNUMBER(T251),T251&gt;0,V251&lt;&gt;""),"DISPENSADO","REVISAR"),"PENDENTE"))</f>
        <v/>
      </c>
      <c r="Y251" s="10" t="inlineStr"/>
    </row>
    <row r="252" ht="112" customHeight="1">
      <c r="A252" s="3" t="n">
        <v>251</v>
      </c>
      <c r="B252" s="3" t="inlineStr">
        <is>
          <t>SL-S23-09</t>
        </is>
      </c>
      <c r="C252" s="9" t="inlineStr">
        <is>
          <t>v0.5.0</t>
        </is>
      </c>
      <c r="D252" s="9" t="inlineStr">
        <is>
          <t>S23</t>
        </is>
      </c>
      <c r="E252" s="3" t="inlineStr">
        <is>
          <t>JobScheduler / WorkerHost</t>
        </is>
      </c>
      <c r="F252" s="3" t="inlineStr">
        <is>
          <t>Próprio</t>
        </is>
      </c>
      <c r="G252" s="3" t="inlineStr">
        <is>
          <t>Implementação</t>
        </is>
      </c>
      <c r="H252" s="3" t="inlineStr">
        <is>
          <t>Criar backoff/idempotência</t>
        </is>
      </c>
      <c r="I252" s="3" t="inlineStr">
        <is>
          <t>Repetir apenas erros recuperáveis, com limite e chave de tarefa.</t>
        </is>
      </c>
      <c r="J252" s="3" t="inlineStr">
        <is>
          <t>crates/jobs/src/retry.rs</t>
        </is>
      </c>
      <c r="K252" s="3" t="inlineStr">
        <is>
          <t>Retry não duplica documentos, cobrança autorizada ou eventos autorais.</t>
        </is>
      </c>
      <c r="L252" s="3" t="inlineStr">
        <is>
          <t>SL-S23-08</t>
        </is>
      </c>
      <c r="M252" s="3" t="inlineStr">
        <is>
          <t>R03; R05; R06; R08; R09</t>
        </is>
      </c>
      <c r="N252" s="10" t="inlineStr">
        <is>
          <t>Não iniciado</t>
        </is>
      </c>
      <c r="O252" s="3" t="inlineStr">
        <is>
          <t>P0</t>
        </is>
      </c>
      <c r="P252" s="3" t="inlineStr">
        <is>
          <t>Crítico</t>
        </is>
      </c>
      <c r="Q252" s="3" t="inlineStr">
        <is>
          <t>Obrigatória no escopo da versão</t>
        </is>
      </c>
      <c r="R252" s="10" t="inlineStr">
        <is>
          <t>Autor + agente de IA</t>
        </is>
      </c>
      <c r="S252" s="10" t="inlineStr"/>
      <c r="T252" s="11" t="inlineStr"/>
      <c r="U252" s="3" t="inlineStr">
        <is>
          <t>reports/S23/SL-S23-09.md</t>
        </is>
      </c>
      <c r="V252" s="10" t="inlineStr"/>
      <c r="W252" s="10" t="inlineStr"/>
      <c r="X252" s="3">
        <f>IF(N252="Concluído",IF(AND(S252&lt;&gt;"",ISNUMBER(T252),T252&gt;0,V252&lt;&gt;"",AND(OR(X251="OK",X251="DISPENSADO"))),"OK","REVISAR"),IF(N252="Dispensado (ADR)",IF(AND(LEFT(Q252,11)="Condicional",W252&lt;&gt;"",S252&lt;&gt;"",ISNUMBER(T252),T252&gt;0,V252&lt;&gt;""),"DISPENSADO","REVISAR"),"PENDENTE"))</f>
        <v/>
      </c>
      <c r="Y252" s="10" t="inlineStr"/>
    </row>
    <row r="253" ht="112" customHeight="1">
      <c r="A253" s="3" t="n">
        <v>252</v>
      </c>
      <c r="B253" s="3" t="inlineStr">
        <is>
          <t>SL-S23-10</t>
        </is>
      </c>
      <c r="C253" s="9" t="inlineStr">
        <is>
          <t>v0.5.0</t>
        </is>
      </c>
      <c r="D253" s="9" t="inlineStr">
        <is>
          <t>S23</t>
        </is>
      </c>
      <c r="E253" s="3" t="inlineStr">
        <is>
          <t>JobScheduler / WorkerHost</t>
        </is>
      </c>
      <c r="F253" s="3" t="inlineStr">
        <is>
          <t>Próprio</t>
        </is>
      </c>
      <c r="G253" s="3" t="inlineStr">
        <is>
          <t>Teste</t>
        </is>
      </c>
      <c r="H253" s="3" t="inlineStr">
        <is>
          <t>Simular worker hostil</t>
        </is>
      </c>
      <c r="I253" s="3" t="inlineStr">
        <is>
          <t>Tentar path extra, resposta excessiva, processo filho e resposta fora de ordem.</t>
        </is>
      </c>
      <c r="J253" s="3" t="inlineStr">
        <is>
          <t>tests/workers/protocol/</t>
        </is>
      </c>
      <c r="K253" s="3" t="inlineStr">
        <is>
          <t>Harness demonstra rejeição e nenhuma mutação canônica não autorizada.</t>
        </is>
      </c>
      <c r="L253" s="3" t="inlineStr">
        <is>
          <t>SL-S23-09</t>
        </is>
      </c>
      <c r="M253" s="3" t="inlineStr">
        <is>
          <t>R03; R05; R06; R08; R09</t>
        </is>
      </c>
      <c r="N253" s="10" t="inlineStr">
        <is>
          <t>Não iniciado</t>
        </is>
      </c>
      <c r="O253" s="3" t="inlineStr">
        <is>
          <t>P0</t>
        </is>
      </c>
      <c r="P253" s="3" t="inlineStr">
        <is>
          <t>Crítico</t>
        </is>
      </c>
      <c r="Q253" s="3" t="inlineStr">
        <is>
          <t>Obrigatória no escopo da versão</t>
        </is>
      </c>
      <c r="R253" s="10" t="inlineStr">
        <is>
          <t>Autor + agente de IA</t>
        </is>
      </c>
      <c r="S253" s="10" t="inlineStr"/>
      <c r="T253" s="11" t="inlineStr"/>
      <c r="U253" s="3" t="inlineStr">
        <is>
          <t>reports/S23/SL-S23-10.md</t>
        </is>
      </c>
      <c r="V253" s="10" t="inlineStr"/>
      <c r="W253" s="10" t="inlineStr"/>
      <c r="X253" s="3">
        <f>IF(N253="Concluído",IF(AND(S253&lt;&gt;"",ISNUMBER(T253),T253&gt;0,V253&lt;&gt;"",AND(OR(X252="OK",X252="DISPENSADO"))),"OK","REVISAR"),IF(N253="Dispensado (ADR)",IF(AND(LEFT(Q253,11)="Condicional",W253&lt;&gt;"",S253&lt;&gt;"",ISNUMBER(T253),T253&gt;0,V253&lt;&gt;""),"DISPENSADO","REVISAR"),"PENDENTE"))</f>
        <v/>
      </c>
      <c r="Y253" s="10" t="inlineStr"/>
    </row>
    <row r="254" ht="98" customHeight="1">
      <c r="A254" s="3" t="n">
        <v>253</v>
      </c>
      <c r="B254" s="12" t="inlineStr">
        <is>
          <t>SL-S23-GATE</t>
        </is>
      </c>
      <c r="C254" s="9" t="inlineStr">
        <is>
          <t>v0.5.0</t>
        </is>
      </c>
      <c r="D254" s="9" t="inlineStr">
        <is>
          <t>S23</t>
        </is>
      </c>
      <c r="E254" s="3" t="inlineStr">
        <is>
          <t>JobScheduler / WorkerHost</t>
        </is>
      </c>
      <c r="F254" s="3" t="inlineStr">
        <is>
          <t>Aceite humano</t>
        </is>
      </c>
      <c r="G254" s="12" t="inlineStr">
        <is>
          <t>Gate</t>
        </is>
      </c>
      <c r="H254" s="12" t="inlineStr">
        <is>
          <t>Aceitar S23 — Construir protocolo e supervisor de workers</t>
        </is>
      </c>
      <c r="I254" s="3" t="inlineStr">
        <is>
          <t>Revisar as dez tarefas, executar a demonstração do sprint, confrontar critérios e registrar decisão go/no-go.</t>
        </is>
      </c>
      <c r="J254" s="3" t="inlineStr">
        <is>
          <t>reports/S23/acceptance.md</t>
        </is>
      </c>
      <c r="K254" s="3" t="inlineStr">
        <is>
          <t>Worker de teste recebe snapshot autorizado, falha/reinicia e devolve proposta validada. Todas as dependências aceitas; evidências vinculadas a revisão/ambiente; nenhum blocker de integridade/segurança.</t>
        </is>
      </c>
      <c r="L254" s="3" t="inlineStr">
        <is>
          <t>SL-S23-01; SL-S23-02; SL-S23-03; SL-S23-04; SL-S23-05; SL-S23-06; SL-S23-07; SL-S23-08; SL-S23-09; SL-S23-10</t>
        </is>
      </c>
      <c r="M254" s="3" t="inlineStr">
        <is>
          <t>R03; R05; R06; R08; R09</t>
        </is>
      </c>
      <c r="N254" s="10" t="inlineStr">
        <is>
          <t>Não iniciado</t>
        </is>
      </c>
      <c r="O254" s="3" t="inlineStr">
        <is>
          <t>P0</t>
        </is>
      </c>
      <c r="P254" s="3" t="inlineStr">
        <is>
          <t>Crítico</t>
        </is>
      </c>
      <c r="Q254" s="3" t="inlineStr">
        <is>
          <t>Obrigatória para fechar a versão aprovada</t>
        </is>
      </c>
      <c r="R254" s="10" t="inlineStr">
        <is>
          <t>Autor</t>
        </is>
      </c>
      <c r="S254" s="10" t="inlineStr"/>
      <c r="T254" s="11" t="inlineStr"/>
      <c r="U254" s="3" t="inlineStr">
        <is>
          <t>reports/S23/acceptance.md</t>
        </is>
      </c>
      <c r="V254" s="10" t="inlineStr"/>
      <c r="W254" s="10" t="inlineStr"/>
      <c r="X254" s="3">
        <f>IF(N254="Concluído",IF(AND(S254&lt;&gt;"",ISNUMBER(T254),T254&gt;0,V254&lt;&gt;"",AND(OR(X244="OK",X244="DISPENSADO"),OR(X245="OK",X245="DISPENSADO"),OR(X246="OK",X246="DISPENSADO"),OR(X247="OK",X247="DISPENSADO"),OR(X248="OK",X248="DISPENSADO"),OR(X249="OK",X249="DISPENSADO"),OR(X250="OK",X250="DISPENSADO"),OR(X251="OK",X251="DISPENSADO"),OR(X252="OK",X252="DISPENSADO"),OR(X253="OK",X253="DISPENSADO"))),"OK","REVISAR"),IF(N254="Dispensado (ADR)",IF(AND(LEFT(Q254,11)="Condicional",W254&lt;&gt;"",S254&lt;&gt;"",ISNUMBER(T254),T254&gt;0,V254&lt;&gt;""),"DISPENSADO","REVISAR"),"PENDENTE"))</f>
        <v/>
      </c>
      <c r="Y254" s="10" t="inlineStr"/>
    </row>
    <row r="255" ht="112" customHeight="1">
      <c r="A255" s="3" t="n">
        <v>254</v>
      </c>
      <c r="B255" s="3" t="inlineStr">
        <is>
          <t>SL-S24-01</t>
        </is>
      </c>
      <c r="C255" s="9" t="inlineStr">
        <is>
          <t>v0.5.0</t>
        </is>
      </c>
      <c r="D255" s="9" t="inlineStr">
        <is>
          <t>S24</t>
        </is>
      </c>
      <c r="E255" s="3" t="inlineStr">
        <is>
          <t>SandboxManager / Linux</t>
        </is>
      </c>
      <c r="F255" s="3" t="inlineStr">
        <is>
          <t>Próprio</t>
        </is>
      </c>
      <c r="G255" s="3" t="inlineStr">
        <is>
          <t>Implementação</t>
        </is>
      </c>
      <c r="H255" s="3" t="inlineStr">
        <is>
          <t>Detectar recursos do kernel</t>
        </is>
      </c>
      <c r="I255" s="3" t="inlineStr">
        <is>
          <t>Verificar Landlock/ABI, seccomp e primitives necessárias antes de lançar job.</t>
        </is>
      </c>
      <c r="J255" s="3" t="inlineStr">
        <is>
          <t>crates/sandbox/src/linux/probe.rs</t>
        </is>
      </c>
      <c r="K255" s="3" t="inlineStr">
        <is>
          <t>Ausência de recurso obrigatório bloqueia a tarefa com explicação.</t>
        </is>
      </c>
      <c r="L255" s="3" t="inlineStr">
        <is>
          <t>SL-S23-GATE</t>
        </is>
      </c>
      <c r="M255" s="3" t="inlineStr">
        <is>
          <t>R01; R06; R08; R09</t>
        </is>
      </c>
      <c r="N255" s="10" t="inlineStr">
        <is>
          <t>Não iniciado</t>
        </is>
      </c>
      <c r="O255" s="3" t="inlineStr">
        <is>
          <t>P0</t>
        </is>
      </c>
      <c r="P255" s="3" t="inlineStr">
        <is>
          <t>Crítico</t>
        </is>
      </c>
      <c r="Q255" s="3" t="inlineStr">
        <is>
          <t>Obrigatória no escopo da versão</t>
        </is>
      </c>
      <c r="R255" s="10" t="inlineStr">
        <is>
          <t>Autor + agente de IA</t>
        </is>
      </c>
      <c r="S255" s="10" t="inlineStr"/>
      <c r="T255" s="11" t="inlineStr"/>
      <c r="U255" s="3" t="inlineStr">
        <is>
          <t>reports/S24/SL-S24-01.md</t>
        </is>
      </c>
      <c r="V255" s="10" t="inlineStr"/>
      <c r="W255" s="10" t="inlineStr"/>
      <c r="X255" s="3">
        <f>IF(N255="Concluído",IF(AND(S255&lt;&gt;"",ISNUMBER(T255),T255&gt;0,V255&lt;&gt;"",AND(OR(X254="OK",X254="DISPENSADO"))),"OK","REVISAR"),IF(N255="Dispensado (ADR)",IF(AND(LEFT(Q255,11)="Condicional",W255&lt;&gt;"",S255&lt;&gt;"",ISNUMBER(T255),T255&gt;0,V255&lt;&gt;""),"DISPENSADO","REVISAR"),"PENDENTE"))</f>
        <v/>
      </c>
      <c r="Y255" s="10" t="inlineStr"/>
    </row>
    <row r="256" ht="112" customHeight="1">
      <c r="A256" s="3" t="n">
        <v>255</v>
      </c>
      <c r="B256" s="3" t="inlineStr">
        <is>
          <t>SL-S24-02</t>
        </is>
      </c>
      <c r="C256" s="9" t="inlineStr">
        <is>
          <t>v0.5.0</t>
        </is>
      </c>
      <c r="D256" s="9" t="inlineStr">
        <is>
          <t>S24</t>
        </is>
      </c>
      <c r="E256" s="3" t="inlineStr">
        <is>
          <t>SandboxManager / Linux</t>
        </is>
      </c>
      <c r="F256" s="3" t="inlineStr">
        <is>
          <t>Próprio</t>
        </is>
      </c>
      <c r="G256" s="3" t="inlineStr">
        <is>
          <t>Implementação</t>
        </is>
      </c>
      <c r="H256" s="3" t="inlineStr">
        <is>
          <t>Definir perfis mínimos</t>
        </is>
      </c>
      <c r="I256" s="3" t="inlineStr">
        <is>
          <t>Separar parser, inferência CPU/GPU e aquisição web.</t>
        </is>
      </c>
      <c r="J256" s="3" t="inlineStr">
        <is>
          <t>sandbox/linux/profiles/</t>
        </is>
      </c>
      <c r="K256" s="3" t="inlineStr">
        <is>
          <t>Um perfil com rede não é reaproveitado implicitamente para leitura de documentos privados.</t>
        </is>
      </c>
      <c r="L256" s="3" t="inlineStr">
        <is>
          <t>SL-S24-01</t>
        </is>
      </c>
      <c r="M256" s="3" t="inlineStr">
        <is>
          <t>R01; R06; R08; R09</t>
        </is>
      </c>
      <c r="N256" s="10" t="inlineStr">
        <is>
          <t>Não iniciado</t>
        </is>
      </c>
      <c r="O256" s="3" t="inlineStr">
        <is>
          <t>P0</t>
        </is>
      </c>
      <c r="P256" s="3" t="inlineStr">
        <is>
          <t>Crítico</t>
        </is>
      </c>
      <c r="Q256" s="3" t="inlineStr">
        <is>
          <t>Obrigatória no escopo da versão</t>
        </is>
      </c>
      <c r="R256" s="10" t="inlineStr">
        <is>
          <t>Autor + agente de IA</t>
        </is>
      </c>
      <c r="S256" s="10" t="inlineStr"/>
      <c r="T256" s="11" t="inlineStr"/>
      <c r="U256" s="3" t="inlineStr">
        <is>
          <t>reports/S24/SL-S24-02.md</t>
        </is>
      </c>
      <c r="V256" s="10" t="inlineStr"/>
      <c r="W256" s="10" t="inlineStr"/>
      <c r="X256" s="3">
        <f>IF(N256="Concluído",IF(AND(S256&lt;&gt;"",ISNUMBER(T256),T256&gt;0,V256&lt;&gt;"",AND(OR(X255="OK",X255="DISPENSADO"))),"OK","REVISAR"),IF(N256="Dispensado (ADR)",IF(AND(LEFT(Q256,11)="Condicional",W256&lt;&gt;"",S256&lt;&gt;"",ISNUMBER(T256),T256&gt;0,V256&lt;&gt;""),"DISPENSADO","REVISAR"),"PENDENTE"))</f>
        <v/>
      </c>
      <c r="Y256" s="10" t="inlineStr"/>
    </row>
    <row r="257" ht="112" customHeight="1">
      <c r="A257" s="3" t="n">
        <v>256</v>
      </c>
      <c r="B257" s="3" t="inlineStr">
        <is>
          <t>SL-S24-03</t>
        </is>
      </c>
      <c r="C257" s="9" t="inlineStr">
        <is>
          <t>v0.5.0</t>
        </is>
      </c>
      <c r="D257" s="9" t="inlineStr">
        <is>
          <t>S24</t>
        </is>
      </c>
      <c r="E257" s="3" t="inlineStr">
        <is>
          <t>SandboxManager / Linux</t>
        </is>
      </c>
      <c r="F257" s="3" t="inlineStr">
        <is>
          <t>Próprio</t>
        </is>
      </c>
      <c r="G257" s="3" t="inlineStr">
        <is>
          <t>Implementação</t>
        </is>
      </c>
      <c r="H257" s="3" t="inlineStr">
        <is>
          <t>Aplicar restrição filesystem</t>
        </is>
      </c>
      <c r="I257" s="3" t="inlineStr">
        <is>
          <t>Conceder leitura de entradas/modelos/libs e escrita apenas temporária.</t>
        </is>
      </c>
      <c r="J257" s="3" t="inlineStr">
        <is>
          <t>crates/sandbox/src/linux/fs.rs</t>
        </is>
      </c>
      <c r="K257" s="3" t="inlineStr">
        <is>
          <t>Diretório de outro workspace permanece inacessível mesmo com path conhecido.</t>
        </is>
      </c>
      <c r="L257" s="3" t="inlineStr">
        <is>
          <t>SL-S24-02</t>
        </is>
      </c>
      <c r="M257" s="3" t="inlineStr">
        <is>
          <t>R01; R06; R08; R09</t>
        </is>
      </c>
      <c r="N257" s="10" t="inlineStr">
        <is>
          <t>Não iniciado</t>
        </is>
      </c>
      <c r="O257" s="3" t="inlineStr">
        <is>
          <t>P0</t>
        </is>
      </c>
      <c r="P257" s="3" t="inlineStr">
        <is>
          <t>Crítico</t>
        </is>
      </c>
      <c r="Q257" s="3" t="inlineStr">
        <is>
          <t>Obrigatória no escopo da versão</t>
        </is>
      </c>
      <c r="R257" s="10" t="inlineStr">
        <is>
          <t>Autor + agente de IA</t>
        </is>
      </c>
      <c r="S257" s="10" t="inlineStr"/>
      <c r="T257" s="11" t="inlineStr"/>
      <c r="U257" s="3" t="inlineStr">
        <is>
          <t>reports/S24/SL-S24-03.md</t>
        </is>
      </c>
      <c r="V257" s="10" t="inlineStr"/>
      <c r="W257" s="10" t="inlineStr"/>
      <c r="X257" s="3">
        <f>IF(N257="Concluído",IF(AND(S257&lt;&gt;"",ISNUMBER(T257),T257&gt;0,V257&lt;&gt;"",AND(OR(X256="OK",X256="DISPENSADO"))),"OK","REVISAR"),IF(N257="Dispensado (ADR)",IF(AND(LEFT(Q257,11)="Condicional",W257&lt;&gt;"",S257&lt;&gt;"",ISNUMBER(T257),T257&gt;0,V257&lt;&gt;""),"DISPENSADO","REVISAR"),"PENDENTE"))</f>
        <v/>
      </c>
      <c r="Y257" s="10" t="inlineStr"/>
    </row>
    <row r="258" ht="112" customHeight="1">
      <c r="A258" s="3" t="n">
        <v>257</v>
      </c>
      <c r="B258" s="3" t="inlineStr">
        <is>
          <t>SL-S24-04</t>
        </is>
      </c>
      <c r="C258" s="9" t="inlineStr">
        <is>
          <t>v0.5.0</t>
        </is>
      </c>
      <c r="D258" s="9" t="inlineStr">
        <is>
          <t>S24</t>
        </is>
      </c>
      <c r="E258" s="3" t="inlineStr">
        <is>
          <t>SandboxManager / Linux</t>
        </is>
      </c>
      <c r="F258" s="3" t="inlineStr">
        <is>
          <t>Próprio</t>
        </is>
      </c>
      <c r="G258" s="3" t="inlineStr">
        <is>
          <t>Implementação</t>
        </is>
      </c>
      <c r="H258" s="3" t="inlineStr">
        <is>
          <t>Aplicar política de syscalls</t>
        </is>
      </c>
      <c r="I258" s="3" t="inlineStr">
        <is>
          <t>Reduzir superfície conforme perfil sem tratar Landlock como substituto de seccomp.</t>
        </is>
      </c>
      <c r="J258" s="3" t="inlineStr">
        <is>
          <t>crates/sandbox/src/linux/syscalls.rs</t>
        </is>
      </c>
      <c r="K258" s="3" t="inlineStr">
        <is>
          <t>Testes negativos de execução/processos e positivos das funções homologadas passam.</t>
        </is>
      </c>
      <c r="L258" s="3" t="inlineStr">
        <is>
          <t>SL-S24-03</t>
        </is>
      </c>
      <c r="M258" s="3" t="inlineStr">
        <is>
          <t>R01; R06; R08; R09</t>
        </is>
      </c>
      <c r="N258" s="10" t="inlineStr">
        <is>
          <t>Não iniciado</t>
        </is>
      </c>
      <c r="O258" s="3" t="inlineStr">
        <is>
          <t>P0</t>
        </is>
      </c>
      <c r="P258" s="3" t="inlineStr">
        <is>
          <t>Crítico</t>
        </is>
      </c>
      <c r="Q258" s="3" t="inlineStr">
        <is>
          <t>Obrigatória no escopo da versão</t>
        </is>
      </c>
      <c r="R258" s="10" t="inlineStr">
        <is>
          <t>Autor + agente de IA</t>
        </is>
      </c>
      <c r="S258" s="10" t="inlineStr"/>
      <c r="T258" s="11" t="inlineStr"/>
      <c r="U258" s="3" t="inlineStr">
        <is>
          <t>reports/S24/SL-S24-04.md</t>
        </is>
      </c>
      <c r="V258" s="10" t="inlineStr"/>
      <c r="W258" s="10" t="inlineStr"/>
      <c r="X258" s="3">
        <f>IF(N258="Concluído",IF(AND(S258&lt;&gt;"",ISNUMBER(T258),T258&gt;0,V258&lt;&gt;"",AND(OR(X257="OK",X257="DISPENSADO"))),"OK","REVISAR"),IF(N258="Dispensado (ADR)",IF(AND(LEFT(Q258,11)="Condicional",W258&lt;&gt;"",S258&lt;&gt;"",ISNUMBER(T258),T258&gt;0,V258&lt;&gt;""),"DISPENSADO","REVISAR"),"PENDENTE"))</f>
        <v/>
      </c>
      <c r="Y258" s="10" t="inlineStr"/>
    </row>
    <row r="259" ht="112" customHeight="1">
      <c r="A259" s="3" t="n">
        <v>258</v>
      </c>
      <c r="B259" s="3" t="inlineStr">
        <is>
          <t>SL-S24-05</t>
        </is>
      </c>
      <c r="C259" s="9" t="inlineStr">
        <is>
          <t>v0.5.0</t>
        </is>
      </c>
      <c r="D259" s="9" t="inlineStr">
        <is>
          <t>S24</t>
        </is>
      </c>
      <c r="E259" s="3" t="inlineStr">
        <is>
          <t>SandboxManager / Linux</t>
        </is>
      </c>
      <c r="F259" s="3" t="inlineStr">
        <is>
          <t>Próprio</t>
        </is>
      </c>
      <c r="G259" s="3" t="inlineStr">
        <is>
          <t>Implementação</t>
        </is>
      </c>
      <c r="H259" s="3" t="inlineStr">
        <is>
          <t>Conter rede</t>
        </is>
      </c>
      <c r="I259" s="3" t="inlineStr">
        <is>
          <t>Bloquear saída onde exigido e definir fronteira de broker para casos autorizados.</t>
        </is>
      </c>
      <c r="J259" s="3" t="inlineStr">
        <is>
          <t>crates/sandbox/src/linux/network.rs</t>
        </is>
      </c>
      <c r="K259" s="3" t="inlineStr">
        <is>
          <t>Worker local não pode contornar EgressPolicy usando sua própria biblioteca HTTP.</t>
        </is>
      </c>
      <c r="L259" s="3" t="inlineStr">
        <is>
          <t>SL-S24-04</t>
        </is>
      </c>
      <c r="M259" s="3" t="inlineStr">
        <is>
          <t>R01; R06; R08; R09</t>
        </is>
      </c>
      <c r="N259" s="10" t="inlineStr">
        <is>
          <t>Não iniciado</t>
        </is>
      </c>
      <c r="O259" s="3" t="inlineStr">
        <is>
          <t>P0</t>
        </is>
      </c>
      <c r="P259" s="3" t="inlineStr">
        <is>
          <t>Crítico</t>
        </is>
      </c>
      <c r="Q259" s="3" t="inlineStr">
        <is>
          <t>Obrigatória no escopo da versão</t>
        </is>
      </c>
      <c r="R259" s="10" t="inlineStr">
        <is>
          <t>Autor + agente de IA</t>
        </is>
      </c>
      <c r="S259" s="10" t="inlineStr"/>
      <c r="T259" s="11" t="inlineStr"/>
      <c r="U259" s="3" t="inlineStr">
        <is>
          <t>reports/S24/SL-S24-05.md</t>
        </is>
      </c>
      <c r="V259" s="10" t="inlineStr"/>
      <c r="W259" s="10" t="inlineStr"/>
      <c r="X259" s="3">
        <f>IF(N259="Concluído",IF(AND(S259&lt;&gt;"",ISNUMBER(T259),T259&gt;0,V259&lt;&gt;"",AND(OR(X258="OK",X258="DISPENSADO"))),"OK","REVISAR"),IF(N259="Dispensado (ADR)",IF(AND(LEFT(Q259,11)="Condicional",W259&lt;&gt;"",S259&lt;&gt;"",ISNUMBER(T259),T259&gt;0,V259&lt;&gt;""),"DISPENSADO","REVISAR"),"PENDENTE"))</f>
        <v/>
      </c>
      <c r="Y259" s="10" t="inlineStr"/>
    </row>
    <row r="260" ht="112" customHeight="1">
      <c r="A260" s="3" t="n">
        <v>259</v>
      </c>
      <c r="B260" s="3" t="inlineStr">
        <is>
          <t>SL-S24-06</t>
        </is>
      </c>
      <c r="C260" s="9" t="inlineStr">
        <is>
          <t>v0.5.0</t>
        </is>
      </c>
      <c r="D260" s="9" t="inlineStr">
        <is>
          <t>S24</t>
        </is>
      </c>
      <c r="E260" s="3" t="inlineStr">
        <is>
          <t>SandboxManager / Linux</t>
        </is>
      </c>
      <c r="F260" s="3" t="inlineStr">
        <is>
          <t>Próprio</t>
        </is>
      </c>
      <c r="G260" s="3" t="inlineStr">
        <is>
          <t>Implementação</t>
        </is>
      </c>
      <c r="H260" s="3" t="inlineStr">
        <is>
          <t>Controlar árvore de processos</t>
        </is>
      </c>
      <c r="I260" s="3" t="inlineStr">
        <is>
          <t>Registrar descendentes, limites e encerramento em falha.</t>
        </is>
      </c>
      <c r="J260" s="3" t="inlineStr">
        <is>
          <t>crates/sandbox/src/linux/process_tree.rs</t>
        </is>
      </c>
      <c r="K260" s="3" t="inlineStr">
        <is>
          <t>Matar tarefa também encerra filhos autorizados e não concede criação ilimitada.</t>
        </is>
      </c>
      <c r="L260" s="3" t="inlineStr">
        <is>
          <t>SL-S24-05</t>
        </is>
      </c>
      <c r="M260" s="3" t="inlineStr">
        <is>
          <t>R01; R06; R08; R09</t>
        </is>
      </c>
      <c r="N260" s="10" t="inlineStr">
        <is>
          <t>Não iniciado</t>
        </is>
      </c>
      <c r="O260" s="3" t="inlineStr">
        <is>
          <t>P0</t>
        </is>
      </c>
      <c r="P260" s="3" t="inlineStr">
        <is>
          <t>Crítico</t>
        </is>
      </c>
      <c r="Q260" s="3" t="inlineStr">
        <is>
          <t>Obrigatória no escopo da versão</t>
        </is>
      </c>
      <c r="R260" s="10" t="inlineStr">
        <is>
          <t>Autor + agente de IA</t>
        </is>
      </c>
      <c r="S260" s="10" t="inlineStr"/>
      <c r="T260" s="11" t="inlineStr"/>
      <c r="U260" s="3" t="inlineStr">
        <is>
          <t>reports/S24/SL-S24-06.md</t>
        </is>
      </c>
      <c r="V260" s="10" t="inlineStr"/>
      <c r="W260" s="10" t="inlineStr"/>
      <c r="X260" s="3">
        <f>IF(N260="Concluído",IF(AND(S260&lt;&gt;"",ISNUMBER(T260),T260&gt;0,V260&lt;&gt;"",AND(OR(X259="OK",X259="DISPENSADO"))),"OK","REVISAR"),IF(N260="Dispensado (ADR)",IF(AND(LEFT(Q260,11)="Condicional",W260&lt;&gt;"",S260&lt;&gt;"",ISNUMBER(T260),T260&gt;0,V260&lt;&gt;""),"DISPENSADO","REVISAR"),"PENDENTE"))</f>
        <v/>
      </c>
      <c r="Y260" s="10" t="inlineStr"/>
    </row>
    <row r="261" ht="112" customHeight="1">
      <c r="A261" s="3" t="n">
        <v>260</v>
      </c>
      <c r="B261" s="3" t="inlineStr">
        <is>
          <t>SL-S24-07</t>
        </is>
      </c>
      <c r="C261" s="9" t="inlineStr">
        <is>
          <t>v0.5.0</t>
        </is>
      </c>
      <c r="D261" s="9" t="inlineStr">
        <is>
          <t>S24</t>
        </is>
      </c>
      <c r="E261" s="3" t="inlineStr">
        <is>
          <t>SandboxManager / Linux</t>
        </is>
      </c>
      <c r="F261" s="3" t="inlineStr">
        <is>
          <t>Próprio</t>
        </is>
      </c>
      <c r="G261" s="3" t="inlineStr">
        <is>
          <t>Implementação</t>
        </is>
      </c>
      <c r="H261" s="3" t="inlineStr">
        <is>
          <t>Tratar GPU explicitamente</t>
        </is>
      </c>
      <c r="I261" s="3" t="inlineStr">
        <is>
          <t>Documentar devices/driver necessários e negar acessos não necessários.</t>
        </is>
      </c>
      <c r="J261" s="3" t="inlineStr">
        <is>
          <t>sandbox/linux/gpu-capabilities.yaml</t>
        </is>
      </c>
      <c r="K261" s="3" t="inlineStr">
        <is>
          <t>Perfil CPU funciona sem GPU; perfil GPU não recebe filesystem geral por conveniência.</t>
        </is>
      </c>
      <c r="L261" s="3" t="inlineStr">
        <is>
          <t>SL-S24-06</t>
        </is>
      </c>
      <c r="M261" s="3" t="inlineStr">
        <is>
          <t>R01; R06; R08; R09</t>
        </is>
      </c>
      <c r="N261" s="10" t="inlineStr">
        <is>
          <t>Não iniciado</t>
        </is>
      </c>
      <c r="O261" s="3" t="inlineStr">
        <is>
          <t>P0</t>
        </is>
      </c>
      <c r="P261" s="3" t="inlineStr">
        <is>
          <t>Crítico</t>
        </is>
      </c>
      <c r="Q261" s="3" t="inlineStr">
        <is>
          <t>Obrigatória no escopo da versão</t>
        </is>
      </c>
      <c r="R261" s="10" t="inlineStr">
        <is>
          <t>Autor + agente de IA</t>
        </is>
      </c>
      <c r="S261" s="10" t="inlineStr"/>
      <c r="T261" s="11" t="inlineStr"/>
      <c r="U261" s="3" t="inlineStr">
        <is>
          <t>reports/S24/SL-S24-07.md</t>
        </is>
      </c>
      <c r="V261" s="10" t="inlineStr"/>
      <c r="W261" s="10" t="inlineStr"/>
      <c r="X261" s="3">
        <f>IF(N261="Concluído",IF(AND(S261&lt;&gt;"",ISNUMBER(T261),T261&gt;0,V261&lt;&gt;"",AND(OR(X260="OK",X260="DISPENSADO"))),"OK","REVISAR"),IF(N261="Dispensado (ADR)",IF(AND(LEFT(Q261,11)="Condicional",W261&lt;&gt;"",S261&lt;&gt;"",ISNUMBER(T261),T261&gt;0,V261&lt;&gt;""),"DISPENSADO","REVISAR"),"PENDENTE"))</f>
        <v/>
      </c>
      <c r="Y261" s="10" t="inlineStr"/>
    </row>
    <row r="262" ht="112" customHeight="1">
      <c r="A262" s="3" t="n">
        <v>261</v>
      </c>
      <c r="B262" s="3" t="inlineStr">
        <is>
          <t>SL-S24-08</t>
        </is>
      </c>
      <c r="C262" s="9" t="inlineStr">
        <is>
          <t>v0.5.0</t>
        </is>
      </c>
      <c r="D262" s="9" t="inlineStr">
        <is>
          <t>S24</t>
        </is>
      </c>
      <c r="E262" s="3" t="inlineStr">
        <is>
          <t>SandboxManager / Linux</t>
        </is>
      </c>
      <c r="F262" s="3" t="inlineStr">
        <is>
          <t>Próprio</t>
        </is>
      </c>
      <c r="G262" s="3" t="inlineStr">
        <is>
          <t>Teste</t>
        </is>
      </c>
      <c r="H262" s="3" t="inlineStr">
        <is>
          <t>Exercitar escapes de filesystem</t>
        </is>
      </c>
      <c r="I262" s="3" t="inlineStr">
        <is>
          <t>Cobrir links, mounts disponíveis, descriptors herdados e temporários compartilhados.</t>
        </is>
      </c>
      <c r="J262" s="3" t="inlineStr">
        <is>
          <t>tests/sandbox/linux/fs/</t>
        </is>
      </c>
      <c r="K262" s="3" t="inlineStr">
        <is>
          <t>Sentinelas externas não são lidas/escritas; limitações são declaradas e bloqueadoras quando aplicável.</t>
        </is>
      </c>
      <c r="L262" s="3" t="inlineStr">
        <is>
          <t>SL-S24-07</t>
        </is>
      </c>
      <c r="M262" s="3" t="inlineStr">
        <is>
          <t>R01; R06; R08; R09</t>
        </is>
      </c>
      <c r="N262" s="10" t="inlineStr">
        <is>
          <t>Não iniciado</t>
        </is>
      </c>
      <c r="O262" s="3" t="inlineStr">
        <is>
          <t>P0</t>
        </is>
      </c>
      <c r="P262" s="3" t="inlineStr">
        <is>
          <t>Crítico</t>
        </is>
      </c>
      <c r="Q262" s="3" t="inlineStr">
        <is>
          <t>Obrigatória no escopo da versão</t>
        </is>
      </c>
      <c r="R262" s="10" t="inlineStr">
        <is>
          <t>Autor + agente de IA</t>
        </is>
      </c>
      <c r="S262" s="10" t="inlineStr"/>
      <c r="T262" s="11" t="inlineStr"/>
      <c r="U262" s="3" t="inlineStr">
        <is>
          <t>reports/S24/SL-S24-08.md</t>
        </is>
      </c>
      <c r="V262" s="10" t="inlineStr"/>
      <c r="W262" s="10" t="inlineStr"/>
      <c r="X262" s="3">
        <f>IF(N262="Concluído",IF(AND(S262&lt;&gt;"",ISNUMBER(T262),T262&gt;0,V262&lt;&gt;"",AND(OR(X261="OK",X261="DISPENSADO"))),"OK","REVISAR"),IF(N262="Dispensado (ADR)",IF(AND(LEFT(Q262,11)="Condicional",W262&lt;&gt;"",S262&lt;&gt;"",ISNUMBER(T262),T262&gt;0,V262&lt;&gt;""),"DISPENSADO","REVISAR"),"PENDENTE"))</f>
        <v/>
      </c>
      <c r="Y262" s="10" t="inlineStr"/>
    </row>
    <row r="263" ht="112" customHeight="1">
      <c r="A263" s="3" t="n">
        <v>262</v>
      </c>
      <c r="B263" s="3" t="inlineStr">
        <is>
          <t>SL-S24-09</t>
        </is>
      </c>
      <c r="C263" s="9" t="inlineStr">
        <is>
          <t>v0.5.0</t>
        </is>
      </c>
      <c r="D263" s="9" t="inlineStr">
        <is>
          <t>S24</t>
        </is>
      </c>
      <c r="E263" s="3" t="inlineStr">
        <is>
          <t>SandboxManager / Linux</t>
        </is>
      </c>
      <c r="F263" s="3" t="inlineStr">
        <is>
          <t>Próprio</t>
        </is>
      </c>
      <c r="G263" s="3" t="inlineStr">
        <is>
          <t>Teste</t>
        </is>
      </c>
      <c r="H263" s="3" t="inlineStr">
        <is>
          <t>Exercitar rede/filhos</t>
        </is>
      </c>
      <c r="I263" s="3" t="inlineStr">
        <is>
          <t>Usar serviços de teste locais e processo descendente tentando sair do perfil.</t>
        </is>
      </c>
      <c r="J263" s="3" t="inlineStr">
        <is>
          <t>tests/sandbox/linux/process-network/</t>
        </is>
      </c>
      <c r="K263" s="3" t="inlineStr">
        <is>
          <t>Proibições também valem para descendentes e não só para o PID inicial.</t>
        </is>
      </c>
      <c r="L263" s="3" t="inlineStr">
        <is>
          <t>SL-S24-08</t>
        </is>
      </c>
      <c r="M263" s="3" t="inlineStr">
        <is>
          <t>R01; R06; R08; R09</t>
        </is>
      </c>
      <c r="N263" s="10" t="inlineStr">
        <is>
          <t>Não iniciado</t>
        </is>
      </c>
      <c r="O263" s="3" t="inlineStr">
        <is>
          <t>P0</t>
        </is>
      </c>
      <c r="P263" s="3" t="inlineStr">
        <is>
          <t>Crítico</t>
        </is>
      </c>
      <c r="Q263" s="3" t="inlineStr">
        <is>
          <t>Obrigatória no escopo da versão</t>
        </is>
      </c>
      <c r="R263" s="10" t="inlineStr">
        <is>
          <t>Autor + agente de IA</t>
        </is>
      </c>
      <c r="S263" s="10" t="inlineStr"/>
      <c r="T263" s="11" t="inlineStr"/>
      <c r="U263" s="3" t="inlineStr">
        <is>
          <t>reports/S24/SL-S24-09.md</t>
        </is>
      </c>
      <c r="V263" s="10" t="inlineStr"/>
      <c r="W263" s="10" t="inlineStr"/>
      <c r="X263" s="3">
        <f>IF(N263="Concluído",IF(AND(S263&lt;&gt;"",ISNUMBER(T263),T263&gt;0,V263&lt;&gt;"",AND(OR(X262="OK",X262="DISPENSADO"))),"OK","REVISAR"),IF(N263="Dispensado (ADR)",IF(AND(LEFT(Q263,11)="Condicional",W263&lt;&gt;"",S263&lt;&gt;"",ISNUMBER(T263),T263&gt;0,V263&lt;&gt;""),"DISPENSADO","REVISAR"),"PENDENTE"))</f>
        <v/>
      </c>
      <c r="Y263" s="10" t="inlineStr"/>
    </row>
    <row r="264" ht="112" customHeight="1">
      <c r="A264" s="3" t="n">
        <v>263</v>
      </c>
      <c r="B264" s="3" t="inlineStr">
        <is>
          <t>SL-S24-10</t>
        </is>
      </c>
      <c r="C264" s="9" t="inlineStr">
        <is>
          <t>v0.5.0</t>
        </is>
      </c>
      <c r="D264" s="9" t="inlineStr">
        <is>
          <t>S24</t>
        </is>
      </c>
      <c r="E264" s="3" t="inlineStr">
        <is>
          <t>SandboxManager / Linux</t>
        </is>
      </c>
      <c r="F264" s="3" t="inlineStr">
        <is>
          <t>Próprio</t>
        </is>
      </c>
      <c r="G264" s="3" t="inlineStr">
        <is>
          <t>Documentação</t>
        </is>
      </c>
      <c r="H264" s="3" t="inlineStr">
        <is>
          <t>Publicar matriz Linux</t>
        </is>
      </c>
      <c r="I264" s="3" t="inlineStr">
        <is>
          <t>Registrar kernel/arquitetura, capacidades e comportamentos desabilitados.</t>
        </is>
      </c>
      <c r="J264" s="3" t="inlineStr">
        <is>
          <t>reports/sandbox/linux-matrix.md</t>
        </is>
      </c>
      <c r="K264" s="3" t="inlineStr">
        <is>
          <t>Não se alega proteção idêntica em kernels não testados.</t>
        </is>
      </c>
      <c r="L264" s="3" t="inlineStr">
        <is>
          <t>SL-S24-09</t>
        </is>
      </c>
      <c r="M264" s="3" t="inlineStr">
        <is>
          <t>R01; R06; R08; R09</t>
        </is>
      </c>
      <c r="N264" s="10" t="inlineStr">
        <is>
          <t>Não iniciado</t>
        </is>
      </c>
      <c r="O264" s="3" t="inlineStr">
        <is>
          <t>P0</t>
        </is>
      </c>
      <c r="P264" s="3" t="inlineStr">
        <is>
          <t>Crítico</t>
        </is>
      </c>
      <c r="Q264" s="3" t="inlineStr">
        <is>
          <t>Obrigatória no escopo da versão</t>
        </is>
      </c>
      <c r="R264" s="10" t="inlineStr">
        <is>
          <t>Autor + agente de IA</t>
        </is>
      </c>
      <c r="S264" s="10" t="inlineStr"/>
      <c r="T264" s="11" t="inlineStr"/>
      <c r="U264" s="3" t="inlineStr">
        <is>
          <t>reports/S24/SL-S24-10.md</t>
        </is>
      </c>
      <c r="V264" s="10" t="inlineStr"/>
      <c r="W264" s="10" t="inlineStr"/>
      <c r="X264" s="3">
        <f>IF(N264="Concluído",IF(AND(S264&lt;&gt;"",ISNUMBER(T264),T264&gt;0,V264&lt;&gt;"",AND(OR(X263="OK",X263="DISPENSADO"))),"OK","REVISAR"),IF(N264="Dispensado (ADR)",IF(AND(LEFT(Q264,11)="Condicional",W264&lt;&gt;"",S264&lt;&gt;"",ISNUMBER(T264),T264&gt;0,V264&lt;&gt;""),"DISPENSADO","REVISAR"),"PENDENTE"))</f>
        <v/>
      </c>
      <c r="Y264" s="10" t="inlineStr"/>
    </row>
    <row r="265" ht="98" customHeight="1">
      <c r="A265" s="3" t="n">
        <v>264</v>
      </c>
      <c r="B265" s="12" t="inlineStr">
        <is>
          <t>SL-S24-GATE</t>
        </is>
      </c>
      <c r="C265" s="9" t="inlineStr">
        <is>
          <t>v0.5.0</t>
        </is>
      </c>
      <c r="D265" s="9" t="inlineStr">
        <is>
          <t>S24</t>
        </is>
      </c>
      <c r="E265" s="3" t="inlineStr">
        <is>
          <t>SandboxManager / Linux</t>
        </is>
      </c>
      <c r="F265" s="3" t="inlineStr">
        <is>
          <t>Aceite humano</t>
        </is>
      </c>
      <c r="G265" s="12" t="inlineStr">
        <is>
          <t>Gate</t>
        </is>
      </c>
      <c r="H265" s="12" t="inlineStr">
        <is>
          <t>Aceitar S24 — Implementar perfis de sandbox Linux</t>
        </is>
      </c>
      <c r="I265" s="3" t="inlineStr">
        <is>
          <t>Revisar as dez tarefas, executar a demonstração do sprint, confrontar critérios e registrar decisão go/no-go.</t>
        </is>
      </c>
      <c r="J265" s="3" t="inlineStr">
        <is>
          <t>reports/S24/acceptance.md</t>
        </is>
      </c>
      <c r="K265" s="3" t="inlineStr">
        <is>
          <t>Worker sem rede não lê sentinela fora do escopo nem cria conexão externa. Todas as dependências aceitas; evidências vinculadas a revisão/ambiente; nenhum blocker de integridade/segurança.</t>
        </is>
      </c>
      <c r="L265" s="3" t="inlineStr">
        <is>
          <t>SL-S24-01; SL-S24-02; SL-S24-03; SL-S24-04; SL-S24-05; SL-S24-06; SL-S24-07; SL-S24-08; SL-S24-09; SL-S24-10</t>
        </is>
      </c>
      <c r="M265" s="3" t="inlineStr">
        <is>
          <t>R01; R06; R08; R09</t>
        </is>
      </c>
      <c r="N265" s="10" t="inlineStr">
        <is>
          <t>Não iniciado</t>
        </is>
      </c>
      <c r="O265" s="3" t="inlineStr">
        <is>
          <t>P0</t>
        </is>
      </c>
      <c r="P265" s="3" t="inlineStr">
        <is>
          <t>Crítico</t>
        </is>
      </c>
      <c r="Q265" s="3" t="inlineStr">
        <is>
          <t>Obrigatória para fechar a versão aprovada</t>
        </is>
      </c>
      <c r="R265" s="10" t="inlineStr">
        <is>
          <t>Autor</t>
        </is>
      </c>
      <c r="S265" s="10" t="inlineStr"/>
      <c r="T265" s="11" t="inlineStr"/>
      <c r="U265" s="3" t="inlineStr">
        <is>
          <t>reports/S24/acceptance.md</t>
        </is>
      </c>
      <c r="V265" s="10" t="inlineStr"/>
      <c r="W265" s="10" t="inlineStr"/>
      <c r="X265" s="3">
        <f>IF(N265="Concluído",IF(AND(S265&lt;&gt;"",ISNUMBER(T265),T265&gt;0,V265&lt;&gt;"",AND(OR(X255="OK",X255="DISPENSADO"),OR(X256="OK",X256="DISPENSADO"),OR(X257="OK",X257="DISPENSADO"),OR(X258="OK",X258="DISPENSADO"),OR(X259="OK",X259="DISPENSADO"),OR(X260="OK",X260="DISPENSADO"),OR(X261="OK",X261="DISPENSADO"),OR(X262="OK",X262="DISPENSADO"),OR(X263="OK",X263="DISPENSADO"),OR(X264="OK",X264="DISPENSADO"))),"OK","REVISAR"),IF(N265="Dispensado (ADR)",IF(AND(LEFT(Q265,11)="Condicional",W265&lt;&gt;"",S265&lt;&gt;"",ISNUMBER(T265),T265&gt;0,V265&lt;&gt;""),"DISPENSADO","REVISAR"),"PENDENTE"))</f>
        <v/>
      </c>
      <c r="Y265" s="10" t="inlineStr"/>
    </row>
    <row r="266" ht="112" customHeight="1">
      <c r="A266" s="3" t="n">
        <v>265</v>
      </c>
      <c r="B266" s="3" t="inlineStr">
        <is>
          <t>SL-S25-01</t>
        </is>
      </c>
      <c r="C266" s="9" t="inlineStr">
        <is>
          <t>v0.5.0</t>
        </is>
      </c>
      <c r="D266" s="9" t="inlineStr">
        <is>
          <t>S25</t>
        </is>
      </c>
      <c r="E266" s="3" t="inlineStr">
        <is>
          <t>SandboxManager / macOS</t>
        </is>
      </c>
      <c r="F266" s="3" t="inlineStr">
        <is>
          <t>Próprio</t>
        </is>
      </c>
      <c r="G266" s="3" t="inlineStr">
        <is>
          <t>Spike</t>
        </is>
      </c>
      <c r="H266" s="3" t="inlineStr">
        <is>
          <t>Escolher mecanismo suportável</t>
        </is>
      </c>
      <c r="I266" s="3" t="inlineStr">
        <is>
          <t>Avaliar App Sandbox/helpers/XPC, assinatura e distribuição; registrar limites.</t>
        </is>
      </c>
      <c r="J266" s="3" t="inlineStr">
        <is>
          <t>docs/security/macos-sandbox-design.md</t>
        </is>
      </c>
      <c r="K266" s="3" t="inlineStr">
        <is>
          <t>Decisão não apresenta sandbox-exec deprecated como solução garantida de longo prazo.</t>
        </is>
      </c>
      <c r="L266" s="3" t="inlineStr">
        <is>
          <t>SL-S23-GATE</t>
        </is>
      </c>
      <c r="M266" s="3" t="inlineStr">
        <is>
          <t>R01; R06; R08; R09; R30</t>
        </is>
      </c>
      <c r="N266" s="10" t="inlineStr">
        <is>
          <t>Não iniciado</t>
        </is>
      </c>
      <c r="O266" s="3" t="inlineStr">
        <is>
          <t>P0</t>
        </is>
      </c>
      <c r="P266" s="3" t="inlineStr">
        <is>
          <t>Crítico</t>
        </is>
      </c>
      <c r="Q266" s="3" t="inlineStr">
        <is>
          <t>Obrigatória no escopo da versão</t>
        </is>
      </c>
      <c r="R266" s="10" t="inlineStr">
        <is>
          <t>Autor + agente de IA</t>
        </is>
      </c>
      <c r="S266" s="10" t="inlineStr"/>
      <c r="T266" s="11" t="inlineStr"/>
      <c r="U266" s="3" t="inlineStr">
        <is>
          <t>reports/S25/SL-S25-01.md</t>
        </is>
      </c>
      <c r="V266" s="10" t="inlineStr"/>
      <c r="W266" s="10" t="inlineStr"/>
      <c r="X266" s="3">
        <f>IF(N266="Concluído",IF(AND(S266&lt;&gt;"",ISNUMBER(T266),T266&gt;0,V266&lt;&gt;"",AND(OR(X254="OK",X254="DISPENSADO"))),"OK","REVISAR"),IF(N266="Dispensado (ADR)",IF(AND(LEFT(Q266,11)="Condicional",W266&lt;&gt;"",S266&lt;&gt;"",ISNUMBER(T266),T266&gt;0,V266&lt;&gt;""),"DISPENSADO","REVISAR"),"PENDENTE"))</f>
        <v/>
      </c>
      <c r="Y266" s="10" t="inlineStr"/>
    </row>
    <row r="267" ht="112" customHeight="1">
      <c r="A267" s="3" t="n">
        <v>266</v>
      </c>
      <c r="B267" s="3" t="inlineStr">
        <is>
          <t>SL-S25-02</t>
        </is>
      </c>
      <c r="C267" s="9" t="inlineStr">
        <is>
          <t>v0.5.0</t>
        </is>
      </c>
      <c r="D267" s="9" t="inlineStr">
        <is>
          <t>S25</t>
        </is>
      </c>
      <c r="E267" s="3" t="inlineStr">
        <is>
          <t>SandboxManager / macOS</t>
        </is>
      </c>
      <c r="F267" s="3" t="inlineStr">
        <is>
          <t>Próprio</t>
        </is>
      </c>
      <c r="G267" s="3" t="inlineStr">
        <is>
          <t>Implementação</t>
        </is>
      </c>
      <c r="H267" s="3" t="inlineStr">
        <is>
          <t>Criar helper restrito</t>
        </is>
      </c>
      <c r="I267" s="3" t="inlineStr">
        <is>
          <t>Separar runtime confiável da comunicação com processos de parsing/inferência.</t>
        </is>
      </c>
      <c r="J267" s="3" t="inlineStr">
        <is>
          <t>platform/macos/helper/</t>
        </is>
      </c>
      <c r="K267" s="3" t="inlineStr">
        <is>
          <t>Helper não herda toda a API Tauri nem credenciais do processo principal.</t>
        </is>
      </c>
      <c r="L267" s="3" t="inlineStr">
        <is>
          <t>SL-S25-01</t>
        </is>
      </c>
      <c r="M267" s="3" t="inlineStr">
        <is>
          <t>R01; R06; R08; R09; R30</t>
        </is>
      </c>
      <c r="N267" s="10" t="inlineStr">
        <is>
          <t>Não iniciado</t>
        </is>
      </c>
      <c r="O267" s="3" t="inlineStr">
        <is>
          <t>P0</t>
        </is>
      </c>
      <c r="P267" s="3" t="inlineStr">
        <is>
          <t>Crítico</t>
        </is>
      </c>
      <c r="Q267" s="3" t="inlineStr">
        <is>
          <t>Obrigatória no escopo da versão</t>
        </is>
      </c>
      <c r="R267" s="10" t="inlineStr">
        <is>
          <t>Autor + agente de IA</t>
        </is>
      </c>
      <c r="S267" s="10" t="inlineStr"/>
      <c r="T267" s="11" t="inlineStr"/>
      <c r="U267" s="3" t="inlineStr">
        <is>
          <t>reports/S25/SL-S25-02.md</t>
        </is>
      </c>
      <c r="V267" s="10" t="inlineStr"/>
      <c r="W267" s="10" t="inlineStr"/>
      <c r="X267" s="3">
        <f>IF(N267="Concluído",IF(AND(S267&lt;&gt;"",ISNUMBER(T267),T267&gt;0,V267&lt;&gt;"",AND(OR(X266="OK",X266="DISPENSADO"))),"OK","REVISAR"),IF(N267="Dispensado (ADR)",IF(AND(LEFT(Q267,11)="Condicional",W267&lt;&gt;"",S267&lt;&gt;"",ISNUMBER(T267),T267&gt;0,V267&lt;&gt;""),"DISPENSADO","REVISAR"),"PENDENTE"))</f>
        <v/>
      </c>
      <c r="Y267" s="10" t="inlineStr"/>
    </row>
    <row r="268" ht="112" customHeight="1">
      <c r="A268" s="3" t="n">
        <v>267</v>
      </c>
      <c r="B268" s="3" t="inlineStr">
        <is>
          <t>SL-S25-03</t>
        </is>
      </c>
      <c r="C268" s="9" t="inlineStr">
        <is>
          <t>v0.5.0</t>
        </is>
      </c>
      <c r="D268" s="9" t="inlineStr">
        <is>
          <t>S25</t>
        </is>
      </c>
      <c r="E268" s="3" t="inlineStr">
        <is>
          <t>SandboxManager / macOS</t>
        </is>
      </c>
      <c r="F268" s="3" t="inlineStr">
        <is>
          <t>Próprio</t>
        </is>
      </c>
      <c r="G268" s="3" t="inlineStr">
        <is>
          <t>Implementação</t>
        </is>
      </c>
      <c r="H268" s="3" t="inlineStr">
        <is>
          <t>Definir entitlements</t>
        </is>
      </c>
      <c r="I268" s="3" t="inlineStr">
        <is>
          <t>Conceder somente arquivos, comunicação e recursos necessários por perfil.</t>
        </is>
      </c>
      <c r="J268" s="3" t="inlineStr">
        <is>
          <t>platform/macos/entitlements/</t>
        </is>
      </c>
      <c r="K268" s="3" t="inlineStr">
        <is>
          <t>Diferenças parser/inferência/web são visíveis e revisadas.</t>
        </is>
      </c>
      <c r="L268" s="3" t="inlineStr">
        <is>
          <t>SL-S25-02</t>
        </is>
      </c>
      <c r="M268" s="3" t="inlineStr">
        <is>
          <t>R01; R06; R08; R09; R30</t>
        </is>
      </c>
      <c r="N268" s="10" t="inlineStr">
        <is>
          <t>Não iniciado</t>
        </is>
      </c>
      <c r="O268" s="3" t="inlineStr">
        <is>
          <t>P0</t>
        </is>
      </c>
      <c r="P268" s="3" t="inlineStr">
        <is>
          <t>Crítico</t>
        </is>
      </c>
      <c r="Q268" s="3" t="inlineStr">
        <is>
          <t>Obrigatória no escopo da versão</t>
        </is>
      </c>
      <c r="R268" s="10" t="inlineStr">
        <is>
          <t>Autor + agente de IA</t>
        </is>
      </c>
      <c r="S268" s="10" t="inlineStr"/>
      <c r="T268" s="11" t="inlineStr"/>
      <c r="U268" s="3" t="inlineStr">
        <is>
          <t>reports/S25/SL-S25-03.md</t>
        </is>
      </c>
      <c r="V268" s="10" t="inlineStr"/>
      <c r="W268" s="10" t="inlineStr"/>
      <c r="X268" s="3">
        <f>IF(N268="Concluído",IF(AND(S268&lt;&gt;"",ISNUMBER(T268),T268&gt;0,V268&lt;&gt;"",AND(OR(X267="OK",X267="DISPENSADO"))),"OK","REVISAR"),IF(N268="Dispensado (ADR)",IF(AND(LEFT(Q268,11)="Condicional",W268&lt;&gt;"",S268&lt;&gt;"",ISNUMBER(T268),T268&gt;0,V268&lt;&gt;""),"DISPENSADO","REVISAR"),"PENDENTE"))</f>
        <v/>
      </c>
      <c r="Y268" s="10" t="inlineStr"/>
    </row>
    <row r="269" ht="112" customHeight="1">
      <c r="A269" s="3" t="n">
        <v>268</v>
      </c>
      <c r="B269" s="3" t="inlineStr">
        <is>
          <t>SL-S25-04</t>
        </is>
      </c>
      <c r="C269" s="9" t="inlineStr">
        <is>
          <t>v0.5.0</t>
        </is>
      </c>
      <c r="D269" s="9" t="inlineStr">
        <is>
          <t>S25</t>
        </is>
      </c>
      <c r="E269" s="3" t="inlineStr">
        <is>
          <t>SandboxManager / macOS</t>
        </is>
      </c>
      <c r="F269" s="3" t="inlineStr">
        <is>
          <t>Próprio</t>
        </is>
      </c>
      <c r="G269" s="3" t="inlineStr">
        <is>
          <t>Implementação</t>
        </is>
      </c>
      <c r="H269" s="3" t="inlineStr">
        <is>
          <t>Transferir entradas por capability</t>
        </is>
      </c>
      <c r="I269" s="3" t="inlineStr">
        <is>
          <t>Resolver documentos selecionados e fontes aprovadas por broker.</t>
        </is>
      </c>
      <c r="J269" s="3" t="inlineStr">
        <is>
          <t>crates/sandbox/src/macos/inputs.rs</t>
        </is>
      </c>
      <c r="K269" s="3" t="inlineStr">
        <is>
          <t>Escopo do workspace não vira acesso geral ao diretório pessoal.</t>
        </is>
      </c>
      <c r="L269" s="3" t="inlineStr">
        <is>
          <t>SL-S25-03</t>
        </is>
      </c>
      <c r="M269" s="3" t="inlineStr">
        <is>
          <t>R01; R06; R08; R09; R30</t>
        </is>
      </c>
      <c r="N269" s="10" t="inlineStr">
        <is>
          <t>Não iniciado</t>
        </is>
      </c>
      <c r="O269" s="3" t="inlineStr">
        <is>
          <t>P0</t>
        </is>
      </c>
      <c r="P269" s="3" t="inlineStr">
        <is>
          <t>Crítico</t>
        </is>
      </c>
      <c r="Q269" s="3" t="inlineStr">
        <is>
          <t>Obrigatória no escopo da versão</t>
        </is>
      </c>
      <c r="R269" s="10" t="inlineStr">
        <is>
          <t>Autor + agente de IA</t>
        </is>
      </c>
      <c r="S269" s="10" t="inlineStr"/>
      <c r="T269" s="11" t="inlineStr"/>
      <c r="U269" s="3" t="inlineStr">
        <is>
          <t>reports/S25/SL-S25-04.md</t>
        </is>
      </c>
      <c r="V269" s="10" t="inlineStr"/>
      <c r="W269" s="10" t="inlineStr"/>
      <c r="X269" s="3">
        <f>IF(N269="Concluído",IF(AND(S269&lt;&gt;"",ISNUMBER(T269),T269&gt;0,V269&lt;&gt;"",AND(OR(X268="OK",X268="DISPENSADO"))),"OK","REVISAR"),IF(N269="Dispensado (ADR)",IF(AND(LEFT(Q269,11)="Condicional",W269&lt;&gt;"",S269&lt;&gt;"",ISNUMBER(T269),T269&gt;0,V269&lt;&gt;""),"DISPENSADO","REVISAR"),"PENDENTE"))</f>
        <v/>
      </c>
      <c r="Y269" s="10" t="inlineStr"/>
    </row>
    <row r="270" ht="112" customHeight="1">
      <c r="A270" s="3" t="n">
        <v>269</v>
      </c>
      <c r="B270" s="3" t="inlineStr">
        <is>
          <t>SL-S25-05</t>
        </is>
      </c>
      <c r="C270" s="9" t="inlineStr">
        <is>
          <t>v0.5.0</t>
        </is>
      </c>
      <c r="D270" s="9" t="inlineStr">
        <is>
          <t>S25</t>
        </is>
      </c>
      <c r="E270" s="3" t="inlineStr">
        <is>
          <t>SandboxManager / macOS</t>
        </is>
      </c>
      <c r="F270" s="3" t="inlineStr">
        <is>
          <t>Próprio</t>
        </is>
      </c>
      <c r="G270" s="3" t="inlineStr">
        <is>
          <t>Implementação</t>
        </is>
      </c>
      <c r="H270" s="3" t="inlineStr">
        <is>
          <t>Restringir saídas temporárias</t>
        </is>
      </c>
      <c r="I270" s="3" t="inlineStr">
        <is>
          <t>Criar diretórios por tarefa e validar resultados no Core.</t>
        </is>
      </c>
      <c r="J270" s="3" t="inlineStr">
        <is>
          <t>crates/sandbox/src/macos/output.rs</t>
        </is>
      </c>
      <c r="K270" s="3" t="inlineStr">
        <is>
          <t>Worker não publica diretamente nos arquivos Markdown canônicos.</t>
        </is>
      </c>
      <c r="L270" s="3" t="inlineStr">
        <is>
          <t>SL-S25-04</t>
        </is>
      </c>
      <c r="M270" s="3" t="inlineStr">
        <is>
          <t>R01; R06; R08; R09; R30</t>
        </is>
      </c>
      <c r="N270" s="10" t="inlineStr">
        <is>
          <t>Não iniciado</t>
        </is>
      </c>
      <c r="O270" s="3" t="inlineStr">
        <is>
          <t>P0</t>
        </is>
      </c>
      <c r="P270" s="3" t="inlineStr">
        <is>
          <t>Crítico</t>
        </is>
      </c>
      <c r="Q270" s="3" t="inlineStr">
        <is>
          <t>Obrigatória no escopo da versão</t>
        </is>
      </c>
      <c r="R270" s="10" t="inlineStr">
        <is>
          <t>Autor + agente de IA</t>
        </is>
      </c>
      <c r="S270" s="10" t="inlineStr"/>
      <c r="T270" s="11" t="inlineStr"/>
      <c r="U270" s="3" t="inlineStr">
        <is>
          <t>reports/S25/SL-S25-05.md</t>
        </is>
      </c>
      <c r="V270" s="10" t="inlineStr"/>
      <c r="W270" s="10" t="inlineStr"/>
      <c r="X270" s="3">
        <f>IF(N270="Concluído",IF(AND(S270&lt;&gt;"",ISNUMBER(T270),T270&gt;0,V270&lt;&gt;"",AND(OR(X269="OK",X269="DISPENSADO"))),"OK","REVISAR"),IF(N270="Dispensado (ADR)",IF(AND(LEFT(Q270,11)="Condicional",W270&lt;&gt;"",S270&lt;&gt;"",ISNUMBER(T270),T270&gt;0,V270&lt;&gt;""),"DISPENSADO","REVISAR"),"PENDENTE"))</f>
        <v/>
      </c>
      <c r="Y270" s="10" t="inlineStr"/>
    </row>
    <row r="271" ht="112" customHeight="1">
      <c r="A271" s="3" t="n">
        <v>270</v>
      </c>
      <c r="B271" s="3" t="inlineStr">
        <is>
          <t>SL-S25-06</t>
        </is>
      </c>
      <c r="C271" s="9" t="inlineStr">
        <is>
          <t>v0.5.0</t>
        </is>
      </c>
      <c r="D271" s="9" t="inlineStr">
        <is>
          <t>S25</t>
        </is>
      </c>
      <c r="E271" s="3" t="inlineStr">
        <is>
          <t>SandboxManager / macOS</t>
        </is>
      </c>
      <c r="F271" s="3" t="inlineStr">
        <is>
          <t>Próprio</t>
        </is>
      </c>
      <c r="G271" s="3" t="inlineStr">
        <is>
          <t>Implementação</t>
        </is>
      </c>
      <c r="H271" s="3" t="inlineStr">
        <is>
          <t>Controlar rede/IPC</t>
        </is>
      </c>
      <c r="I271" s="3" t="inlineStr">
        <is>
          <t>Separar conexão necessária ao runtime local de saída externa.</t>
        </is>
      </c>
      <c r="J271" s="3" t="inlineStr">
        <is>
          <t>platform/macos/policies/</t>
        </is>
      </c>
      <c r="K271" s="3" t="inlineStr">
        <is>
          <t>Modelo local não possui capacidade de egress externo não autorizada.</t>
        </is>
      </c>
      <c r="L271" s="3" t="inlineStr">
        <is>
          <t>SL-S25-05</t>
        </is>
      </c>
      <c r="M271" s="3" t="inlineStr">
        <is>
          <t>R01; R06; R08; R09; R30</t>
        </is>
      </c>
      <c r="N271" s="10" t="inlineStr">
        <is>
          <t>Não iniciado</t>
        </is>
      </c>
      <c r="O271" s="3" t="inlineStr">
        <is>
          <t>P0</t>
        </is>
      </c>
      <c r="P271" s="3" t="inlineStr">
        <is>
          <t>Crítico</t>
        </is>
      </c>
      <c r="Q271" s="3" t="inlineStr">
        <is>
          <t>Obrigatória no escopo da versão</t>
        </is>
      </c>
      <c r="R271" s="10" t="inlineStr">
        <is>
          <t>Autor + agente de IA</t>
        </is>
      </c>
      <c r="S271" s="10" t="inlineStr"/>
      <c r="T271" s="11" t="inlineStr"/>
      <c r="U271" s="3" t="inlineStr">
        <is>
          <t>reports/S25/SL-S25-06.md</t>
        </is>
      </c>
      <c r="V271" s="10" t="inlineStr"/>
      <c r="W271" s="10" t="inlineStr"/>
      <c r="X271" s="3">
        <f>IF(N271="Concluído",IF(AND(S271&lt;&gt;"",ISNUMBER(T271),T271&gt;0,V271&lt;&gt;"",AND(OR(X270="OK",X270="DISPENSADO"))),"OK","REVISAR"),IF(N271="Dispensado (ADR)",IF(AND(LEFT(Q271,11)="Condicional",W271&lt;&gt;"",S271&lt;&gt;"",ISNUMBER(T271),T271&gt;0,V271&lt;&gt;""),"DISPENSADO","REVISAR"),"PENDENTE"))</f>
        <v/>
      </c>
      <c r="Y271" s="10" t="inlineStr"/>
    </row>
    <row r="272" ht="112" customHeight="1">
      <c r="A272" s="3" t="n">
        <v>271</v>
      </c>
      <c r="B272" s="3" t="inlineStr">
        <is>
          <t>SL-S25-07</t>
        </is>
      </c>
      <c r="C272" s="9" t="inlineStr">
        <is>
          <t>v0.5.0</t>
        </is>
      </c>
      <c r="D272" s="9" t="inlineStr">
        <is>
          <t>S25</t>
        </is>
      </c>
      <c r="E272" s="3" t="inlineStr">
        <is>
          <t>SandboxManager / macOS</t>
        </is>
      </c>
      <c r="F272" s="3" t="inlineStr">
        <is>
          <t>Próprio</t>
        </is>
      </c>
      <c r="G272" s="3" t="inlineStr">
        <is>
          <t>Implementação</t>
        </is>
      </c>
      <c r="H272" s="3" t="inlineStr">
        <is>
          <t>Integrar ciclo de vida</t>
        </is>
      </c>
      <c r="I272" s="3" t="inlineStr">
        <is>
          <t>Cancelar helpers e backends com cleanup e accounting.</t>
        </is>
      </c>
      <c r="J272" s="3" t="inlineStr">
        <is>
          <t>crates/sandbox/src/macos/lifecycle.rs</t>
        </is>
      </c>
      <c r="K272" s="3" t="inlineStr">
        <is>
          <t>Encerramento da tarefa não deixa runtime invisível consumindo recursos.</t>
        </is>
      </c>
      <c r="L272" s="3" t="inlineStr">
        <is>
          <t>SL-S25-06</t>
        </is>
      </c>
      <c r="M272" s="3" t="inlineStr">
        <is>
          <t>R01; R06; R08; R09; R30</t>
        </is>
      </c>
      <c r="N272" s="10" t="inlineStr">
        <is>
          <t>Não iniciado</t>
        </is>
      </c>
      <c r="O272" s="3" t="inlineStr">
        <is>
          <t>P0</t>
        </is>
      </c>
      <c r="P272" s="3" t="inlineStr">
        <is>
          <t>Crítico</t>
        </is>
      </c>
      <c r="Q272" s="3" t="inlineStr">
        <is>
          <t>Obrigatória no escopo da versão</t>
        </is>
      </c>
      <c r="R272" s="10" t="inlineStr">
        <is>
          <t>Autor + agente de IA</t>
        </is>
      </c>
      <c r="S272" s="10" t="inlineStr"/>
      <c r="T272" s="11" t="inlineStr"/>
      <c r="U272" s="3" t="inlineStr">
        <is>
          <t>reports/S25/SL-S25-07.md</t>
        </is>
      </c>
      <c r="V272" s="10" t="inlineStr"/>
      <c r="W272" s="10" t="inlineStr"/>
      <c r="X272" s="3">
        <f>IF(N272="Concluído",IF(AND(S272&lt;&gt;"",ISNUMBER(T272),T272&gt;0,V272&lt;&gt;"",AND(OR(X271="OK",X271="DISPENSADO"))),"OK","REVISAR"),IF(N272="Dispensado (ADR)",IF(AND(LEFT(Q272,11)="Condicional",W272&lt;&gt;"",S272&lt;&gt;"",ISNUMBER(T272),T272&gt;0,V272&lt;&gt;""),"DISPENSADO","REVISAR"),"PENDENTE"))</f>
        <v/>
      </c>
      <c r="Y272" s="10" t="inlineStr"/>
    </row>
    <row r="273" ht="112" customHeight="1">
      <c r="A273" s="3" t="n">
        <v>272</v>
      </c>
      <c r="B273" s="3" t="inlineStr">
        <is>
          <t>SL-S25-08</t>
        </is>
      </c>
      <c r="C273" s="9" t="inlineStr">
        <is>
          <t>v0.5.0</t>
        </is>
      </c>
      <c r="D273" s="9" t="inlineStr">
        <is>
          <t>S25</t>
        </is>
      </c>
      <c r="E273" s="3" t="inlineStr">
        <is>
          <t>SandboxManager / macOS</t>
        </is>
      </c>
      <c r="F273" s="3" t="inlineStr">
        <is>
          <t>Próprio</t>
        </is>
      </c>
      <c r="G273" s="3" t="inlineStr">
        <is>
          <t>Teste</t>
        </is>
      </c>
      <c r="H273" s="3" t="inlineStr">
        <is>
          <t>Executar adversarial nativo</t>
        </is>
      </c>
      <c r="I273" s="3" t="inlineStr">
        <is>
          <t>Testar leitura/gravação externa, redes e propagação a filhos.</t>
        </is>
      </c>
      <c r="J273" s="3" t="inlineStr">
        <is>
          <t>tests/sandbox/macos/</t>
        </is>
      </c>
      <c r="K273" s="3" t="inlineStr">
        <is>
          <t>Aprovação requer resultado em macOS real/ambiente válido, não apenas compilação cross-target.</t>
        </is>
      </c>
      <c r="L273" s="3" t="inlineStr">
        <is>
          <t>SL-S25-07</t>
        </is>
      </c>
      <c r="M273" s="3" t="inlineStr">
        <is>
          <t>R01; R06; R08; R09; R30</t>
        </is>
      </c>
      <c r="N273" s="10" t="inlineStr">
        <is>
          <t>Não iniciado</t>
        </is>
      </c>
      <c r="O273" s="3" t="inlineStr">
        <is>
          <t>P0</t>
        </is>
      </c>
      <c r="P273" s="3" t="inlineStr">
        <is>
          <t>Crítico</t>
        </is>
      </c>
      <c r="Q273" s="3" t="inlineStr">
        <is>
          <t>Obrigatória no escopo da versão</t>
        </is>
      </c>
      <c r="R273" s="10" t="inlineStr">
        <is>
          <t>Autor + agente de IA</t>
        </is>
      </c>
      <c r="S273" s="10" t="inlineStr"/>
      <c r="T273" s="11" t="inlineStr"/>
      <c r="U273" s="3" t="inlineStr">
        <is>
          <t>reports/S25/SL-S25-08.md</t>
        </is>
      </c>
      <c r="V273" s="10" t="inlineStr"/>
      <c r="W273" s="10" t="inlineStr"/>
      <c r="X273" s="3">
        <f>IF(N273="Concluído",IF(AND(S273&lt;&gt;"",ISNUMBER(T273),T273&gt;0,V273&lt;&gt;"",AND(OR(X272="OK",X272="DISPENSADO"))),"OK","REVISAR"),IF(N273="Dispensado (ADR)",IF(AND(LEFT(Q273,11)="Condicional",W273&lt;&gt;"",S273&lt;&gt;"",ISNUMBER(T273),T273&gt;0,V273&lt;&gt;""),"DISPENSADO","REVISAR"),"PENDENTE"))</f>
        <v/>
      </c>
      <c r="Y273" s="10" t="inlineStr"/>
    </row>
    <row r="274" ht="112" customHeight="1">
      <c r="A274" s="3" t="n">
        <v>273</v>
      </c>
      <c r="B274" s="3" t="inlineStr">
        <is>
          <t>SL-S25-09</t>
        </is>
      </c>
      <c r="C274" s="9" t="inlineStr">
        <is>
          <t>v0.5.0</t>
        </is>
      </c>
      <c r="D274" s="9" t="inlineStr">
        <is>
          <t>S25</t>
        </is>
      </c>
      <c r="E274" s="3" t="inlineStr">
        <is>
          <t>SandboxManager / macOS</t>
        </is>
      </c>
      <c r="F274" s="3" t="inlineStr">
        <is>
          <t>Próprio</t>
        </is>
      </c>
      <c r="G274" s="3" t="inlineStr">
        <is>
          <t>Teste</t>
        </is>
      </c>
      <c r="H274" s="3" t="inlineStr">
        <is>
          <t>Validar empacotamento de helper</t>
        </is>
      </c>
      <c r="I274" s="3" t="inlineStr">
        <is>
          <t>Testar assinatura/permissões e máquina sem ferramentas de desenvolvimento.</t>
        </is>
      </c>
      <c r="J274" s="3" t="inlineStr">
        <is>
          <t>reports/sandbox/macos-package.md</t>
        </is>
      </c>
      <c r="K274" s="3" t="inlineStr">
        <is>
          <t>Pacote inicia com privilégios documentados e não exige desativar proteção do sistema silenciosamente.</t>
        </is>
      </c>
      <c r="L274" s="3" t="inlineStr">
        <is>
          <t>SL-S25-08</t>
        </is>
      </c>
      <c r="M274" s="3" t="inlineStr">
        <is>
          <t>R01; R06; R08; R09; R30</t>
        </is>
      </c>
      <c r="N274" s="10" t="inlineStr">
        <is>
          <t>Não iniciado</t>
        </is>
      </c>
      <c r="O274" s="3" t="inlineStr">
        <is>
          <t>P0</t>
        </is>
      </c>
      <c r="P274" s="3" t="inlineStr">
        <is>
          <t>Crítico</t>
        </is>
      </c>
      <c r="Q274" s="3" t="inlineStr">
        <is>
          <t>Obrigatória no escopo da versão</t>
        </is>
      </c>
      <c r="R274" s="10" t="inlineStr">
        <is>
          <t>Autor + agente de IA</t>
        </is>
      </c>
      <c r="S274" s="10" t="inlineStr"/>
      <c r="T274" s="11" t="inlineStr"/>
      <c r="U274" s="3" t="inlineStr">
        <is>
          <t>reports/S25/SL-S25-09.md</t>
        </is>
      </c>
      <c r="V274" s="10" t="inlineStr"/>
      <c r="W274" s="10" t="inlineStr"/>
      <c r="X274" s="3">
        <f>IF(N274="Concluído",IF(AND(S274&lt;&gt;"",ISNUMBER(T274),T274&gt;0,V274&lt;&gt;"",AND(OR(X273="OK",X273="DISPENSADO"))),"OK","REVISAR"),IF(N274="Dispensado (ADR)",IF(AND(LEFT(Q274,11)="Condicional",W274&lt;&gt;"",S274&lt;&gt;"",ISNUMBER(T274),T274&gt;0,V274&lt;&gt;""),"DISPENSADO","REVISAR"),"PENDENTE"))</f>
        <v/>
      </c>
      <c r="Y274" s="10" t="inlineStr"/>
    </row>
    <row r="275" ht="112" customHeight="1">
      <c r="A275" s="3" t="n">
        <v>274</v>
      </c>
      <c r="B275" s="3" t="inlineStr">
        <is>
          <t>SL-S25-10</t>
        </is>
      </c>
      <c r="C275" s="9" t="inlineStr">
        <is>
          <t>v0.5.0</t>
        </is>
      </c>
      <c r="D275" s="9" t="inlineStr">
        <is>
          <t>S25</t>
        </is>
      </c>
      <c r="E275" s="3" t="inlineStr">
        <is>
          <t>SandboxManager / macOS</t>
        </is>
      </c>
      <c r="F275" s="3" t="inlineStr">
        <is>
          <t>Próprio</t>
        </is>
      </c>
      <c r="G275" s="3" t="inlineStr">
        <is>
          <t>Decisão</t>
        </is>
      </c>
      <c r="H275" s="3" t="inlineStr">
        <is>
          <t>Registrar suporte e bloqueios</t>
        </is>
      </c>
      <c r="I275" s="3" t="inlineStr">
        <is>
          <t>Distinguir capacidades homologadas por arquitetura e perfil.</t>
        </is>
      </c>
      <c r="J275" s="3" t="inlineStr">
        <is>
          <t>reports/sandbox/macos-matrix.md</t>
        </is>
      </c>
      <c r="K275" s="3" t="inlineStr">
        <is>
          <t>Função não confinada permanece desabilitada até solução ou revisão explícita de requisito.</t>
        </is>
      </c>
      <c r="L275" s="3" t="inlineStr">
        <is>
          <t>SL-S25-09</t>
        </is>
      </c>
      <c r="M275" s="3" t="inlineStr">
        <is>
          <t>R01; R06; R08; R09; R30</t>
        </is>
      </c>
      <c r="N275" s="10" t="inlineStr">
        <is>
          <t>Não iniciado</t>
        </is>
      </c>
      <c r="O275" s="3" t="inlineStr">
        <is>
          <t>P0</t>
        </is>
      </c>
      <c r="P275" s="3" t="inlineStr">
        <is>
          <t>Crítico</t>
        </is>
      </c>
      <c r="Q275" s="3" t="inlineStr">
        <is>
          <t>Obrigatória no escopo da versão</t>
        </is>
      </c>
      <c r="R275" s="10" t="inlineStr">
        <is>
          <t>Autor</t>
        </is>
      </c>
      <c r="S275" s="10" t="inlineStr"/>
      <c r="T275" s="11" t="inlineStr"/>
      <c r="U275" s="3" t="inlineStr">
        <is>
          <t>reports/S25/SL-S25-10.md</t>
        </is>
      </c>
      <c r="V275" s="10" t="inlineStr"/>
      <c r="W275" s="10" t="inlineStr"/>
      <c r="X275" s="3">
        <f>IF(N275="Concluído",IF(AND(S275&lt;&gt;"",ISNUMBER(T275),T275&gt;0,V275&lt;&gt;"",AND(OR(X274="OK",X274="DISPENSADO"))),"OK","REVISAR"),IF(N275="Dispensado (ADR)",IF(AND(LEFT(Q275,11)="Condicional",W275&lt;&gt;"",S275&lt;&gt;"",ISNUMBER(T275),T275&gt;0,V275&lt;&gt;""),"DISPENSADO","REVISAR"),"PENDENTE"))</f>
        <v/>
      </c>
      <c r="Y275" s="10" t="inlineStr"/>
    </row>
    <row r="276" ht="98" customHeight="1">
      <c r="A276" s="3" t="n">
        <v>275</v>
      </c>
      <c r="B276" s="12" t="inlineStr">
        <is>
          <t>SL-S25-GATE</t>
        </is>
      </c>
      <c r="C276" s="9" t="inlineStr">
        <is>
          <t>v0.5.0</t>
        </is>
      </c>
      <c r="D276" s="9" t="inlineStr">
        <is>
          <t>S25</t>
        </is>
      </c>
      <c r="E276" s="3" t="inlineStr">
        <is>
          <t>SandboxManager / macOS</t>
        </is>
      </c>
      <c r="F276" s="3" t="inlineStr">
        <is>
          <t>Aceite humano</t>
        </is>
      </c>
      <c r="G276" s="12" t="inlineStr">
        <is>
          <t>Gate</t>
        </is>
      </c>
      <c r="H276" s="12" t="inlineStr">
        <is>
          <t>Aceitar S25 — Implementar perfis de sandbox macOS</t>
        </is>
      </c>
      <c r="I276" s="3" t="inlineStr">
        <is>
          <t>Revisar as dez tarefas, executar a demonstração do sprint, confrontar critérios e registrar decisão go/no-go.</t>
        </is>
      </c>
      <c r="J276" s="3" t="inlineStr">
        <is>
          <t>reports/S25/acceptance.md</t>
        </is>
      </c>
      <c r="K276" s="3" t="inlineStr">
        <is>
          <t>Processo auxiliar autorizado lê a entrada e falha ao acessar outro workspace ou rede proibida. Todas as dependências aceitas; evidências vinculadas a revisão/ambiente; nenhum blocker de integridade/segurança.</t>
        </is>
      </c>
      <c r="L276" s="3" t="inlineStr">
        <is>
          <t>SL-S25-01; SL-S25-02; SL-S25-03; SL-S25-04; SL-S25-05; SL-S25-06; SL-S25-07; SL-S25-08; SL-S25-09; SL-S25-10</t>
        </is>
      </c>
      <c r="M276" s="3" t="inlineStr">
        <is>
          <t>R01; R06; R08; R09; R30</t>
        </is>
      </c>
      <c r="N276" s="10" t="inlineStr">
        <is>
          <t>Não iniciado</t>
        </is>
      </c>
      <c r="O276" s="3" t="inlineStr">
        <is>
          <t>P0</t>
        </is>
      </c>
      <c r="P276" s="3" t="inlineStr">
        <is>
          <t>Crítico</t>
        </is>
      </c>
      <c r="Q276" s="3" t="inlineStr">
        <is>
          <t>Obrigatória para fechar a versão aprovada</t>
        </is>
      </c>
      <c r="R276" s="10" t="inlineStr">
        <is>
          <t>Autor</t>
        </is>
      </c>
      <c r="S276" s="10" t="inlineStr"/>
      <c r="T276" s="11" t="inlineStr"/>
      <c r="U276" s="3" t="inlineStr">
        <is>
          <t>reports/S25/acceptance.md</t>
        </is>
      </c>
      <c r="V276" s="10" t="inlineStr"/>
      <c r="W276" s="10" t="inlineStr"/>
      <c r="X276" s="3">
        <f>IF(N276="Concluído",IF(AND(S276&lt;&gt;"",ISNUMBER(T276),T276&gt;0,V276&lt;&gt;"",AND(OR(X266="OK",X266="DISPENSADO"),OR(X267="OK",X267="DISPENSADO"),OR(X268="OK",X268="DISPENSADO"),OR(X269="OK",X269="DISPENSADO"),OR(X270="OK",X270="DISPENSADO"),OR(X271="OK",X271="DISPENSADO"),OR(X272="OK",X272="DISPENSADO"),OR(X273="OK",X273="DISPENSADO"),OR(X274="OK",X274="DISPENSADO"),OR(X275="OK",X275="DISPENSADO"))),"OK","REVISAR"),IF(N276="Dispensado (ADR)",IF(AND(LEFT(Q276,11)="Condicional",W276&lt;&gt;"",S276&lt;&gt;"",ISNUMBER(T276),T276&gt;0,V276&lt;&gt;""),"DISPENSADO","REVISAR"),"PENDENTE"))</f>
        <v/>
      </c>
      <c r="Y276" s="10" t="inlineStr"/>
    </row>
    <row r="277" ht="112" customHeight="1">
      <c r="A277" s="3" t="n">
        <v>276</v>
      </c>
      <c r="B277" s="3" t="inlineStr">
        <is>
          <t>SL-S26-01</t>
        </is>
      </c>
      <c r="C277" s="9" t="inlineStr">
        <is>
          <t>v0.5.0</t>
        </is>
      </c>
      <c r="D277" s="9" t="inlineStr">
        <is>
          <t>S26</t>
        </is>
      </c>
      <c r="E277" s="3" t="inlineStr">
        <is>
          <t>SandboxManager / Windows</t>
        </is>
      </c>
      <c r="F277" s="3" t="inlineStr">
        <is>
          <t>Próprio</t>
        </is>
      </c>
      <c r="G277" s="3" t="inlineStr">
        <is>
          <t>Spike</t>
        </is>
      </c>
      <c r="H277" s="3" t="inlineStr">
        <is>
          <t>Definir fronteira Windows</t>
        </is>
      </c>
      <c r="I277" s="3" t="inlineStr">
        <is>
          <t>Avaliar AppContainer, tokens, ACLs e broker para motores selecionados.</t>
        </is>
      </c>
      <c r="J277" s="3" t="inlineStr">
        <is>
          <t>docs/security/windows-sandbox-design.md</t>
        </is>
      </c>
      <c r="K277" s="3" t="inlineStr">
        <is>
          <t>Job Objects não são apresentados como única barreira de arquivos/rede.</t>
        </is>
      </c>
      <c r="L277" s="3" t="inlineStr">
        <is>
          <t>SL-S23-GATE</t>
        </is>
      </c>
      <c r="M277" s="3" t="inlineStr">
        <is>
          <t>R01; R06; R08; R09; R30</t>
        </is>
      </c>
      <c r="N277" s="10" t="inlineStr">
        <is>
          <t>Não iniciado</t>
        </is>
      </c>
      <c r="O277" s="3" t="inlineStr">
        <is>
          <t>P0</t>
        </is>
      </c>
      <c r="P277" s="3" t="inlineStr">
        <is>
          <t>Crítico</t>
        </is>
      </c>
      <c r="Q277" s="3" t="inlineStr">
        <is>
          <t>Obrigatória no escopo da versão</t>
        </is>
      </c>
      <c r="R277" s="10" t="inlineStr">
        <is>
          <t>Autor + agente de IA</t>
        </is>
      </c>
      <c r="S277" s="10" t="inlineStr"/>
      <c r="T277" s="11" t="inlineStr"/>
      <c r="U277" s="3" t="inlineStr">
        <is>
          <t>reports/S26/SL-S26-01.md</t>
        </is>
      </c>
      <c r="V277" s="10" t="inlineStr"/>
      <c r="W277" s="10" t="inlineStr"/>
      <c r="X277" s="3">
        <f>IF(N277="Concluído",IF(AND(S277&lt;&gt;"",ISNUMBER(T277),T277&gt;0,V277&lt;&gt;"",AND(OR(X254="OK",X254="DISPENSADO"))),"OK","REVISAR"),IF(N277="Dispensado (ADR)",IF(AND(LEFT(Q277,11)="Condicional",W277&lt;&gt;"",S277&lt;&gt;"",ISNUMBER(T277),T277&gt;0,V277&lt;&gt;""),"DISPENSADO","REVISAR"),"PENDENTE"))</f>
        <v/>
      </c>
      <c r="Y277" s="10" t="inlineStr"/>
    </row>
    <row r="278" ht="112" customHeight="1">
      <c r="A278" s="3" t="n">
        <v>277</v>
      </c>
      <c r="B278" s="3" t="inlineStr">
        <is>
          <t>SL-S26-02</t>
        </is>
      </c>
      <c r="C278" s="9" t="inlineStr">
        <is>
          <t>v0.5.0</t>
        </is>
      </c>
      <c r="D278" s="9" t="inlineStr">
        <is>
          <t>S26</t>
        </is>
      </c>
      <c r="E278" s="3" t="inlineStr">
        <is>
          <t>SandboxManager / Windows</t>
        </is>
      </c>
      <c r="F278" s="3" t="inlineStr">
        <is>
          <t>Próprio</t>
        </is>
      </c>
      <c r="G278" s="3" t="inlineStr">
        <is>
          <t>Implementação</t>
        </is>
      </c>
      <c r="H278" s="3" t="inlineStr">
        <is>
          <t>Criar identidade restrita</t>
        </is>
      </c>
      <c r="I278" s="3" t="inlineStr">
        <is>
          <t>Configurar contexto de segurança por worker sem herdar permissões gerais do usuário.</t>
        </is>
      </c>
      <c r="J278" s="3" t="inlineStr">
        <is>
          <t>crates/sandbox/src/windows/identity.rs</t>
        </is>
      </c>
      <c r="K278" s="3" t="inlineStr">
        <is>
          <t>Remover admin não é considerado suficiente; acesso efetivo é testado.</t>
        </is>
      </c>
      <c r="L278" s="3" t="inlineStr">
        <is>
          <t>SL-S26-01</t>
        </is>
      </c>
      <c r="M278" s="3" t="inlineStr">
        <is>
          <t>R01; R06; R08; R09; R30</t>
        </is>
      </c>
      <c r="N278" s="10" t="inlineStr">
        <is>
          <t>Não iniciado</t>
        </is>
      </c>
      <c r="O278" s="3" t="inlineStr">
        <is>
          <t>P0</t>
        </is>
      </c>
      <c r="P278" s="3" t="inlineStr">
        <is>
          <t>Crítico</t>
        </is>
      </c>
      <c r="Q278" s="3" t="inlineStr">
        <is>
          <t>Obrigatória no escopo da versão</t>
        </is>
      </c>
      <c r="R278" s="10" t="inlineStr">
        <is>
          <t>Autor + agente de IA</t>
        </is>
      </c>
      <c r="S278" s="10" t="inlineStr"/>
      <c r="T278" s="11" t="inlineStr"/>
      <c r="U278" s="3" t="inlineStr">
        <is>
          <t>reports/S26/SL-S26-02.md</t>
        </is>
      </c>
      <c r="V278" s="10" t="inlineStr"/>
      <c r="W278" s="10" t="inlineStr"/>
      <c r="X278" s="3">
        <f>IF(N278="Concluído",IF(AND(S278&lt;&gt;"",ISNUMBER(T278),T278&gt;0,V278&lt;&gt;"",AND(OR(X277="OK",X277="DISPENSADO"))),"OK","REVISAR"),IF(N278="Dispensado (ADR)",IF(AND(LEFT(Q278,11)="Condicional",W278&lt;&gt;"",S278&lt;&gt;"",ISNUMBER(T278),T278&gt;0,V278&lt;&gt;""),"DISPENSADO","REVISAR"),"PENDENTE"))</f>
        <v/>
      </c>
      <c r="Y278" s="10" t="inlineStr"/>
    </row>
    <row r="279" ht="112" customHeight="1">
      <c r="A279" s="3" t="n">
        <v>278</v>
      </c>
      <c r="B279" s="3" t="inlineStr">
        <is>
          <t>SL-S26-03</t>
        </is>
      </c>
      <c r="C279" s="9" t="inlineStr">
        <is>
          <t>v0.5.0</t>
        </is>
      </c>
      <c r="D279" s="9" t="inlineStr">
        <is>
          <t>S26</t>
        </is>
      </c>
      <c r="E279" s="3" t="inlineStr">
        <is>
          <t>SandboxManager / Windows</t>
        </is>
      </c>
      <c r="F279" s="3" t="inlineStr">
        <is>
          <t>Próprio</t>
        </is>
      </c>
      <c r="G279" s="3" t="inlineStr">
        <is>
          <t>Implementação</t>
        </is>
      </c>
      <c r="H279" s="3" t="inlineStr">
        <is>
          <t>Conceder entradas explicitamente</t>
        </is>
      </c>
      <c r="I279" s="3" t="inlineStr">
        <is>
          <t>Aplicar ACL/capability/handles necessários aos snapshots e modelos.</t>
        </is>
      </c>
      <c r="J279" s="3" t="inlineStr">
        <is>
          <t>crates/sandbox/src/windows/inputs.rs</t>
        </is>
      </c>
      <c r="K279" s="3" t="inlineStr">
        <is>
          <t>Outro workspace e segredos do app continuam negados.</t>
        </is>
      </c>
      <c r="L279" s="3" t="inlineStr">
        <is>
          <t>SL-S26-02</t>
        </is>
      </c>
      <c r="M279" s="3" t="inlineStr">
        <is>
          <t>R01; R06; R08; R09; R30</t>
        </is>
      </c>
      <c r="N279" s="10" t="inlineStr">
        <is>
          <t>Não iniciado</t>
        </is>
      </c>
      <c r="O279" s="3" t="inlineStr">
        <is>
          <t>P0</t>
        </is>
      </c>
      <c r="P279" s="3" t="inlineStr">
        <is>
          <t>Crítico</t>
        </is>
      </c>
      <c r="Q279" s="3" t="inlineStr">
        <is>
          <t>Obrigatória no escopo da versão</t>
        </is>
      </c>
      <c r="R279" s="10" t="inlineStr">
        <is>
          <t>Autor + agente de IA</t>
        </is>
      </c>
      <c r="S279" s="10" t="inlineStr"/>
      <c r="T279" s="11" t="inlineStr"/>
      <c r="U279" s="3" t="inlineStr">
        <is>
          <t>reports/S26/SL-S26-03.md</t>
        </is>
      </c>
      <c r="V279" s="10" t="inlineStr"/>
      <c r="W279" s="10" t="inlineStr"/>
      <c r="X279" s="3">
        <f>IF(N279="Concluído",IF(AND(S279&lt;&gt;"",ISNUMBER(T279),T279&gt;0,V279&lt;&gt;"",AND(OR(X278="OK",X278="DISPENSADO"))),"OK","REVISAR"),IF(N279="Dispensado (ADR)",IF(AND(LEFT(Q279,11)="Condicional",W279&lt;&gt;"",S279&lt;&gt;"",ISNUMBER(T279),T279&gt;0,V279&lt;&gt;""),"DISPENSADO","REVISAR"),"PENDENTE"))</f>
        <v/>
      </c>
      <c r="Y279" s="10" t="inlineStr"/>
    </row>
    <row r="280" ht="112" customHeight="1">
      <c r="A280" s="3" t="n">
        <v>279</v>
      </c>
      <c r="B280" s="3" t="inlineStr">
        <is>
          <t>SL-S26-04</t>
        </is>
      </c>
      <c r="C280" s="9" t="inlineStr">
        <is>
          <t>v0.5.0</t>
        </is>
      </c>
      <c r="D280" s="9" t="inlineStr">
        <is>
          <t>S26</t>
        </is>
      </c>
      <c r="E280" s="3" t="inlineStr">
        <is>
          <t>SandboxManager / Windows</t>
        </is>
      </c>
      <c r="F280" s="3" t="inlineStr">
        <is>
          <t>Próprio</t>
        </is>
      </c>
      <c r="G280" s="3" t="inlineStr">
        <is>
          <t>Implementação</t>
        </is>
      </c>
      <c r="H280" s="3" t="inlineStr">
        <is>
          <t>Conter filesystem</t>
        </is>
      </c>
      <c r="I280" s="3" t="inlineStr">
        <is>
          <t>Tratar reparse points, paths especiais e temporários dentro do perfil.</t>
        </is>
      </c>
      <c r="J280" s="3" t="inlineStr">
        <is>
          <t>crates/sandbox/src/windows/fs.rs</t>
        </is>
      </c>
      <c r="K280" s="3" t="inlineStr">
        <is>
          <t>Reparse point preparado não redireciona escrita para fora do destino autorizado.</t>
        </is>
      </c>
      <c r="L280" s="3" t="inlineStr">
        <is>
          <t>SL-S26-03</t>
        </is>
      </c>
      <c r="M280" s="3" t="inlineStr">
        <is>
          <t>R01; R06; R08; R09; R30</t>
        </is>
      </c>
      <c r="N280" s="10" t="inlineStr">
        <is>
          <t>Não iniciado</t>
        </is>
      </c>
      <c r="O280" s="3" t="inlineStr">
        <is>
          <t>P0</t>
        </is>
      </c>
      <c r="P280" s="3" t="inlineStr">
        <is>
          <t>Crítico</t>
        </is>
      </c>
      <c r="Q280" s="3" t="inlineStr">
        <is>
          <t>Obrigatória no escopo da versão</t>
        </is>
      </c>
      <c r="R280" s="10" t="inlineStr">
        <is>
          <t>Autor + agente de IA</t>
        </is>
      </c>
      <c r="S280" s="10" t="inlineStr"/>
      <c r="T280" s="11" t="inlineStr"/>
      <c r="U280" s="3" t="inlineStr">
        <is>
          <t>reports/S26/SL-S26-04.md</t>
        </is>
      </c>
      <c r="V280" s="10" t="inlineStr"/>
      <c r="W280" s="10" t="inlineStr"/>
      <c r="X280" s="3">
        <f>IF(N280="Concluído",IF(AND(S280&lt;&gt;"",ISNUMBER(T280),T280&gt;0,V280&lt;&gt;"",AND(OR(X279="OK",X279="DISPENSADO"))),"OK","REVISAR"),IF(N280="Dispensado (ADR)",IF(AND(LEFT(Q280,11)="Condicional",W280&lt;&gt;"",S280&lt;&gt;"",ISNUMBER(T280),T280&gt;0,V280&lt;&gt;""),"DISPENSADO","REVISAR"),"PENDENTE"))</f>
        <v/>
      </c>
      <c r="Y280" s="10" t="inlineStr"/>
    </row>
    <row r="281" ht="112" customHeight="1">
      <c r="A281" s="3" t="n">
        <v>280</v>
      </c>
      <c r="B281" s="3" t="inlineStr">
        <is>
          <t>SL-S26-05</t>
        </is>
      </c>
      <c r="C281" s="9" t="inlineStr">
        <is>
          <t>v0.5.0</t>
        </is>
      </c>
      <c r="D281" s="9" t="inlineStr">
        <is>
          <t>S26</t>
        </is>
      </c>
      <c r="E281" s="3" t="inlineStr">
        <is>
          <t>SandboxManager / Windows</t>
        </is>
      </c>
      <c r="F281" s="3" t="inlineStr">
        <is>
          <t>Próprio</t>
        </is>
      </c>
      <c r="G281" s="3" t="inlineStr">
        <is>
          <t>Implementação</t>
        </is>
      </c>
      <c r="H281" s="3" t="inlineStr">
        <is>
          <t>Conter rede</t>
        </is>
      </c>
      <c r="I281" s="3" t="inlineStr">
        <is>
          <t>Definir proibições/capacidades efetivas, inclusive comunicação local necessária.</t>
        </is>
      </c>
      <c r="J281" s="3" t="inlineStr">
        <is>
          <t>crates/sandbox/src/windows/network.rs</t>
        </is>
      </c>
      <c r="K281" s="3" t="inlineStr">
        <is>
          <t>Worker offline não acessa serviço externo; não há dependência oculta de privilégio admin para cada job.</t>
        </is>
      </c>
      <c r="L281" s="3" t="inlineStr">
        <is>
          <t>SL-S26-04</t>
        </is>
      </c>
      <c r="M281" s="3" t="inlineStr">
        <is>
          <t>R01; R06; R08; R09; R30</t>
        </is>
      </c>
      <c r="N281" s="10" t="inlineStr">
        <is>
          <t>Não iniciado</t>
        </is>
      </c>
      <c r="O281" s="3" t="inlineStr">
        <is>
          <t>P0</t>
        </is>
      </c>
      <c r="P281" s="3" t="inlineStr">
        <is>
          <t>Crítico</t>
        </is>
      </c>
      <c r="Q281" s="3" t="inlineStr">
        <is>
          <t>Obrigatória no escopo da versão</t>
        </is>
      </c>
      <c r="R281" s="10" t="inlineStr">
        <is>
          <t>Autor + agente de IA</t>
        </is>
      </c>
      <c r="S281" s="10" t="inlineStr"/>
      <c r="T281" s="11" t="inlineStr"/>
      <c r="U281" s="3" t="inlineStr">
        <is>
          <t>reports/S26/SL-S26-05.md</t>
        </is>
      </c>
      <c r="V281" s="10" t="inlineStr"/>
      <c r="W281" s="10" t="inlineStr"/>
      <c r="X281" s="3">
        <f>IF(N281="Concluído",IF(AND(S281&lt;&gt;"",ISNUMBER(T281),T281&gt;0,V281&lt;&gt;"",AND(OR(X280="OK",X280="DISPENSADO"))),"OK","REVISAR"),IF(N281="Dispensado (ADR)",IF(AND(LEFT(Q281,11)="Condicional",W281&lt;&gt;"",S281&lt;&gt;"",ISNUMBER(T281),T281&gt;0,V281&lt;&gt;""),"DISPENSADO","REVISAR"),"PENDENTE"))</f>
        <v/>
      </c>
      <c r="Y281" s="10" t="inlineStr"/>
    </row>
    <row r="282" ht="112" customHeight="1">
      <c r="A282" s="3" t="n">
        <v>281</v>
      </c>
      <c r="B282" s="3" t="inlineStr">
        <is>
          <t>SL-S26-06</t>
        </is>
      </c>
      <c r="C282" s="9" t="inlineStr">
        <is>
          <t>v0.5.0</t>
        </is>
      </c>
      <c r="D282" s="9" t="inlineStr">
        <is>
          <t>S26</t>
        </is>
      </c>
      <c r="E282" s="3" t="inlineStr">
        <is>
          <t>SandboxManager / Windows</t>
        </is>
      </c>
      <c r="F282" s="3" t="inlineStr">
        <is>
          <t>Próprio</t>
        </is>
      </c>
      <c r="G282" s="3" t="inlineStr">
        <is>
          <t>Implementação</t>
        </is>
      </c>
      <c r="H282" s="3" t="inlineStr">
        <is>
          <t>Usar Job Objects para lifecycle</t>
        </is>
      </c>
      <c r="I282" s="3" t="inlineStr">
        <is>
          <t>Limitar recursos e agrupar descendentes sem impedir indiscriminadamente browser/backends legítimos.</t>
        </is>
      </c>
      <c r="J282" s="3" t="inlineStr">
        <is>
          <t>crates/sandbox/src/windows/jobs.rs</t>
        </is>
      </c>
      <c r="K282" s="3" t="inlineStr">
        <is>
          <t>Perfil browser admite somente árvore esperada; cancelamento encerra todos os processos do job.</t>
        </is>
      </c>
      <c r="L282" s="3" t="inlineStr">
        <is>
          <t>SL-S26-05</t>
        </is>
      </c>
      <c r="M282" s="3" t="inlineStr">
        <is>
          <t>R01; R06; R08; R09; R30</t>
        </is>
      </c>
      <c r="N282" s="10" t="inlineStr">
        <is>
          <t>Não iniciado</t>
        </is>
      </c>
      <c r="O282" s="3" t="inlineStr">
        <is>
          <t>P0</t>
        </is>
      </c>
      <c r="P282" s="3" t="inlineStr">
        <is>
          <t>Crítico</t>
        </is>
      </c>
      <c r="Q282" s="3" t="inlineStr">
        <is>
          <t>Obrigatória no escopo da versão</t>
        </is>
      </c>
      <c r="R282" s="10" t="inlineStr">
        <is>
          <t>Autor + agente de IA</t>
        </is>
      </c>
      <c r="S282" s="10" t="inlineStr"/>
      <c r="T282" s="11" t="inlineStr"/>
      <c r="U282" s="3" t="inlineStr">
        <is>
          <t>reports/S26/SL-S26-06.md</t>
        </is>
      </c>
      <c r="V282" s="10" t="inlineStr"/>
      <c r="W282" s="10" t="inlineStr"/>
      <c r="X282" s="3">
        <f>IF(N282="Concluído",IF(AND(S282&lt;&gt;"",ISNUMBER(T282),T282&gt;0,V282&lt;&gt;"",AND(OR(X281="OK",X281="DISPENSADO"))),"OK","REVISAR"),IF(N282="Dispensado (ADR)",IF(AND(LEFT(Q282,11)="Condicional",W282&lt;&gt;"",S282&lt;&gt;"",ISNUMBER(T282),T282&gt;0,V282&lt;&gt;""),"DISPENSADO","REVISAR"),"PENDENTE"))</f>
        <v/>
      </c>
      <c r="Y282" s="10" t="inlineStr"/>
    </row>
    <row r="283" ht="112" customHeight="1">
      <c r="A283" s="3" t="n">
        <v>282</v>
      </c>
      <c r="B283" s="3" t="inlineStr">
        <is>
          <t>SL-S26-07</t>
        </is>
      </c>
      <c r="C283" s="9" t="inlineStr">
        <is>
          <t>v0.5.0</t>
        </is>
      </c>
      <c r="D283" s="9" t="inlineStr">
        <is>
          <t>S26</t>
        </is>
      </c>
      <c r="E283" s="3" t="inlineStr">
        <is>
          <t>SandboxManager / Windows</t>
        </is>
      </c>
      <c r="F283" s="3" t="inlineStr">
        <is>
          <t>Próprio</t>
        </is>
      </c>
      <c r="G283" s="3" t="inlineStr">
        <is>
          <t>Implementação</t>
        </is>
      </c>
      <c r="H283" s="3" t="inlineStr">
        <is>
          <t>Controlar DLLs e executáveis</t>
        </is>
      </c>
      <c r="I283" s="3" t="inlineStr">
        <is>
          <t>Resolver binários em diretório gerenciado e verificar origem.</t>
        </is>
      </c>
      <c r="J283" s="3" t="inlineStr">
        <is>
          <t>crates/sandbox/src/windows/loader.rs</t>
        </is>
      </c>
      <c r="K283" s="3" t="inlineStr">
        <is>
          <t>PATH e diretório de trabalho hostis não substituem biblioteca/backend autorizado.</t>
        </is>
      </c>
      <c r="L283" s="3" t="inlineStr">
        <is>
          <t>SL-S26-06</t>
        </is>
      </c>
      <c r="M283" s="3" t="inlineStr">
        <is>
          <t>R01; R06; R08; R09; R30</t>
        </is>
      </c>
      <c r="N283" s="10" t="inlineStr">
        <is>
          <t>Não iniciado</t>
        </is>
      </c>
      <c r="O283" s="3" t="inlineStr">
        <is>
          <t>P0</t>
        </is>
      </c>
      <c r="P283" s="3" t="inlineStr">
        <is>
          <t>Crítico</t>
        </is>
      </c>
      <c r="Q283" s="3" t="inlineStr">
        <is>
          <t>Obrigatória no escopo da versão</t>
        </is>
      </c>
      <c r="R283" s="10" t="inlineStr">
        <is>
          <t>Autor + agente de IA</t>
        </is>
      </c>
      <c r="S283" s="10" t="inlineStr"/>
      <c r="T283" s="11" t="inlineStr"/>
      <c r="U283" s="3" t="inlineStr">
        <is>
          <t>reports/S26/SL-S26-07.md</t>
        </is>
      </c>
      <c r="V283" s="10" t="inlineStr"/>
      <c r="W283" s="10" t="inlineStr"/>
      <c r="X283" s="3">
        <f>IF(N283="Concluído",IF(AND(S283&lt;&gt;"",ISNUMBER(T283),T283&gt;0,V283&lt;&gt;"",AND(OR(X282="OK",X282="DISPENSADO"))),"OK","REVISAR"),IF(N283="Dispensado (ADR)",IF(AND(LEFT(Q283,11)="Condicional",W283&lt;&gt;"",S283&lt;&gt;"",ISNUMBER(T283),T283&gt;0,V283&lt;&gt;""),"DISPENSADO","REVISAR"),"PENDENTE"))</f>
        <v/>
      </c>
      <c r="Y283" s="10" t="inlineStr"/>
    </row>
    <row r="284" ht="112" customHeight="1">
      <c r="A284" s="3" t="n">
        <v>283</v>
      </c>
      <c r="B284" s="3" t="inlineStr">
        <is>
          <t>SL-S26-08</t>
        </is>
      </c>
      <c r="C284" s="9" t="inlineStr">
        <is>
          <t>v0.5.0</t>
        </is>
      </c>
      <c r="D284" s="9" t="inlineStr">
        <is>
          <t>S26</t>
        </is>
      </c>
      <c r="E284" s="3" t="inlineStr">
        <is>
          <t>SandboxManager / Windows</t>
        </is>
      </c>
      <c r="F284" s="3" t="inlineStr">
        <is>
          <t>Próprio</t>
        </is>
      </c>
      <c r="G284" s="3" t="inlineStr">
        <is>
          <t>Teste</t>
        </is>
      </c>
      <c r="H284" s="3" t="inlineStr">
        <is>
          <t>Executar corpus adversarial</t>
        </is>
      </c>
      <c r="I284" s="3" t="inlineStr">
        <is>
          <t>Cobrir rede, privilégios, arquivos, junctions e criação de processos.</t>
        </is>
      </c>
      <c r="J284" s="3" t="inlineStr">
        <is>
          <t>tests/sandbox/windows/</t>
        </is>
      </c>
      <c r="K284" s="3" t="inlineStr">
        <is>
          <t>Evidência demonstra negação real em Windows, não apenas retorno esperado de mock.</t>
        </is>
      </c>
      <c r="L284" s="3" t="inlineStr">
        <is>
          <t>SL-S26-07</t>
        </is>
      </c>
      <c r="M284" s="3" t="inlineStr">
        <is>
          <t>R01; R06; R08; R09; R30</t>
        </is>
      </c>
      <c r="N284" s="10" t="inlineStr">
        <is>
          <t>Não iniciado</t>
        </is>
      </c>
      <c r="O284" s="3" t="inlineStr">
        <is>
          <t>P0</t>
        </is>
      </c>
      <c r="P284" s="3" t="inlineStr">
        <is>
          <t>Crítico</t>
        </is>
      </c>
      <c r="Q284" s="3" t="inlineStr">
        <is>
          <t>Obrigatória no escopo da versão</t>
        </is>
      </c>
      <c r="R284" s="10" t="inlineStr">
        <is>
          <t>Autor + agente de IA</t>
        </is>
      </c>
      <c r="S284" s="10" t="inlineStr"/>
      <c r="T284" s="11" t="inlineStr"/>
      <c r="U284" s="3" t="inlineStr">
        <is>
          <t>reports/S26/SL-S26-08.md</t>
        </is>
      </c>
      <c r="V284" s="10" t="inlineStr"/>
      <c r="W284" s="10" t="inlineStr"/>
      <c r="X284" s="3">
        <f>IF(N284="Concluído",IF(AND(S284&lt;&gt;"",ISNUMBER(T284),T284&gt;0,V284&lt;&gt;"",AND(OR(X283="OK",X283="DISPENSADO"))),"OK","REVISAR"),IF(N284="Dispensado (ADR)",IF(AND(LEFT(Q284,11)="Condicional",W284&lt;&gt;"",S284&lt;&gt;"",ISNUMBER(T284),T284&gt;0,V284&lt;&gt;""),"DISPENSADO","REVISAR"),"PENDENTE"))</f>
        <v/>
      </c>
      <c r="Y284" s="10" t="inlineStr"/>
    </row>
    <row r="285" ht="112" customHeight="1">
      <c r="A285" s="3" t="n">
        <v>284</v>
      </c>
      <c r="B285" s="3" t="inlineStr">
        <is>
          <t>SL-S26-09</t>
        </is>
      </c>
      <c r="C285" s="9" t="inlineStr">
        <is>
          <t>v0.5.0</t>
        </is>
      </c>
      <c r="D285" s="9" t="inlineStr">
        <is>
          <t>S26</t>
        </is>
      </c>
      <c r="E285" s="3" t="inlineStr">
        <is>
          <t>SandboxManager / Windows</t>
        </is>
      </c>
      <c r="F285" s="3" t="inlineStr">
        <is>
          <t>Próprio</t>
        </is>
      </c>
      <c r="G285" s="3" t="inlineStr">
        <is>
          <t>Teste</t>
        </is>
      </c>
      <c r="H285" s="3" t="inlineStr">
        <is>
          <t>Testar instalação sem admin</t>
        </is>
      </c>
      <c r="I285" s="3" t="inlineStr">
        <is>
          <t>Instalar perfil suportado, executar job e desinstalar sem resíduos privilegiados.</t>
        </is>
      </c>
      <c r="J285" s="3" t="inlineStr">
        <is>
          <t>reports/sandbox/windows-install.md</t>
        </is>
      </c>
      <c r="K285" s="3" t="inlineStr">
        <is>
          <t>Requisitos de privilégio são explícitos e funções inseguras falham fechadas.</t>
        </is>
      </c>
      <c r="L285" s="3" t="inlineStr">
        <is>
          <t>SL-S26-08</t>
        </is>
      </c>
      <c r="M285" s="3" t="inlineStr">
        <is>
          <t>R01; R06; R08; R09; R30</t>
        </is>
      </c>
      <c r="N285" s="10" t="inlineStr">
        <is>
          <t>Não iniciado</t>
        </is>
      </c>
      <c r="O285" s="3" t="inlineStr">
        <is>
          <t>P0</t>
        </is>
      </c>
      <c r="P285" s="3" t="inlineStr">
        <is>
          <t>Crítico</t>
        </is>
      </c>
      <c r="Q285" s="3" t="inlineStr">
        <is>
          <t>Obrigatória no escopo da versão</t>
        </is>
      </c>
      <c r="R285" s="10" t="inlineStr">
        <is>
          <t>Autor + agente de IA</t>
        </is>
      </c>
      <c r="S285" s="10" t="inlineStr"/>
      <c r="T285" s="11" t="inlineStr"/>
      <c r="U285" s="3" t="inlineStr">
        <is>
          <t>reports/S26/SL-S26-09.md</t>
        </is>
      </c>
      <c r="V285" s="10" t="inlineStr"/>
      <c r="W285" s="10" t="inlineStr"/>
      <c r="X285" s="3">
        <f>IF(N285="Concluído",IF(AND(S285&lt;&gt;"",ISNUMBER(T285),T285&gt;0,V285&lt;&gt;"",AND(OR(X284="OK",X284="DISPENSADO"))),"OK","REVISAR"),IF(N285="Dispensado (ADR)",IF(AND(LEFT(Q285,11)="Condicional",W285&lt;&gt;"",S285&lt;&gt;"",ISNUMBER(T285),T285&gt;0,V285&lt;&gt;""),"DISPENSADO","REVISAR"),"PENDENTE"))</f>
        <v/>
      </c>
      <c r="Y285" s="10" t="inlineStr"/>
    </row>
    <row r="286" ht="112" customHeight="1">
      <c r="A286" s="3" t="n">
        <v>285</v>
      </c>
      <c r="B286" s="3" t="inlineStr">
        <is>
          <t>SL-S26-10</t>
        </is>
      </c>
      <c r="C286" s="9" t="inlineStr">
        <is>
          <t>v0.5.0</t>
        </is>
      </c>
      <c r="D286" s="9" t="inlineStr">
        <is>
          <t>S26</t>
        </is>
      </c>
      <c r="E286" s="3" t="inlineStr">
        <is>
          <t>SandboxManager / Windows</t>
        </is>
      </c>
      <c r="F286" s="3" t="inlineStr">
        <is>
          <t>Próprio</t>
        </is>
      </c>
      <c r="G286" s="3" t="inlineStr">
        <is>
          <t>Decisão</t>
        </is>
      </c>
      <c r="H286" s="3" t="inlineStr">
        <is>
          <t>Consolidar matriz multiplataforma</t>
        </is>
      </c>
      <c r="I286" s="3" t="inlineStr">
        <is>
          <t>Comparar garantias Linux/macOS/Windows e registrar capacidades desabilitadas.</t>
        </is>
      </c>
      <c r="J286" s="3" t="inlineStr">
        <is>
          <t>reports/sandbox/capability-matrix.json</t>
        </is>
      </c>
      <c r="K286" s="3" t="inlineStr">
        <is>
          <t>Jobs futuros só são habilitados onde o perfil necessário foi aprovado.</t>
        </is>
      </c>
      <c r="L286" s="3" t="inlineStr">
        <is>
          <t>SL-S26-09</t>
        </is>
      </c>
      <c r="M286" s="3" t="inlineStr">
        <is>
          <t>R01; R06; R08; R09; R30</t>
        </is>
      </c>
      <c r="N286" s="10" t="inlineStr">
        <is>
          <t>Não iniciado</t>
        </is>
      </c>
      <c r="O286" s="3" t="inlineStr">
        <is>
          <t>P0</t>
        </is>
      </c>
      <c r="P286" s="3" t="inlineStr">
        <is>
          <t>Crítico</t>
        </is>
      </c>
      <c r="Q286" s="3" t="inlineStr">
        <is>
          <t>Obrigatória no escopo da versão</t>
        </is>
      </c>
      <c r="R286" s="10" t="inlineStr">
        <is>
          <t>Autor</t>
        </is>
      </c>
      <c r="S286" s="10" t="inlineStr"/>
      <c r="T286" s="11" t="inlineStr"/>
      <c r="U286" s="3" t="inlineStr">
        <is>
          <t>reports/S26/SL-S26-10.md</t>
        </is>
      </c>
      <c r="V286" s="10" t="inlineStr"/>
      <c r="W286" s="10" t="inlineStr"/>
      <c r="X286" s="3">
        <f>IF(N286="Concluído",IF(AND(S286&lt;&gt;"",ISNUMBER(T286),T286&gt;0,V286&lt;&gt;"",AND(OR(X285="OK",X285="DISPENSADO"))),"OK","REVISAR"),IF(N286="Dispensado (ADR)",IF(AND(LEFT(Q286,11)="Condicional",W286&lt;&gt;"",S286&lt;&gt;"",ISNUMBER(T286),T286&gt;0,V286&lt;&gt;""),"DISPENSADO","REVISAR"),"PENDENTE"))</f>
        <v/>
      </c>
      <c r="Y286" s="10" t="inlineStr"/>
    </row>
    <row r="287" ht="98" customHeight="1">
      <c r="A287" s="3" t="n">
        <v>286</v>
      </c>
      <c r="B287" s="12" t="inlineStr">
        <is>
          <t>SL-S26-GATE</t>
        </is>
      </c>
      <c r="C287" s="9" t="inlineStr">
        <is>
          <t>v0.5.0</t>
        </is>
      </c>
      <c r="D287" s="9" t="inlineStr">
        <is>
          <t>S26</t>
        </is>
      </c>
      <c r="E287" s="3" t="inlineStr">
        <is>
          <t>SandboxManager / Windows</t>
        </is>
      </c>
      <c r="F287" s="3" t="inlineStr">
        <is>
          <t>Aceite humano</t>
        </is>
      </c>
      <c r="G287" s="12" t="inlineStr">
        <is>
          <t>Gate</t>
        </is>
      </c>
      <c r="H287" s="12" t="inlineStr">
        <is>
          <t>Aceitar S26 — Implementar perfis de sandbox Windows</t>
        </is>
      </c>
      <c r="I287" s="3" t="inlineStr">
        <is>
          <t>Revisar as dez tarefas, executar a demonstração do sprint, confrontar critérios e registrar decisão go/no-go.</t>
        </is>
      </c>
      <c r="J287" s="3" t="inlineStr">
        <is>
          <t>reports/S26/acceptance.md</t>
        </is>
      </c>
      <c r="K287" s="3" t="inlineStr">
        <is>
          <t>Worker controlado não acessa paths/rede fora do permitido e toda sua árvore encerra. Todas as dependências aceitas; evidências vinculadas a revisão/ambiente; nenhum blocker de integridade/segurança.</t>
        </is>
      </c>
      <c r="L287" s="3" t="inlineStr">
        <is>
          <t>SL-S26-01; SL-S26-02; SL-S26-03; SL-S26-04; SL-S26-05; SL-S26-06; SL-S26-07; SL-S26-08; SL-S26-09; SL-S26-10</t>
        </is>
      </c>
      <c r="M287" s="3" t="inlineStr">
        <is>
          <t>R01; R06; R08; R09; R30</t>
        </is>
      </c>
      <c r="N287" s="10" t="inlineStr">
        <is>
          <t>Não iniciado</t>
        </is>
      </c>
      <c r="O287" s="3" t="inlineStr">
        <is>
          <t>P0</t>
        </is>
      </c>
      <c r="P287" s="3" t="inlineStr">
        <is>
          <t>Crítico</t>
        </is>
      </c>
      <c r="Q287" s="3" t="inlineStr">
        <is>
          <t>Obrigatória para fechar a versão aprovada</t>
        </is>
      </c>
      <c r="R287" s="10" t="inlineStr">
        <is>
          <t>Autor</t>
        </is>
      </c>
      <c r="S287" s="10" t="inlineStr"/>
      <c r="T287" s="11" t="inlineStr"/>
      <c r="U287" s="3" t="inlineStr">
        <is>
          <t>reports/S26/acceptance.md</t>
        </is>
      </c>
      <c r="V287" s="10" t="inlineStr"/>
      <c r="W287" s="10" t="inlineStr"/>
      <c r="X287" s="3">
        <f>IF(N287="Concluído",IF(AND(S287&lt;&gt;"",ISNUMBER(T287),T287&gt;0,V287&lt;&gt;"",AND(OR(X277="OK",X277="DISPENSADO"),OR(X278="OK",X278="DISPENSADO"),OR(X279="OK",X279="DISPENSADO"),OR(X280="OK",X280="DISPENSADO"),OR(X281="OK",X281="DISPENSADO"),OR(X282="OK",X282="DISPENSADO"),OR(X283="OK",X283="DISPENSADO"),OR(X284="OK",X284="DISPENSADO"),OR(X285="OK",X285="DISPENSADO"),OR(X286="OK",X286="DISPENSADO"))),"OK","REVISAR"),IF(N287="Dispensado (ADR)",IF(AND(LEFT(Q287,11)="Condicional",W287&lt;&gt;"",S287&lt;&gt;"",ISNUMBER(T287),T287&gt;0,V287&lt;&gt;""),"DISPENSADO","REVISAR"),"PENDENTE"))</f>
        <v/>
      </c>
      <c r="Y287" s="10" t="inlineStr"/>
    </row>
    <row r="288" ht="112" customHeight="1">
      <c r="A288" s="3" t="n">
        <v>287</v>
      </c>
      <c r="B288" s="3" t="inlineStr">
        <is>
          <t>SL-S27-01</t>
        </is>
      </c>
      <c r="C288" s="9" t="inlineStr">
        <is>
          <t>v0.5.0</t>
        </is>
      </c>
      <c r="D288" s="9" t="inlineStr">
        <is>
          <t>S27</t>
        </is>
      </c>
      <c r="E288" s="3" t="inlineStr">
        <is>
          <t>Docling / ExtractProvider</t>
        </is>
      </c>
      <c r="F288" s="3" t="inlineStr">
        <is>
          <t>Desconstrução</t>
        </is>
      </c>
      <c r="G288" s="3" t="inlineStr">
        <is>
          <t>Upstream</t>
        </is>
      </c>
      <c r="H288" s="3" t="inlineStr">
        <is>
          <t>Fixar revisão Docling</t>
        </is>
      </c>
      <c r="I288" s="3" t="inlineStr">
        <is>
          <t>Registrar versão, deps, modelos necessários e licenças de cada artefato.</t>
        </is>
      </c>
      <c r="J288" s="3" t="inlineStr">
        <is>
          <t>upstream/docling/manifest.json</t>
        </is>
      </c>
      <c r="K288" s="3" t="inlineStr">
        <is>
          <t>Nenhum peso é baixado automaticamente sem passar pelo catálogo aprovado.</t>
        </is>
      </c>
      <c r="L288" s="3" t="inlineStr">
        <is>
          <t>SL-S23-GATE; SL-S24-GATE; SL-S25-GATE; SL-S26-GATE</t>
        </is>
      </c>
      <c r="M288" s="3" t="inlineStr">
        <is>
          <t>R14; R15; R30; R33; R34</t>
        </is>
      </c>
      <c r="N288" s="10" t="inlineStr">
        <is>
          <t>Não iniciado</t>
        </is>
      </c>
      <c r="O288" s="3" t="inlineStr">
        <is>
          <t>P0</t>
        </is>
      </c>
      <c r="P288" s="3" t="inlineStr">
        <is>
          <t>Crítico</t>
        </is>
      </c>
      <c r="Q288" s="3" t="inlineStr">
        <is>
          <t>Obrigatória no escopo da versão</t>
        </is>
      </c>
      <c r="R288" s="10" t="inlineStr">
        <is>
          <t>Autor + agente de IA</t>
        </is>
      </c>
      <c r="S288" s="10" t="inlineStr"/>
      <c r="T288" s="11" t="inlineStr"/>
      <c r="U288" s="3" t="inlineStr">
        <is>
          <t>reports/S27/SL-S27-01.md</t>
        </is>
      </c>
      <c r="V288" s="10" t="inlineStr"/>
      <c r="W288" s="10" t="inlineStr"/>
      <c r="X288" s="3">
        <f>IF(N288="Concluído",IF(AND(S288&lt;&gt;"",ISNUMBER(T288),T288&gt;0,V288&lt;&gt;"",AND(OR(X254="OK",X254="DISPENSADO"),OR(X265="OK",X265="DISPENSADO"),OR(X276="OK",X276="DISPENSADO"),OR(X287="OK",X287="DISPENSADO"))),"OK","REVISAR"),IF(N288="Dispensado (ADR)",IF(AND(LEFT(Q288,11)="Condicional",W288&lt;&gt;"",S288&lt;&gt;"",ISNUMBER(T288),T288&gt;0,V288&lt;&gt;""),"DISPENSADO","REVISAR"),"PENDENTE"))</f>
        <v/>
      </c>
      <c r="Y288" s="10" t="inlineStr"/>
    </row>
    <row r="289" ht="112" customHeight="1">
      <c r="A289" s="3" t="n">
        <v>288</v>
      </c>
      <c r="B289" s="3" t="inlineStr">
        <is>
          <t>SL-S27-02</t>
        </is>
      </c>
      <c r="C289" s="9" t="inlineStr">
        <is>
          <t>v0.5.0</t>
        </is>
      </c>
      <c r="D289" s="9" t="inlineStr">
        <is>
          <t>S27</t>
        </is>
      </c>
      <c r="E289" s="3" t="inlineStr">
        <is>
          <t>Docling / ExtractProvider</t>
        </is>
      </c>
      <c r="F289" s="3" t="inlineStr">
        <is>
          <t>Desconstrução</t>
        </is>
      </c>
      <c r="G289" s="3" t="inlineStr">
        <is>
          <t>Upstream</t>
        </is>
      </c>
      <c r="H289" s="3" t="inlineStr">
        <is>
          <t>Reproduzir baseline de parsing</t>
        </is>
      </c>
      <c r="I289" s="3" t="inlineStr">
        <is>
          <t>Converter fixtures textuais upstream antes de criar o adapter.</t>
        </is>
      </c>
      <c r="J289" s="3" t="inlineStr">
        <is>
          <t>reports/docling/baseline.md</t>
        </is>
      </c>
      <c r="K289" s="3" t="inlineStr">
        <is>
          <t>Resultado original, versões e limitações estão registrados para comparação diferencial.</t>
        </is>
      </c>
      <c r="L289" s="3" t="inlineStr">
        <is>
          <t>SL-S27-01</t>
        </is>
      </c>
      <c r="M289" s="3" t="inlineStr">
        <is>
          <t>R14; R15; R30; R33; R34</t>
        </is>
      </c>
      <c r="N289" s="10" t="inlineStr">
        <is>
          <t>Não iniciado</t>
        </is>
      </c>
      <c r="O289" s="3" t="inlineStr">
        <is>
          <t>P0</t>
        </is>
      </c>
      <c r="P289" s="3" t="inlineStr">
        <is>
          <t>Crítico</t>
        </is>
      </c>
      <c r="Q289" s="3" t="inlineStr">
        <is>
          <t>Obrigatória no escopo da versão</t>
        </is>
      </c>
      <c r="R289" s="10" t="inlineStr">
        <is>
          <t>Autor + agente de IA</t>
        </is>
      </c>
      <c r="S289" s="10" t="inlineStr"/>
      <c r="T289" s="11" t="inlineStr"/>
      <c r="U289" s="3" t="inlineStr">
        <is>
          <t>reports/S27/SL-S27-02.md</t>
        </is>
      </c>
      <c r="V289" s="10" t="inlineStr"/>
      <c r="W289" s="10" t="inlineStr"/>
      <c r="X289" s="3">
        <f>IF(N289="Concluído",IF(AND(S289&lt;&gt;"",ISNUMBER(T289),T289&gt;0,V289&lt;&gt;"",AND(OR(X288="OK",X288="DISPENSADO"))),"OK","REVISAR"),IF(N289="Dispensado (ADR)",IF(AND(LEFT(Q289,11)="Condicional",W289&lt;&gt;"",S289&lt;&gt;"",ISNUMBER(T289),T289&gt;0,V289&lt;&gt;""),"DISPENSADO","REVISAR"),"PENDENTE"))</f>
        <v/>
      </c>
      <c r="Y289" s="10" t="inlineStr"/>
    </row>
    <row r="290" ht="112" customHeight="1">
      <c r="A290" s="3" t="n">
        <v>289</v>
      </c>
      <c r="B290" s="3" t="inlineStr">
        <is>
          <t>SL-S27-03</t>
        </is>
      </c>
      <c r="C290" s="9" t="inlineStr">
        <is>
          <t>v0.5.0</t>
        </is>
      </c>
      <c r="D290" s="9" t="inlineStr">
        <is>
          <t>S27</t>
        </is>
      </c>
      <c r="E290" s="3" t="inlineStr">
        <is>
          <t>Docling / ExtractProvider</t>
        </is>
      </c>
      <c r="F290" s="3" t="inlineStr">
        <is>
          <t>Desconstrução</t>
        </is>
      </c>
      <c r="G290" s="3" t="inlineStr">
        <is>
          <t>Upstream</t>
        </is>
      </c>
      <c r="H290" s="3" t="inlineStr">
        <is>
          <t>Recortar pipelines</t>
        </is>
      </c>
      <c r="I290" s="3" t="inlineStr">
        <is>
          <t>Selecionar parsing textual/tabelas; deixar OCR/VLM e servidor opcional fora do caminho leve.</t>
        </is>
      </c>
      <c r="J290" s="3" t="inlineStr">
        <is>
          <t>workers/docling/pipeline-profile.yaml</t>
        </is>
      </c>
      <c r="K290" s="3" t="inlineStr">
        <is>
          <t>Importação simples não carrega todo o catálogo de modelos ou serviços.</t>
        </is>
      </c>
      <c r="L290" s="3" t="inlineStr">
        <is>
          <t>SL-S27-02</t>
        </is>
      </c>
      <c r="M290" s="3" t="inlineStr">
        <is>
          <t>R14; R15; R30; R33; R34</t>
        </is>
      </c>
      <c r="N290" s="10" t="inlineStr">
        <is>
          <t>Não iniciado</t>
        </is>
      </c>
      <c r="O290" s="3" t="inlineStr">
        <is>
          <t>P0</t>
        </is>
      </c>
      <c r="P290" s="3" t="inlineStr">
        <is>
          <t>Crítico</t>
        </is>
      </c>
      <c r="Q290" s="3" t="inlineStr">
        <is>
          <t>Obrigatória no escopo da versão</t>
        </is>
      </c>
      <c r="R290" s="10" t="inlineStr">
        <is>
          <t>Autor + agente de IA</t>
        </is>
      </c>
      <c r="S290" s="10" t="inlineStr"/>
      <c r="T290" s="11" t="inlineStr"/>
      <c r="U290" s="3" t="inlineStr">
        <is>
          <t>reports/S27/SL-S27-03.md</t>
        </is>
      </c>
      <c r="V290" s="10" t="inlineStr"/>
      <c r="W290" s="10" t="inlineStr"/>
      <c r="X290" s="3">
        <f>IF(N290="Concluído",IF(AND(S290&lt;&gt;"",ISNUMBER(T290),T290&gt;0,V290&lt;&gt;"",AND(OR(X289="OK",X289="DISPENSADO"))),"OK","REVISAR"),IF(N290="Dispensado (ADR)",IF(AND(LEFT(Q290,11)="Condicional",W290&lt;&gt;"",S290&lt;&gt;"",ISNUMBER(T290),T290&gt;0,V290&lt;&gt;""),"DISPENSADO","REVISAR"),"PENDENTE"))</f>
        <v/>
      </c>
      <c r="Y290" s="10" t="inlineStr"/>
    </row>
    <row r="291" ht="112" customHeight="1">
      <c r="A291" s="3" t="n">
        <v>290</v>
      </c>
      <c r="B291" s="3" t="inlineStr">
        <is>
          <t>SL-S27-04</t>
        </is>
      </c>
      <c r="C291" s="9" t="inlineStr">
        <is>
          <t>v0.5.0</t>
        </is>
      </c>
      <c r="D291" s="9" t="inlineStr">
        <is>
          <t>S27</t>
        </is>
      </c>
      <c r="E291" s="3" t="inlineStr">
        <is>
          <t>Docling / ExtractProvider</t>
        </is>
      </c>
      <c r="F291" s="3" t="inlineStr">
        <is>
          <t>Desconstrução</t>
        </is>
      </c>
      <c r="G291" s="3" t="inlineStr">
        <is>
          <t>Contrato</t>
        </is>
      </c>
      <c r="H291" s="3" t="inlineStr">
        <is>
          <t>Definir NormalizedDocument</t>
        </is>
      </c>
      <c r="I291" s="3" t="inlineStr">
        <is>
          <t>Mapear blocos, hierarquia, páginas, tabelas, assets e diagnósticos.</t>
        </is>
      </c>
      <c r="J291" s="3" t="inlineStr">
        <is>
          <t>schemas/normalized-document-v0.json</t>
        </is>
      </c>
      <c r="K291" s="3" t="inlineStr">
        <is>
          <t>Contrato representa extração parcial e localizadores sem fingir cobertura completa.</t>
        </is>
      </c>
      <c r="L291" s="3" t="inlineStr">
        <is>
          <t>SL-S27-03</t>
        </is>
      </c>
      <c r="M291" s="3" t="inlineStr">
        <is>
          <t>R14; R15; R30; R33; R34</t>
        </is>
      </c>
      <c r="N291" s="10" t="inlineStr">
        <is>
          <t>Não iniciado</t>
        </is>
      </c>
      <c r="O291" s="3" t="inlineStr">
        <is>
          <t>P0</t>
        </is>
      </c>
      <c r="P291" s="3" t="inlineStr">
        <is>
          <t>Crítico</t>
        </is>
      </c>
      <c r="Q291" s="3" t="inlineStr">
        <is>
          <t>Obrigatória no escopo da versão</t>
        </is>
      </c>
      <c r="R291" s="10" t="inlineStr">
        <is>
          <t>Autor + agente de IA</t>
        </is>
      </c>
      <c r="S291" s="10" t="inlineStr"/>
      <c r="T291" s="11" t="inlineStr"/>
      <c r="U291" s="3" t="inlineStr">
        <is>
          <t>reports/S27/SL-S27-04.md</t>
        </is>
      </c>
      <c r="V291" s="10" t="inlineStr"/>
      <c r="W291" s="10" t="inlineStr"/>
      <c r="X291" s="3">
        <f>IF(N291="Concluído",IF(AND(S291&lt;&gt;"",ISNUMBER(T291),T291&gt;0,V291&lt;&gt;"",AND(OR(X290="OK",X290="DISPENSADO"))),"OK","REVISAR"),IF(N291="Dispensado (ADR)",IF(AND(LEFT(Q291,11)="Condicional",W291&lt;&gt;"",S291&lt;&gt;"",ISNUMBER(T291),T291&gt;0,V291&lt;&gt;""),"DISPENSADO","REVISAR"),"PENDENTE"))</f>
        <v/>
      </c>
      <c r="Y291" s="10" t="inlineStr"/>
    </row>
    <row r="292" ht="112" customHeight="1">
      <c r="A292" s="3" t="n">
        <v>291</v>
      </c>
      <c r="B292" s="3" t="inlineStr">
        <is>
          <t>SL-S27-05</t>
        </is>
      </c>
      <c r="C292" s="9" t="inlineStr">
        <is>
          <t>v0.5.0</t>
        </is>
      </c>
      <c r="D292" s="9" t="inlineStr">
        <is>
          <t>S27</t>
        </is>
      </c>
      <c r="E292" s="3" t="inlineStr">
        <is>
          <t>Docling / ExtractProvider</t>
        </is>
      </c>
      <c r="F292" s="3" t="inlineStr">
        <is>
          <t>Desconstrução</t>
        </is>
      </c>
      <c r="G292" s="3" t="inlineStr">
        <is>
          <t>Implementação</t>
        </is>
      </c>
      <c r="H292" s="3" t="inlineStr">
        <is>
          <t>Criar adapter Docling</t>
        </is>
      </c>
      <c r="I292" s="3" t="inlineStr">
        <is>
          <t>Converter estruturas da revisão fixada ao contrato, sem imports internos espalhados.</t>
        </is>
      </c>
      <c r="J292" s="3" t="inlineStr">
        <is>
          <t>workers/docling/adapter.py</t>
        </is>
      </c>
      <c r="K292" s="3" t="inlineStr">
        <is>
          <t>Mudança de versão upstream é confinada ao adapter e detectada por testes.</t>
        </is>
      </c>
      <c r="L292" s="3" t="inlineStr">
        <is>
          <t>SL-S27-04</t>
        </is>
      </c>
      <c r="M292" s="3" t="inlineStr">
        <is>
          <t>R14; R15; R30; R33; R34</t>
        </is>
      </c>
      <c r="N292" s="10" t="inlineStr">
        <is>
          <t>Não iniciado</t>
        </is>
      </c>
      <c r="O292" s="3" t="inlineStr">
        <is>
          <t>P0</t>
        </is>
      </c>
      <c r="P292" s="3" t="inlineStr">
        <is>
          <t>Crítico</t>
        </is>
      </c>
      <c r="Q292" s="3" t="inlineStr">
        <is>
          <t>Obrigatória no escopo da versão</t>
        </is>
      </c>
      <c r="R292" s="10" t="inlineStr">
        <is>
          <t>Autor + agente de IA</t>
        </is>
      </c>
      <c r="S292" s="10" t="inlineStr"/>
      <c r="T292" s="11" t="inlineStr"/>
      <c r="U292" s="3" t="inlineStr">
        <is>
          <t>reports/S27/SL-S27-05.md</t>
        </is>
      </c>
      <c r="V292" s="10" t="inlineStr"/>
      <c r="W292" s="10" t="inlineStr"/>
      <c r="X292" s="3">
        <f>IF(N292="Concluído",IF(AND(S292&lt;&gt;"",ISNUMBER(T292),T292&gt;0,V292&lt;&gt;"",AND(OR(X291="OK",X291="DISPENSADO"))),"OK","REVISAR"),IF(N292="Dispensado (ADR)",IF(AND(LEFT(Q292,11)="Condicional",W292&lt;&gt;"",S292&lt;&gt;"",ISNUMBER(T292),T292&gt;0,V292&lt;&gt;""),"DISPENSADO","REVISAR"),"PENDENTE"))</f>
        <v/>
      </c>
      <c r="Y292" s="10" t="inlineStr"/>
    </row>
    <row r="293" ht="112" customHeight="1">
      <c r="A293" s="3" t="n">
        <v>292</v>
      </c>
      <c r="B293" s="3" t="inlineStr">
        <is>
          <t>SL-S27-06</t>
        </is>
      </c>
      <c r="C293" s="9" t="inlineStr">
        <is>
          <t>v0.5.0</t>
        </is>
      </c>
      <c r="D293" s="9" t="inlineStr">
        <is>
          <t>S27</t>
        </is>
      </c>
      <c r="E293" s="3" t="inlineStr">
        <is>
          <t>Docling / ExtractProvider</t>
        </is>
      </c>
      <c r="F293" s="3" t="inlineStr">
        <is>
          <t>Desconstrução</t>
        </is>
      </c>
      <c r="G293" s="3" t="inlineStr">
        <is>
          <t>Implementação</t>
        </is>
      </c>
      <c r="H293" s="3" t="inlineStr">
        <is>
          <t>Preservar fonte e localizadores</t>
        </is>
      </c>
      <c r="I293" s="3" t="inlineStr">
        <is>
          <t>Relacionar conteúdo extraído ao asset/hash/página/bloco.</t>
        </is>
      </c>
      <c r="J293" s="3" t="inlineStr">
        <is>
          <t>workers/docling/provenance.py</t>
        </is>
      </c>
      <c r="K293" s="3" t="inlineStr">
        <is>
          <t>Trecho exibido pode ser rastreado ao documento original da revisão correta.</t>
        </is>
      </c>
      <c r="L293" s="3" t="inlineStr">
        <is>
          <t>SL-S27-05</t>
        </is>
      </c>
      <c r="M293" s="3" t="inlineStr">
        <is>
          <t>R14; R15; R30; R33; R34</t>
        </is>
      </c>
      <c r="N293" s="10" t="inlineStr">
        <is>
          <t>Não iniciado</t>
        </is>
      </c>
      <c r="O293" s="3" t="inlineStr">
        <is>
          <t>P0</t>
        </is>
      </c>
      <c r="P293" s="3" t="inlineStr">
        <is>
          <t>Crítico</t>
        </is>
      </c>
      <c r="Q293" s="3" t="inlineStr">
        <is>
          <t>Obrigatória no escopo da versão</t>
        </is>
      </c>
      <c r="R293" s="10" t="inlineStr">
        <is>
          <t>Autor + agente de IA</t>
        </is>
      </c>
      <c r="S293" s="10" t="inlineStr"/>
      <c r="T293" s="11" t="inlineStr"/>
      <c r="U293" s="3" t="inlineStr">
        <is>
          <t>reports/S27/SL-S27-06.md</t>
        </is>
      </c>
      <c r="V293" s="10" t="inlineStr"/>
      <c r="W293" s="10" t="inlineStr"/>
      <c r="X293" s="3">
        <f>IF(N293="Concluído",IF(AND(S293&lt;&gt;"",ISNUMBER(T293),T293&gt;0,V293&lt;&gt;"",AND(OR(X292="OK",X292="DISPENSADO"))),"OK","REVISAR"),IF(N293="Dispensado (ADR)",IF(AND(LEFT(Q293,11)="Condicional",W293&lt;&gt;"",S293&lt;&gt;"",ISNUMBER(T293),T293&gt;0,V293&lt;&gt;""),"DISPENSADO","REVISAR"),"PENDENTE"))</f>
        <v/>
      </c>
      <c r="Y293" s="10" t="inlineStr"/>
    </row>
    <row r="294" ht="112" customHeight="1">
      <c r="A294" s="3" t="n">
        <v>293</v>
      </c>
      <c r="B294" s="3" t="inlineStr">
        <is>
          <t>SL-S27-07</t>
        </is>
      </c>
      <c r="C294" s="9" t="inlineStr">
        <is>
          <t>v0.5.0</t>
        </is>
      </c>
      <c r="D294" s="9" t="inlineStr">
        <is>
          <t>S27</t>
        </is>
      </c>
      <c r="E294" s="3" t="inlineStr">
        <is>
          <t>Docling / ExtractProvider</t>
        </is>
      </c>
      <c r="F294" s="3" t="inlineStr">
        <is>
          <t>Desconstrução</t>
        </is>
      </c>
      <c r="G294" s="3" t="inlineStr">
        <is>
          <t>Implementação</t>
        </is>
      </c>
      <c r="H294" s="3" t="inlineStr">
        <is>
          <t>Integrar worker ao scheduler</t>
        </is>
      </c>
      <c r="I294" s="3" t="inlineStr">
        <is>
          <t>Receber entrada autorizada e devolver resultados por IPC.</t>
        </is>
      </c>
      <c r="J294" s="3" t="inlineStr">
        <is>
          <t>workers/docling/entrypoint.py</t>
        </is>
      </c>
      <c r="K294" s="3" t="inlineStr">
        <is>
          <t>Worker não escreve no Vault nem cria sua própria base canônica.</t>
        </is>
      </c>
      <c r="L294" s="3" t="inlineStr">
        <is>
          <t>SL-S27-06</t>
        </is>
      </c>
      <c r="M294" s="3" t="inlineStr">
        <is>
          <t>R14; R15; R30; R33; R34</t>
        </is>
      </c>
      <c r="N294" s="10" t="inlineStr">
        <is>
          <t>Não iniciado</t>
        </is>
      </c>
      <c r="O294" s="3" t="inlineStr">
        <is>
          <t>P0</t>
        </is>
      </c>
      <c r="P294" s="3" t="inlineStr">
        <is>
          <t>Crítico</t>
        </is>
      </c>
      <c r="Q294" s="3" t="inlineStr">
        <is>
          <t>Obrigatória no escopo da versão</t>
        </is>
      </c>
      <c r="R294" s="10" t="inlineStr">
        <is>
          <t>Autor + agente de IA</t>
        </is>
      </c>
      <c r="S294" s="10" t="inlineStr"/>
      <c r="T294" s="11" t="inlineStr"/>
      <c r="U294" s="3" t="inlineStr">
        <is>
          <t>reports/S27/SL-S27-07.md</t>
        </is>
      </c>
      <c r="V294" s="10" t="inlineStr"/>
      <c r="W294" s="10" t="inlineStr"/>
      <c r="X294" s="3">
        <f>IF(N294="Concluído",IF(AND(S294&lt;&gt;"",ISNUMBER(T294),T294&gt;0,V294&lt;&gt;"",AND(OR(X293="OK",X293="DISPENSADO"))),"OK","REVISAR"),IF(N294="Dispensado (ADR)",IF(AND(LEFT(Q294,11)="Condicional",W294&lt;&gt;"",S294&lt;&gt;"",ISNUMBER(T294),T294&gt;0,V294&lt;&gt;""),"DISPENSADO","REVISAR"),"PENDENTE"))</f>
        <v/>
      </c>
      <c r="Y294" s="10" t="inlineStr"/>
    </row>
    <row r="295" ht="112" customHeight="1">
      <c r="A295" s="3" t="n">
        <v>294</v>
      </c>
      <c r="B295" s="3" t="inlineStr">
        <is>
          <t>SL-S27-08</t>
        </is>
      </c>
      <c r="C295" s="9" t="inlineStr">
        <is>
          <t>v0.5.0</t>
        </is>
      </c>
      <c r="D295" s="9" t="inlineStr">
        <is>
          <t>S27</t>
        </is>
      </c>
      <c r="E295" s="3" t="inlineStr">
        <is>
          <t>Docling / ExtractProvider</t>
        </is>
      </c>
      <c r="F295" s="3" t="inlineStr">
        <is>
          <t>Desconstrução</t>
        </is>
      </c>
      <c r="G295" s="3" t="inlineStr">
        <is>
          <t>Implementação</t>
        </is>
      </c>
      <c r="H295" s="3" t="inlineStr">
        <is>
          <t>Tratar erros documentais</t>
        </is>
      </c>
      <c r="I295" s="3" t="inlineStr">
        <is>
          <t>Classificar formato não suportado, criptografado, corrompido e extração incompleta.</t>
        </is>
      </c>
      <c r="J295" s="3" t="inlineStr">
        <is>
          <t>workers/docling/errors.py</t>
        </is>
      </c>
      <c r="K295" s="3" t="inlineStr">
        <is>
          <t>Captura original permanece preservada e pode ser reprocessada.</t>
        </is>
      </c>
      <c r="L295" s="3" t="inlineStr">
        <is>
          <t>SL-S27-07</t>
        </is>
      </c>
      <c r="M295" s="3" t="inlineStr">
        <is>
          <t>R14; R15; R30; R33; R34</t>
        </is>
      </c>
      <c r="N295" s="10" t="inlineStr">
        <is>
          <t>Não iniciado</t>
        </is>
      </c>
      <c r="O295" s="3" t="inlineStr">
        <is>
          <t>P0</t>
        </is>
      </c>
      <c r="P295" s="3" t="inlineStr">
        <is>
          <t>Crítico</t>
        </is>
      </c>
      <c r="Q295" s="3" t="inlineStr">
        <is>
          <t>Obrigatória no escopo da versão</t>
        </is>
      </c>
      <c r="R295" s="10" t="inlineStr">
        <is>
          <t>Autor + agente de IA</t>
        </is>
      </c>
      <c r="S295" s="10" t="inlineStr"/>
      <c r="T295" s="11" t="inlineStr"/>
      <c r="U295" s="3" t="inlineStr">
        <is>
          <t>reports/S27/SL-S27-08.md</t>
        </is>
      </c>
      <c r="V295" s="10" t="inlineStr"/>
      <c r="W295" s="10" t="inlineStr"/>
      <c r="X295" s="3">
        <f>IF(N295="Concluído",IF(AND(S295&lt;&gt;"",ISNUMBER(T295),T295&gt;0,V295&lt;&gt;"",AND(OR(X294="OK",X294="DISPENSADO"))),"OK","REVISAR"),IF(N295="Dispensado (ADR)",IF(AND(LEFT(Q295,11)="Condicional",W295&lt;&gt;"",S295&lt;&gt;"",ISNUMBER(T295),T295&gt;0,V295&lt;&gt;""),"DISPENSADO","REVISAR"),"PENDENTE"))</f>
        <v/>
      </c>
      <c r="Y295" s="10" t="inlineStr"/>
    </row>
    <row r="296" ht="112" customHeight="1">
      <c r="A296" s="3" t="n">
        <v>295</v>
      </c>
      <c r="B296" s="3" t="inlineStr">
        <is>
          <t>SL-S27-09</t>
        </is>
      </c>
      <c r="C296" s="9" t="inlineStr">
        <is>
          <t>v0.5.0</t>
        </is>
      </c>
      <c r="D296" s="9" t="inlineStr">
        <is>
          <t>S27</t>
        </is>
      </c>
      <c r="E296" s="3" t="inlineStr">
        <is>
          <t>Docling / ExtractProvider</t>
        </is>
      </c>
      <c r="F296" s="3" t="inlineStr">
        <is>
          <t>Desconstrução</t>
        </is>
      </c>
      <c r="G296" s="3" t="inlineStr">
        <is>
          <t>Teste</t>
        </is>
      </c>
      <c r="H296" s="3" t="inlineStr">
        <is>
          <t>Comparar baseline e adapter</t>
        </is>
      </c>
      <c r="I296" s="3" t="inlineStr">
        <is>
          <t>Verificar perdas de texto/estrutura e schema em corpus de avaliação.</t>
        </is>
      </c>
      <c r="J296" s="3" t="inlineStr">
        <is>
          <t>tests/extract/docling-text/</t>
        </is>
      </c>
      <c r="K296" s="3" t="inlineStr">
        <is>
          <t>Diferenças aceitas são documentadas; não há regressão silenciosa de tabelas/fontes.</t>
        </is>
      </c>
      <c r="L296" s="3" t="inlineStr">
        <is>
          <t>SL-S27-08</t>
        </is>
      </c>
      <c r="M296" s="3" t="inlineStr">
        <is>
          <t>R14; R15; R30; R33; R34</t>
        </is>
      </c>
      <c r="N296" s="10" t="inlineStr">
        <is>
          <t>Não iniciado</t>
        </is>
      </c>
      <c r="O296" s="3" t="inlineStr">
        <is>
          <t>P0</t>
        </is>
      </c>
      <c r="P296" s="3" t="inlineStr">
        <is>
          <t>Crítico</t>
        </is>
      </c>
      <c r="Q296" s="3" t="inlineStr">
        <is>
          <t>Obrigatória no escopo da versão</t>
        </is>
      </c>
      <c r="R296" s="10" t="inlineStr">
        <is>
          <t>Autor + agente de IA</t>
        </is>
      </c>
      <c r="S296" s="10" t="inlineStr"/>
      <c r="T296" s="11" t="inlineStr"/>
      <c r="U296" s="3" t="inlineStr">
        <is>
          <t>reports/S27/SL-S27-09.md</t>
        </is>
      </c>
      <c r="V296" s="10" t="inlineStr"/>
      <c r="W296" s="10" t="inlineStr"/>
      <c r="X296" s="3">
        <f>IF(N296="Concluído",IF(AND(S296&lt;&gt;"",ISNUMBER(T296),T296&gt;0,V296&lt;&gt;"",AND(OR(X295="OK",X295="DISPENSADO"))),"OK","REVISAR"),IF(N296="Dispensado (ADR)",IF(AND(LEFT(Q296,11)="Condicional",W296&lt;&gt;"",S296&lt;&gt;"",ISNUMBER(T296),T296&gt;0,V296&lt;&gt;""),"DISPENSADO","REVISAR"),"PENDENTE"))</f>
        <v/>
      </c>
      <c r="Y296" s="10" t="inlineStr"/>
    </row>
    <row r="297" ht="112" customHeight="1">
      <c r="A297" s="3" t="n">
        <v>296</v>
      </c>
      <c r="B297" s="3" t="inlineStr">
        <is>
          <t>SL-S27-10</t>
        </is>
      </c>
      <c r="C297" s="9" t="inlineStr">
        <is>
          <t>v0.5.0</t>
        </is>
      </c>
      <c r="D297" s="9" t="inlineStr">
        <is>
          <t>S27</t>
        </is>
      </c>
      <c r="E297" s="3" t="inlineStr">
        <is>
          <t>Docling / ExtractProvider</t>
        </is>
      </c>
      <c r="F297" s="3" t="inlineStr">
        <is>
          <t>Desconstrução</t>
        </is>
      </c>
      <c r="G297" s="3" t="inlineStr">
        <is>
          <t>Teste</t>
        </is>
      </c>
      <c r="H297" s="3" t="inlineStr">
        <is>
          <t>Medir processo leve</t>
        </is>
      </c>
      <c r="I297" s="3" t="inlineStr">
        <is>
          <t>Medir startup, pico, cancelamento e retorno ao estado sem worker.</t>
        </is>
      </c>
      <c r="J297" s="3" t="inlineStr">
        <is>
          <t>reports/docling/text-resources.json</t>
        </is>
      </c>
      <c r="K297" s="3" t="inlineStr">
        <is>
          <t>Orçamento do perfil é observado ou a integração é bloqueada/replanejada explicitamente.</t>
        </is>
      </c>
      <c r="L297" s="3" t="inlineStr">
        <is>
          <t>SL-S27-09</t>
        </is>
      </c>
      <c r="M297" s="3" t="inlineStr">
        <is>
          <t>R14; R15; R30; R33; R34</t>
        </is>
      </c>
      <c r="N297" s="10" t="inlineStr">
        <is>
          <t>Não iniciado</t>
        </is>
      </c>
      <c r="O297" s="3" t="inlineStr">
        <is>
          <t>P0</t>
        </is>
      </c>
      <c r="P297" s="3" t="inlineStr">
        <is>
          <t>Crítico</t>
        </is>
      </c>
      <c r="Q297" s="3" t="inlineStr">
        <is>
          <t>Obrigatória no escopo da versão</t>
        </is>
      </c>
      <c r="R297" s="10" t="inlineStr">
        <is>
          <t>Autor + agente de IA</t>
        </is>
      </c>
      <c r="S297" s="10" t="inlineStr"/>
      <c r="T297" s="11" t="inlineStr"/>
      <c r="U297" s="3" t="inlineStr">
        <is>
          <t>reports/S27/SL-S27-10.md</t>
        </is>
      </c>
      <c r="V297" s="10" t="inlineStr"/>
      <c r="W297" s="10" t="inlineStr"/>
      <c r="X297" s="3">
        <f>IF(N297="Concluído",IF(AND(S297&lt;&gt;"",ISNUMBER(T297),T297&gt;0,V297&lt;&gt;"",AND(OR(X296="OK",X296="DISPENSADO"))),"OK","REVISAR"),IF(N297="Dispensado (ADR)",IF(AND(LEFT(Q297,11)="Condicional",W297&lt;&gt;"",S297&lt;&gt;"",ISNUMBER(T297),T297&gt;0,V297&lt;&gt;""),"DISPENSADO","REVISAR"),"PENDENTE"))</f>
        <v/>
      </c>
      <c r="Y297" s="10" t="inlineStr"/>
    </row>
    <row r="298" ht="98" customHeight="1">
      <c r="A298" s="3" t="n">
        <v>297</v>
      </c>
      <c r="B298" s="12" t="inlineStr">
        <is>
          <t>SL-S27-GATE</t>
        </is>
      </c>
      <c r="C298" s="9" t="inlineStr">
        <is>
          <t>v0.5.0</t>
        </is>
      </c>
      <c r="D298" s="9" t="inlineStr">
        <is>
          <t>S27</t>
        </is>
      </c>
      <c r="E298" s="3" t="inlineStr">
        <is>
          <t>Docling / ExtractProvider</t>
        </is>
      </c>
      <c r="F298" s="3" t="inlineStr">
        <is>
          <t>Aceite humano</t>
        </is>
      </c>
      <c r="G298" s="12" t="inlineStr">
        <is>
          <t>Gate</t>
        </is>
      </c>
      <c r="H298" s="12" t="inlineStr">
        <is>
          <t>Aceitar S27 — Desconstruir Docling e integrar extração textual</t>
        </is>
      </c>
      <c r="I298" s="3" t="inlineStr">
        <is>
          <t>Revisar as dez tarefas, executar a demonstração do sprint, confrontar critérios e registrar decisão go/no-go.</t>
        </is>
      </c>
      <c r="J298" s="3" t="inlineStr">
        <is>
          <t>reports/S27/acceptance.md</t>
        </is>
      </c>
      <c r="K298" s="3" t="inlineStr">
        <is>
          <t>Importar PDF/DOCX de fixture e obter blocos com referências ao original. Todas as dependências aceitas; evidências vinculadas a revisão/ambiente; nenhum blocker de integridade/segurança.</t>
        </is>
      </c>
      <c r="L298" s="3" t="inlineStr">
        <is>
          <t>SL-S27-01; SL-S27-02; SL-S27-03; SL-S27-04; SL-S27-05; SL-S27-06; SL-S27-07; SL-S27-08; SL-S27-09; SL-S27-10</t>
        </is>
      </c>
      <c r="M298" s="3" t="inlineStr">
        <is>
          <t>R14; R15; R30; R33; R34</t>
        </is>
      </c>
      <c r="N298" s="10" t="inlineStr">
        <is>
          <t>Não iniciado</t>
        </is>
      </c>
      <c r="O298" s="3" t="inlineStr">
        <is>
          <t>P0</t>
        </is>
      </c>
      <c r="P298" s="3" t="inlineStr">
        <is>
          <t>Crítico</t>
        </is>
      </c>
      <c r="Q298" s="3" t="inlineStr">
        <is>
          <t>Obrigatória para fechar a versão aprovada</t>
        </is>
      </c>
      <c r="R298" s="10" t="inlineStr">
        <is>
          <t>Autor</t>
        </is>
      </c>
      <c r="S298" s="10" t="inlineStr"/>
      <c r="T298" s="11" t="inlineStr"/>
      <c r="U298" s="3" t="inlineStr">
        <is>
          <t>reports/S27/acceptance.md</t>
        </is>
      </c>
      <c r="V298" s="10" t="inlineStr"/>
      <c r="W298" s="10" t="inlineStr"/>
      <c r="X298" s="3">
        <f>IF(N298="Concluído",IF(AND(S298&lt;&gt;"",ISNUMBER(T298),T298&gt;0,V298&lt;&gt;"",AND(OR(X288="OK",X288="DISPENSADO"),OR(X289="OK",X289="DISPENSADO"),OR(X290="OK",X290="DISPENSADO"),OR(X291="OK",X291="DISPENSADO"),OR(X292="OK",X292="DISPENSADO"),OR(X293="OK",X293="DISPENSADO"),OR(X294="OK",X294="DISPENSADO"),OR(X295="OK",X295="DISPENSADO"),OR(X296="OK",X296="DISPENSADO"),OR(X297="OK",X297="DISPENSADO"))),"OK","REVISAR"),IF(N298="Dispensado (ADR)",IF(AND(LEFT(Q298,11)="Condicional",W298&lt;&gt;"",S298&lt;&gt;"",ISNUMBER(T298),T298&gt;0,V298&lt;&gt;""),"DISPENSADO","REVISAR"),"PENDENTE"))</f>
        <v/>
      </c>
      <c r="Y298" s="10" t="inlineStr"/>
    </row>
    <row r="299" ht="112" customHeight="1">
      <c r="A299" s="3" t="n">
        <v>298</v>
      </c>
      <c r="B299" s="3" t="inlineStr">
        <is>
          <t>SL-S28-01</t>
        </is>
      </c>
      <c r="C299" s="9" t="inlineStr">
        <is>
          <t>v0.5.0</t>
        </is>
      </c>
      <c r="D299" s="9" t="inlineStr">
        <is>
          <t>S28</t>
        </is>
      </c>
      <c r="E299" s="3" t="inlineStr">
        <is>
          <t>Docling / OCR</t>
        </is>
      </c>
      <c r="F299" s="3" t="inlineStr">
        <is>
          <t>Adaptação</t>
        </is>
      </c>
      <c r="G299" s="3" t="inlineStr">
        <is>
          <t>Decisão</t>
        </is>
      </c>
      <c r="H299" s="3" t="inlineStr">
        <is>
          <t>Selecionar perfil OCR</t>
        </is>
      </c>
      <c r="I299" s="3" t="inlineStr">
        <is>
          <t>Comparar alternativas disponíveis na revisão fixada, idiomas, memória e licenças.</t>
        </is>
      </c>
      <c r="J299" s="3" t="inlineStr">
        <is>
          <t>docs/models/ocr-profile.md</t>
        </is>
      </c>
      <c r="K299" s="3" t="inlineStr">
        <is>
          <t>Perfil aprovado explicita hardware mínimo e não aumenta teto de RAM silenciosamente.</t>
        </is>
      </c>
      <c r="L299" s="3" t="inlineStr">
        <is>
          <t>SL-S27-GATE</t>
        </is>
      </c>
      <c r="M299" s="3" t="inlineStr">
        <is>
          <t>R09; R14; R15; R30</t>
        </is>
      </c>
      <c r="N299" s="10" t="inlineStr">
        <is>
          <t>Não iniciado</t>
        </is>
      </c>
      <c r="O299" s="3" t="inlineStr">
        <is>
          <t>P0</t>
        </is>
      </c>
      <c r="P299" s="3" t="inlineStr">
        <is>
          <t>Crítico</t>
        </is>
      </c>
      <c r="Q299" s="3" t="inlineStr">
        <is>
          <t>Obrigatória no escopo da versão</t>
        </is>
      </c>
      <c r="R299" s="10" t="inlineStr">
        <is>
          <t>Autor</t>
        </is>
      </c>
      <c r="S299" s="10" t="inlineStr"/>
      <c r="T299" s="11" t="inlineStr"/>
      <c r="U299" s="3" t="inlineStr">
        <is>
          <t>reports/S28/SL-S28-01.md</t>
        </is>
      </c>
      <c r="V299" s="10" t="inlineStr"/>
      <c r="W299" s="10" t="inlineStr"/>
      <c r="X299" s="3">
        <f>IF(N299="Concluído",IF(AND(S299&lt;&gt;"",ISNUMBER(T299),T299&gt;0,V299&lt;&gt;"",AND(OR(X298="OK",X298="DISPENSADO"))),"OK","REVISAR"),IF(N299="Dispensado (ADR)",IF(AND(LEFT(Q299,11)="Condicional",W299&lt;&gt;"",S299&lt;&gt;"",ISNUMBER(T299),T299&gt;0,V299&lt;&gt;""),"DISPENSADO","REVISAR"),"PENDENTE"))</f>
        <v/>
      </c>
      <c r="Y299" s="10" t="inlineStr"/>
    </row>
    <row r="300" ht="112" customHeight="1">
      <c r="A300" s="3" t="n">
        <v>299</v>
      </c>
      <c r="B300" s="3" t="inlineStr">
        <is>
          <t>SL-S28-02</t>
        </is>
      </c>
      <c r="C300" s="9" t="inlineStr">
        <is>
          <t>v0.5.0</t>
        </is>
      </c>
      <c r="D300" s="9" t="inlineStr">
        <is>
          <t>S28</t>
        </is>
      </c>
      <c r="E300" s="3" t="inlineStr">
        <is>
          <t>Docling / OCR</t>
        </is>
      </c>
      <c r="F300" s="3" t="inlineStr">
        <is>
          <t>Adaptação</t>
        </is>
      </c>
      <c r="G300" s="3" t="inlineStr">
        <is>
          <t>Implementação</t>
        </is>
      </c>
      <c r="H300" s="3" t="inlineStr">
        <is>
          <t>Provisionar artefatos OCR</t>
        </is>
      </c>
      <c r="I300" s="3" t="inlineStr">
        <is>
          <t>Instalar por manifest/hash e permitir uso com rede bloqueada depois do provisionamento.</t>
        </is>
      </c>
      <c r="J300" s="3" t="inlineStr">
        <is>
          <t>workers/docling/ocr-manifest.json</t>
        </is>
      </c>
      <c r="K300" s="3" t="inlineStr">
        <is>
          <t>Artefato faltante gera tarefa de instalação consentida, não download oculto durante parsing.</t>
        </is>
      </c>
      <c r="L300" s="3" t="inlineStr">
        <is>
          <t>SL-S28-01</t>
        </is>
      </c>
      <c r="M300" s="3" t="inlineStr">
        <is>
          <t>R09; R14; R15; R30</t>
        </is>
      </c>
      <c r="N300" s="10" t="inlineStr">
        <is>
          <t>Não iniciado</t>
        </is>
      </c>
      <c r="O300" s="3" t="inlineStr">
        <is>
          <t>P0</t>
        </is>
      </c>
      <c r="P300" s="3" t="inlineStr">
        <is>
          <t>Crítico</t>
        </is>
      </c>
      <c r="Q300" s="3" t="inlineStr">
        <is>
          <t>Obrigatória no escopo da versão</t>
        </is>
      </c>
      <c r="R300" s="10" t="inlineStr">
        <is>
          <t>Autor + agente de IA</t>
        </is>
      </c>
      <c r="S300" s="10" t="inlineStr"/>
      <c r="T300" s="11" t="inlineStr"/>
      <c r="U300" s="3" t="inlineStr">
        <is>
          <t>reports/S28/SL-S28-02.md</t>
        </is>
      </c>
      <c r="V300" s="10" t="inlineStr"/>
      <c r="W300" s="10" t="inlineStr"/>
      <c r="X300" s="3">
        <f>IF(N300="Concluído",IF(AND(S300&lt;&gt;"",ISNUMBER(T300),T300&gt;0,V300&lt;&gt;"",AND(OR(X299="OK",X299="DISPENSADO"))),"OK","REVISAR"),IF(N300="Dispensado (ADR)",IF(AND(LEFT(Q300,11)="Condicional",W300&lt;&gt;"",S300&lt;&gt;"",ISNUMBER(T300),T300&gt;0,V300&lt;&gt;""),"DISPENSADO","REVISAR"),"PENDENTE"))</f>
        <v/>
      </c>
      <c r="Y300" s="10" t="inlineStr"/>
    </row>
    <row r="301" ht="112" customHeight="1">
      <c r="A301" s="3" t="n">
        <v>300</v>
      </c>
      <c r="B301" s="3" t="inlineStr">
        <is>
          <t>SL-S28-03</t>
        </is>
      </c>
      <c r="C301" s="9" t="inlineStr">
        <is>
          <t>v0.5.0</t>
        </is>
      </c>
      <c r="D301" s="9" t="inlineStr">
        <is>
          <t>S28</t>
        </is>
      </c>
      <c r="E301" s="3" t="inlineStr">
        <is>
          <t>Docling / OCR</t>
        </is>
      </c>
      <c r="F301" s="3" t="inlineStr">
        <is>
          <t>Adaptação</t>
        </is>
      </c>
      <c r="G301" s="3" t="inlineStr">
        <is>
          <t>Implementação</t>
        </is>
      </c>
      <c r="H301" s="3" t="inlineStr">
        <is>
          <t>Detectar necessidade de OCR</t>
        </is>
      </c>
      <c r="I301" s="3" t="inlineStr">
        <is>
          <t>Distinguir camada textual suficiente, páginas imagem e extração suspeita.</t>
        </is>
      </c>
      <c r="J301" s="3" t="inlineStr">
        <is>
          <t>workers/docling/ocr-routing.py</t>
        </is>
      </c>
      <c r="K301" s="3" t="inlineStr">
        <is>
          <t>Documento textual comum evita custo OCR; classificação incorreta pode ser corrigida pelo usuário.</t>
        </is>
      </c>
      <c r="L301" s="3" t="inlineStr">
        <is>
          <t>SL-S28-02</t>
        </is>
      </c>
      <c r="M301" s="3" t="inlineStr">
        <is>
          <t>R09; R14; R15; R30</t>
        </is>
      </c>
      <c r="N301" s="10" t="inlineStr">
        <is>
          <t>Não iniciado</t>
        </is>
      </c>
      <c r="O301" s="3" t="inlineStr">
        <is>
          <t>P0</t>
        </is>
      </c>
      <c r="P301" s="3" t="inlineStr">
        <is>
          <t>Crítico</t>
        </is>
      </c>
      <c r="Q301" s="3" t="inlineStr">
        <is>
          <t>Obrigatória no escopo da versão</t>
        </is>
      </c>
      <c r="R301" s="10" t="inlineStr">
        <is>
          <t>Autor + agente de IA</t>
        </is>
      </c>
      <c r="S301" s="10" t="inlineStr"/>
      <c r="T301" s="11" t="inlineStr"/>
      <c r="U301" s="3" t="inlineStr">
        <is>
          <t>reports/S28/SL-S28-03.md</t>
        </is>
      </c>
      <c r="V301" s="10" t="inlineStr"/>
      <c r="W301" s="10" t="inlineStr"/>
      <c r="X301" s="3">
        <f>IF(N301="Concluído",IF(AND(S301&lt;&gt;"",ISNUMBER(T301),T301&gt;0,V301&lt;&gt;"",AND(OR(X300="OK",X300="DISPENSADO"))),"OK","REVISAR"),IF(N301="Dispensado (ADR)",IF(AND(LEFT(Q301,11)="Condicional",W301&lt;&gt;"",S301&lt;&gt;"",ISNUMBER(T301),T301&gt;0,V301&lt;&gt;""),"DISPENSADO","REVISAR"),"PENDENTE"))</f>
        <v/>
      </c>
      <c r="Y301" s="10" t="inlineStr"/>
    </row>
    <row r="302" ht="112" customHeight="1">
      <c r="A302" s="3" t="n">
        <v>301</v>
      </c>
      <c r="B302" s="3" t="inlineStr">
        <is>
          <t>SL-S28-04</t>
        </is>
      </c>
      <c r="C302" s="9" t="inlineStr">
        <is>
          <t>v0.5.0</t>
        </is>
      </c>
      <c r="D302" s="9" t="inlineStr">
        <is>
          <t>S28</t>
        </is>
      </c>
      <c r="E302" s="3" t="inlineStr">
        <is>
          <t>Docling / OCR</t>
        </is>
      </c>
      <c r="F302" s="3" t="inlineStr">
        <is>
          <t>Adaptação</t>
        </is>
      </c>
      <c r="G302" s="3" t="inlineStr">
        <is>
          <t>Implementação</t>
        </is>
      </c>
      <c r="H302" s="3" t="inlineStr">
        <is>
          <t>Processar com limites</t>
        </is>
      </c>
      <c r="I302" s="3" t="inlineStr">
        <is>
          <t>Definir unidade/paginação e concorrência permitida pelo motor sem alterar semântica.</t>
        </is>
      </c>
      <c r="J302" s="3" t="inlineStr">
        <is>
          <t>workers/docling/ocr-jobs.py</t>
        </is>
      </c>
      <c r="K302" s="3" t="inlineStr">
        <is>
          <t>Documento grande não cresce sem limite até derrubar o Core.</t>
        </is>
      </c>
      <c r="L302" s="3" t="inlineStr">
        <is>
          <t>SL-S28-03</t>
        </is>
      </c>
      <c r="M302" s="3" t="inlineStr">
        <is>
          <t>R09; R14; R15; R30</t>
        </is>
      </c>
      <c r="N302" s="10" t="inlineStr">
        <is>
          <t>Não iniciado</t>
        </is>
      </c>
      <c r="O302" s="3" t="inlineStr">
        <is>
          <t>P0</t>
        </is>
      </c>
      <c r="P302" s="3" t="inlineStr">
        <is>
          <t>Crítico</t>
        </is>
      </c>
      <c r="Q302" s="3" t="inlineStr">
        <is>
          <t>Obrigatória no escopo da versão</t>
        </is>
      </c>
      <c r="R302" s="10" t="inlineStr">
        <is>
          <t>Autor + agente de IA</t>
        </is>
      </c>
      <c r="S302" s="10" t="inlineStr"/>
      <c r="T302" s="11" t="inlineStr"/>
      <c r="U302" s="3" t="inlineStr">
        <is>
          <t>reports/S28/SL-S28-04.md</t>
        </is>
      </c>
      <c r="V302" s="10" t="inlineStr"/>
      <c r="W302" s="10" t="inlineStr"/>
      <c r="X302" s="3">
        <f>IF(N302="Concluído",IF(AND(S302&lt;&gt;"",ISNUMBER(T302),T302&gt;0,V302&lt;&gt;"",AND(OR(X301="OK",X301="DISPENSADO"))),"OK","REVISAR"),IF(N302="Dispensado (ADR)",IF(AND(LEFT(Q302,11)="Condicional",W302&lt;&gt;"",S302&lt;&gt;"",ISNUMBER(T302),T302&gt;0,V302&lt;&gt;""),"DISPENSADO","REVISAR"),"PENDENTE"))</f>
        <v/>
      </c>
      <c r="Y302" s="10" t="inlineStr"/>
    </row>
    <row r="303" ht="112" customHeight="1">
      <c r="A303" s="3" t="n">
        <v>302</v>
      </c>
      <c r="B303" s="3" t="inlineStr">
        <is>
          <t>SL-S28-05</t>
        </is>
      </c>
      <c r="C303" s="9" t="inlineStr">
        <is>
          <t>v0.5.0</t>
        </is>
      </c>
      <c r="D303" s="9" t="inlineStr">
        <is>
          <t>S28</t>
        </is>
      </c>
      <c r="E303" s="3" t="inlineStr">
        <is>
          <t>Docling / OCR</t>
        </is>
      </c>
      <c r="F303" s="3" t="inlineStr">
        <is>
          <t>Adaptação</t>
        </is>
      </c>
      <c r="G303" s="3" t="inlineStr">
        <is>
          <t>Implementação</t>
        </is>
      </c>
      <c r="H303" s="3" t="inlineStr">
        <is>
          <t>Preservar coordenadas</t>
        </is>
      </c>
      <c r="I303" s="3" t="inlineStr">
        <is>
          <t>Associar OCR e tabelas à página/asset original com status de precisão.</t>
        </is>
      </c>
      <c r="J303" s="3" t="inlineStr">
        <is>
          <t>workers/docling/ocr-locators.py</t>
        </is>
      </c>
      <c r="K303" s="3" t="inlineStr">
        <is>
          <t>Texto extraído não inventa coordenada ou evidência inexistente quando o backend não a fornece.</t>
        </is>
      </c>
      <c r="L303" s="3" t="inlineStr">
        <is>
          <t>SL-S28-04</t>
        </is>
      </c>
      <c r="M303" s="3" t="inlineStr">
        <is>
          <t>R09; R14; R15; R30</t>
        </is>
      </c>
      <c r="N303" s="10" t="inlineStr">
        <is>
          <t>Não iniciado</t>
        </is>
      </c>
      <c r="O303" s="3" t="inlineStr">
        <is>
          <t>P0</t>
        </is>
      </c>
      <c r="P303" s="3" t="inlineStr">
        <is>
          <t>Crítico</t>
        </is>
      </c>
      <c r="Q303" s="3" t="inlineStr">
        <is>
          <t>Obrigatória no escopo da versão</t>
        </is>
      </c>
      <c r="R303" s="10" t="inlineStr">
        <is>
          <t>Autor + agente de IA</t>
        </is>
      </c>
      <c r="S303" s="10" t="inlineStr"/>
      <c r="T303" s="11" t="inlineStr"/>
      <c r="U303" s="3" t="inlineStr">
        <is>
          <t>reports/S28/SL-S28-05.md</t>
        </is>
      </c>
      <c r="V303" s="10" t="inlineStr"/>
      <c r="W303" s="10" t="inlineStr"/>
      <c r="X303" s="3">
        <f>IF(N303="Concluído",IF(AND(S303&lt;&gt;"",ISNUMBER(T303),T303&gt;0,V303&lt;&gt;"",AND(OR(X302="OK",X302="DISPENSADO"))),"OK","REVISAR"),IF(N303="Dispensado (ADR)",IF(AND(LEFT(Q303,11)="Condicional",W303&lt;&gt;"",S303&lt;&gt;"",ISNUMBER(T303),T303&gt;0,V303&lt;&gt;""),"DISPENSADO","REVISAR"),"PENDENTE"))</f>
        <v/>
      </c>
      <c r="Y303" s="10" t="inlineStr"/>
    </row>
    <row r="304" ht="112" customHeight="1">
      <c r="A304" s="3" t="n">
        <v>303</v>
      </c>
      <c r="B304" s="3" t="inlineStr">
        <is>
          <t>SL-S28-06</t>
        </is>
      </c>
      <c r="C304" s="9" t="inlineStr">
        <is>
          <t>v0.5.0</t>
        </is>
      </c>
      <c r="D304" s="9" t="inlineStr">
        <is>
          <t>S28</t>
        </is>
      </c>
      <c r="E304" s="3" t="inlineStr">
        <is>
          <t>Docling / OCR</t>
        </is>
      </c>
      <c r="F304" s="3" t="inlineStr">
        <is>
          <t>Adaptação</t>
        </is>
      </c>
      <c r="G304" s="3" t="inlineStr">
        <is>
          <t>Implementação</t>
        </is>
      </c>
      <c r="H304" s="3" t="inlineStr">
        <is>
          <t>Registrar checkpoints</t>
        </is>
      </c>
      <c r="I304" s="3" t="inlineStr">
        <is>
          <t>Retomar unidades concluídas quando a API/pipeline escolhido permitir.</t>
        </is>
      </c>
      <c r="J304" s="3" t="inlineStr">
        <is>
          <t>crates/ingest/src/extraction_checkpoint.rs</t>
        </is>
      </c>
      <c r="K304" s="3" t="inlineStr">
        <is>
          <t>Retry não duplica blocos e fallback de reprocessamento completo é explícito quando necessário.</t>
        </is>
      </c>
      <c r="L304" s="3" t="inlineStr">
        <is>
          <t>SL-S28-05</t>
        </is>
      </c>
      <c r="M304" s="3" t="inlineStr">
        <is>
          <t>R09; R14; R15; R30</t>
        </is>
      </c>
      <c r="N304" s="10" t="inlineStr">
        <is>
          <t>Não iniciado</t>
        </is>
      </c>
      <c r="O304" s="3" t="inlineStr">
        <is>
          <t>P0</t>
        </is>
      </c>
      <c r="P304" s="3" t="inlineStr">
        <is>
          <t>Crítico</t>
        </is>
      </c>
      <c r="Q304" s="3" t="inlineStr">
        <is>
          <t>Obrigatória no escopo da versão</t>
        </is>
      </c>
      <c r="R304" s="10" t="inlineStr">
        <is>
          <t>Autor + agente de IA</t>
        </is>
      </c>
      <c r="S304" s="10" t="inlineStr"/>
      <c r="T304" s="11" t="inlineStr"/>
      <c r="U304" s="3" t="inlineStr">
        <is>
          <t>reports/S28/SL-S28-06.md</t>
        </is>
      </c>
      <c r="V304" s="10" t="inlineStr"/>
      <c r="W304" s="10" t="inlineStr"/>
      <c r="X304" s="3">
        <f>IF(N304="Concluído",IF(AND(S304&lt;&gt;"",ISNUMBER(T304),T304&gt;0,V304&lt;&gt;"",AND(OR(X303="OK",X303="DISPENSADO"))),"OK","REVISAR"),IF(N304="Dispensado (ADR)",IF(AND(LEFT(Q304,11)="Condicional",W304&lt;&gt;"",S304&lt;&gt;"",ISNUMBER(T304),T304&gt;0,V304&lt;&gt;""),"DISPENSADO","REVISAR"),"PENDENTE"))</f>
        <v/>
      </c>
      <c r="Y304" s="10" t="inlineStr"/>
    </row>
    <row r="305" ht="112" customHeight="1">
      <c r="A305" s="3" t="n">
        <v>304</v>
      </c>
      <c r="B305" s="3" t="inlineStr">
        <is>
          <t>SL-S28-07</t>
        </is>
      </c>
      <c r="C305" s="9" t="inlineStr">
        <is>
          <t>v0.5.0</t>
        </is>
      </c>
      <c r="D305" s="9" t="inlineStr">
        <is>
          <t>S28</t>
        </is>
      </c>
      <c r="E305" s="3" t="inlineStr">
        <is>
          <t>Docling / OCR</t>
        </is>
      </c>
      <c r="F305" s="3" t="inlineStr">
        <is>
          <t>Adaptação</t>
        </is>
      </c>
      <c r="G305" s="3" t="inlineStr">
        <is>
          <t>Implementação</t>
        </is>
      </c>
      <c r="H305" s="3" t="inlineStr">
        <is>
          <t>Expor qualidade/limitações</t>
        </is>
      </c>
      <c r="I305" s="3" t="inlineStr">
        <is>
          <t>Marcar baixa legibilidade, leitura parcial e páginas não processadas.</t>
        </is>
      </c>
      <c r="J305" s="3" t="inlineStr">
        <is>
          <t>apps/desktop/src/ingest/extraction-quality.ts</t>
        </is>
      </c>
      <c r="K305" s="3" t="inlineStr">
        <is>
          <t>Resumo futuro consegue distinguir documento completo de conteúdo parcialmente extraído.</t>
        </is>
      </c>
      <c r="L305" s="3" t="inlineStr">
        <is>
          <t>SL-S28-06</t>
        </is>
      </c>
      <c r="M305" s="3" t="inlineStr">
        <is>
          <t>R09; R14; R15; R30</t>
        </is>
      </c>
      <c r="N305" s="10" t="inlineStr">
        <is>
          <t>Não iniciado</t>
        </is>
      </c>
      <c r="O305" s="3" t="inlineStr">
        <is>
          <t>P0</t>
        </is>
      </c>
      <c r="P305" s="3" t="inlineStr">
        <is>
          <t>Crítico</t>
        </is>
      </c>
      <c r="Q305" s="3" t="inlineStr">
        <is>
          <t>Obrigatória no escopo da versão</t>
        </is>
      </c>
      <c r="R305" s="10" t="inlineStr">
        <is>
          <t>Autor + agente de IA</t>
        </is>
      </c>
      <c r="S305" s="10" t="inlineStr"/>
      <c r="T305" s="11" t="inlineStr"/>
      <c r="U305" s="3" t="inlineStr">
        <is>
          <t>reports/S28/SL-S28-07.md</t>
        </is>
      </c>
      <c r="V305" s="10" t="inlineStr"/>
      <c r="W305" s="10" t="inlineStr"/>
      <c r="X305" s="3">
        <f>IF(N305="Concluído",IF(AND(S305&lt;&gt;"",ISNUMBER(T305),T305&gt;0,V305&lt;&gt;"",AND(OR(X304="OK",X304="DISPENSADO"))),"OK","REVISAR"),IF(N305="Dispensado (ADR)",IF(AND(LEFT(Q305,11)="Condicional",W305&lt;&gt;"",S305&lt;&gt;"",ISNUMBER(T305),T305&gt;0,V305&lt;&gt;""),"DISPENSADO","REVISAR"),"PENDENTE"))</f>
        <v/>
      </c>
      <c r="Y305" s="10" t="inlineStr"/>
    </row>
    <row r="306" ht="112" customHeight="1">
      <c r="A306" s="3" t="n">
        <v>305</v>
      </c>
      <c r="B306" s="3" t="inlineStr">
        <is>
          <t>SL-S28-08</t>
        </is>
      </c>
      <c r="C306" s="9" t="inlineStr">
        <is>
          <t>v0.5.0</t>
        </is>
      </c>
      <c r="D306" s="9" t="inlineStr">
        <is>
          <t>S28</t>
        </is>
      </c>
      <c r="E306" s="3" t="inlineStr">
        <is>
          <t>Docling / OCR</t>
        </is>
      </c>
      <c r="F306" s="3" t="inlineStr">
        <is>
          <t>Adaptação</t>
        </is>
      </c>
      <c r="G306" s="3" t="inlineStr">
        <is>
          <t>Teste</t>
        </is>
      </c>
      <c r="H306" s="3" t="inlineStr">
        <is>
          <t>Testar corpus visual difícil</t>
        </is>
      </c>
      <c r="I306" s="3" t="inlineStr">
        <is>
          <t>Cobrir colunas, rotação, tabelas, imagens e diferentes idiomas.</t>
        </is>
      </c>
      <c r="J306" s="3" t="inlineStr">
        <is>
          <t>tests/extract/ocr/</t>
        </is>
      </c>
      <c r="K306" s="3" t="inlineStr">
        <is>
          <t>Erros conhecidos são mensurados e não mascarados como compreensão visual perfeita.</t>
        </is>
      </c>
      <c r="L306" s="3" t="inlineStr">
        <is>
          <t>SL-S28-07</t>
        </is>
      </c>
      <c r="M306" s="3" t="inlineStr">
        <is>
          <t>R09; R14; R15; R30</t>
        </is>
      </c>
      <c r="N306" s="10" t="inlineStr">
        <is>
          <t>Não iniciado</t>
        </is>
      </c>
      <c r="O306" s="3" t="inlineStr">
        <is>
          <t>P0</t>
        </is>
      </c>
      <c r="P306" s="3" t="inlineStr">
        <is>
          <t>Crítico</t>
        </is>
      </c>
      <c r="Q306" s="3" t="inlineStr">
        <is>
          <t>Obrigatória no escopo da versão</t>
        </is>
      </c>
      <c r="R306" s="10" t="inlineStr">
        <is>
          <t>Autor + agente de IA</t>
        </is>
      </c>
      <c r="S306" s="10" t="inlineStr"/>
      <c r="T306" s="11" t="inlineStr"/>
      <c r="U306" s="3" t="inlineStr">
        <is>
          <t>reports/S28/SL-S28-08.md</t>
        </is>
      </c>
      <c r="V306" s="10" t="inlineStr"/>
      <c r="W306" s="10" t="inlineStr"/>
      <c r="X306" s="3">
        <f>IF(N306="Concluído",IF(AND(S306&lt;&gt;"",ISNUMBER(T306),T306&gt;0,V306&lt;&gt;"",AND(OR(X305="OK",X305="DISPENSADO"))),"OK","REVISAR"),IF(N306="Dispensado (ADR)",IF(AND(LEFT(Q306,11)="Condicional",W306&lt;&gt;"",S306&lt;&gt;"",ISNUMBER(T306),T306&gt;0,V306&lt;&gt;""),"DISPENSADO","REVISAR"),"PENDENTE"))</f>
        <v/>
      </c>
      <c r="Y306" s="10" t="inlineStr"/>
    </row>
    <row r="307" ht="112" customHeight="1">
      <c r="A307" s="3" t="n">
        <v>306</v>
      </c>
      <c r="B307" s="3" t="inlineStr">
        <is>
          <t>SL-S28-09</t>
        </is>
      </c>
      <c r="C307" s="9" t="inlineStr">
        <is>
          <t>v0.5.0</t>
        </is>
      </c>
      <c r="D307" s="9" t="inlineStr">
        <is>
          <t>S28</t>
        </is>
      </c>
      <c r="E307" s="3" t="inlineStr">
        <is>
          <t>Docling / OCR</t>
        </is>
      </c>
      <c r="F307" s="3" t="inlineStr">
        <is>
          <t>Adaptação</t>
        </is>
      </c>
      <c r="G307" s="3" t="inlineStr">
        <is>
          <t>Teste</t>
        </is>
      </c>
      <c r="H307" s="3" t="inlineStr">
        <is>
          <t>Testar limites e cancelamento</t>
        </is>
      </c>
      <c r="I307" s="3" t="inlineStr">
        <is>
          <t>Simular timeout/OOM e interrupção após algumas páginas.</t>
        </is>
      </c>
      <c r="J307" s="3" t="inlineStr">
        <is>
          <t>reports/docling/ocr-failure.json</t>
        </is>
      </c>
      <c r="K307" s="3" t="inlineStr">
        <is>
          <t>App preserva original, encerra worker e fornece reprocessamento controlado.</t>
        </is>
      </c>
      <c r="L307" s="3" t="inlineStr">
        <is>
          <t>SL-S28-08</t>
        </is>
      </c>
      <c r="M307" s="3" t="inlineStr">
        <is>
          <t>R09; R14; R15; R30</t>
        </is>
      </c>
      <c r="N307" s="10" t="inlineStr">
        <is>
          <t>Não iniciado</t>
        </is>
      </c>
      <c r="O307" s="3" t="inlineStr">
        <is>
          <t>P0</t>
        </is>
      </c>
      <c r="P307" s="3" t="inlineStr">
        <is>
          <t>Crítico</t>
        </is>
      </c>
      <c r="Q307" s="3" t="inlineStr">
        <is>
          <t>Obrigatória no escopo da versão</t>
        </is>
      </c>
      <c r="R307" s="10" t="inlineStr">
        <is>
          <t>Autor + agente de IA</t>
        </is>
      </c>
      <c r="S307" s="10" t="inlineStr"/>
      <c r="T307" s="11" t="inlineStr"/>
      <c r="U307" s="3" t="inlineStr">
        <is>
          <t>reports/S28/SL-S28-09.md</t>
        </is>
      </c>
      <c r="V307" s="10" t="inlineStr"/>
      <c r="W307" s="10" t="inlineStr"/>
      <c r="X307" s="3">
        <f>IF(N307="Concluído",IF(AND(S307&lt;&gt;"",ISNUMBER(T307),T307&gt;0,V307&lt;&gt;"",AND(OR(X306="OK",X306="DISPENSADO"))),"OK","REVISAR"),IF(N307="Dispensado (ADR)",IF(AND(LEFT(Q307,11)="Condicional",W307&lt;&gt;"",S307&lt;&gt;"",ISNUMBER(T307),T307&gt;0,V307&lt;&gt;""),"DISPENSADO","REVISAR"),"PENDENTE"))</f>
        <v/>
      </c>
      <c r="Y307" s="10" t="inlineStr"/>
    </row>
    <row r="308" ht="112" customHeight="1">
      <c r="A308" s="3" t="n">
        <v>307</v>
      </c>
      <c r="B308" s="3" t="inlineStr">
        <is>
          <t>SL-S28-10</t>
        </is>
      </c>
      <c r="C308" s="9" t="inlineStr">
        <is>
          <t>v0.5.0</t>
        </is>
      </c>
      <c r="D308" s="9" t="inlineStr">
        <is>
          <t>S28</t>
        </is>
      </c>
      <c r="E308" s="3" t="inlineStr">
        <is>
          <t>Docling / OCR</t>
        </is>
      </c>
      <c r="F308" s="3" t="inlineStr">
        <is>
          <t>Adaptação</t>
        </is>
      </c>
      <c r="G308" s="3" t="inlineStr">
        <is>
          <t>Documentação</t>
        </is>
      </c>
      <c r="H308" s="3" t="inlineStr">
        <is>
          <t>Publicar capacidades por perfil</t>
        </is>
      </c>
      <c r="I308" s="3" t="inlineStr">
        <is>
          <t>Relacionar formatos, idiomas, limites e recursos necessários.</t>
        </is>
      </c>
      <c r="J308" s="3" t="inlineStr">
        <is>
          <t>docs/user/document-extraction.md</t>
        </is>
      </c>
      <c r="K308" s="3" t="inlineStr">
        <is>
          <t>Usuário sabe quando OCR está indisponível ou requer pacote adicional.</t>
        </is>
      </c>
      <c r="L308" s="3" t="inlineStr">
        <is>
          <t>SL-S28-09</t>
        </is>
      </c>
      <c r="M308" s="3" t="inlineStr">
        <is>
          <t>R09; R14; R15; R30</t>
        </is>
      </c>
      <c r="N308" s="10" t="inlineStr">
        <is>
          <t>Não iniciado</t>
        </is>
      </c>
      <c r="O308" s="3" t="inlineStr">
        <is>
          <t>P0</t>
        </is>
      </c>
      <c r="P308" s="3" t="inlineStr">
        <is>
          <t>Crítico</t>
        </is>
      </c>
      <c r="Q308" s="3" t="inlineStr">
        <is>
          <t>Obrigatória no escopo da versão</t>
        </is>
      </c>
      <c r="R308" s="10" t="inlineStr">
        <is>
          <t>Autor + agente de IA</t>
        </is>
      </c>
      <c r="S308" s="10" t="inlineStr"/>
      <c r="T308" s="11" t="inlineStr"/>
      <c r="U308" s="3" t="inlineStr">
        <is>
          <t>reports/S28/SL-S28-10.md</t>
        </is>
      </c>
      <c r="V308" s="10" t="inlineStr"/>
      <c r="W308" s="10" t="inlineStr"/>
      <c r="X308" s="3">
        <f>IF(N308="Concluído",IF(AND(S308&lt;&gt;"",ISNUMBER(T308),T308&gt;0,V308&lt;&gt;"",AND(OR(X307="OK",X307="DISPENSADO"))),"OK","REVISAR"),IF(N308="Dispensado (ADR)",IF(AND(LEFT(Q308,11)="Condicional",W308&lt;&gt;"",S308&lt;&gt;"",ISNUMBER(T308),T308&gt;0,V308&lt;&gt;""),"DISPENSADO","REVISAR"),"PENDENTE"))</f>
        <v/>
      </c>
      <c r="Y308" s="10" t="inlineStr"/>
    </row>
    <row r="309" ht="98" customHeight="1">
      <c r="A309" s="3" t="n">
        <v>308</v>
      </c>
      <c r="B309" s="12" t="inlineStr">
        <is>
          <t>SL-S28-GATE</t>
        </is>
      </c>
      <c r="C309" s="9" t="inlineStr">
        <is>
          <t>v0.5.0</t>
        </is>
      </c>
      <c r="D309" s="9" t="inlineStr">
        <is>
          <t>S28</t>
        </is>
      </c>
      <c r="E309" s="3" t="inlineStr">
        <is>
          <t>Docling / OCR</t>
        </is>
      </c>
      <c r="F309" s="3" t="inlineStr">
        <is>
          <t>Aceite humano</t>
        </is>
      </c>
      <c r="G309" s="12" t="inlineStr">
        <is>
          <t>Gate</t>
        </is>
      </c>
      <c r="H309" s="12" t="inlineStr">
        <is>
          <t>Aceitar S28 — Adicionar OCR e robustez da extração</t>
        </is>
      </c>
      <c r="I309" s="3" t="inlineStr">
        <is>
          <t>Revisar as dez tarefas, executar a demonstração do sprint, confrontar critérios e registrar decisão go/no-go.</t>
        </is>
      </c>
      <c r="J309" s="3" t="inlineStr">
        <is>
          <t>reports/S28/acceptance.md</t>
        </is>
      </c>
      <c r="K309" s="3" t="inlineStr">
        <is>
          <t>Importar PDF escaneado, cancelar, retomar e citar texto com localização. Todas as dependências aceitas; evidências vinculadas a revisão/ambiente; nenhum blocker de integridade/segurança.</t>
        </is>
      </c>
      <c r="L309" s="3" t="inlineStr">
        <is>
          <t>SL-S28-01; SL-S28-02; SL-S28-03; SL-S28-04; SL-S28-05; SL-S28-06; SL-S28-07; SL-S28-08; SL-S28-09; SL-S28-10</t>
        </is>
      </c>
      <c r="M309" s="3" t="inlineStr">
        <is>
          <t>R09; R14; R15; R30</t>
        </is>
      </c>
      <c r="N309" s="10" t="inlineStr">
        <is>
          <t>Não iniciado</t>
        </is>
      </c>
      <c r="O309" s="3" t="inlineStr">
        <is>
          <t>P0</t>
        </is>
      </c>
      <c r="P309" s="3" t="inlineStr">
        <is>
          <t>Crítico</t>
        </is>
      </c>
      <c r="Q309" s="3" t="inlineStr">
        <is>
          <t>Obrigatória para fechar a versão aprovada</t>
        </is>
      </c>
      <c r="R309" s="10" t="inlineStr">
        <is>
          <t>Autor</t>
        </is>
      </c>
      <c r="S309" s="10" t="inlineStr"/>
      <c r="T309" s="11" t="inlineStr"/>
      <c r="U309" s="3" t="inlineStr">
        <is>
          <t>reports/S28/acceptance.md</t>
        </is>
      </c>
      <c r="V309" s="10" t="inlineStr"/>
      <c r="W309" s="10" t="inlineStr"/>
      <c r="X309" s="3">
        <f>IF(N309="Concluído",IF(AND(S309&lt;&gt;"",ISNUMBER(T309),T309&gt;0,V309&lt;&gt;"",AND(OR(X299="OK",X299="DISPENSADO"),OR(X300="OK",X300="DISPENSADO"),OR(X301="OK",X301="DISPENSADO"),OR(X302="OK",X302="DISPENSADO"),OR(X303="OK",X303="DISPENSADO"),OR(X304="OK",X304="DISPENSADO"),OR(X305="OK",X305="DISPENSADO"),OR(X306="OK",X306="DISPENSADO"),OR(X307="OK",X307="DISPENSADO"),OR(X308="OK",X308="DISPENSADO"))),"OK","REVISAR"),IF(N309="Dispensado (ADR)",IF(AND(LEFT(Q309,11)="Condicional",W309&lt;&gt;"",S309&lt;&gt;"",ISNUMBER(T309),T309&gt;0,V309&lt;&gt;""),"DISPENSADO","REVISAR"),"PENDENTE"))</f>
        <v/>
      </c>
      <c r="Y309" s="10" t="inlineStr"/>
    </row>
    <row r="310" ht="112" customHeight="1">
      <c r="A310" s="3" t="n">
        <v>309</v>
      </c>
      <c r="B310" s="3" t="inlineStr">
        <is>
          <t>SL-S29-01</t>
        </is>
      </c>
      <c r="C310" s="9" t="inlineStr">
        <is>
          <t>v0.5.0</t>
        </is>
      </c>
      <c r="D310" s="9" t="inlineStr">
        <is>
          <t>S29</t>
        </is>
      </c>
      <c r="E310" s="3" t="inlineStr">
        <is>
          <t>Readability / Turndown</t>
        </is>
      </c>
      <c r="F310" s="3" t="inlineStr">
        <is>
          <t>Desconstrução</t>
        </is>
      </c>
      <c r="G310" s="3" t="inlineStr">
        <is>
          <t>Upstream</t>
        </is>
      </c>
      <c r="H310" s="3" t="inlineStr">
        <is>
          <t>Fixar bibliotecas e baseline</t>
        </is>
      </c>
      <c r="I310" s="3" t="inlineStr">
        <is>
          <t>Registrar versões/licenças e normalizar corpus de artigos antes de customizar.</t>
        </is>
      </c>
      <c r="J310" s="3" t="inlineStr">
        <is>
          <t>upstream/web-normalizer/manifest.json</t>
        </is>
      </c>
      <c r="K310" s="3" t="inlineStr">
        <is>
          <t>Saída upstream e erros conhecidos ficam disponíveis para comparação.</t>
        </is>
      </c>
      <c r="L310" s="3" t="inlineStr">
        <is>
          <t>SL-S23-GATE; SL-S24-GATE; SL-S25-GATE; SL-S26-GATE</t>
        </is>
      </c>
      <c r="M310" s="3" t="inlineStr">
        <is>
          <t>R08; R14; R17; R30</t>
        </is>
      </c>
      <c r="N310" s="10" t="inlineStr">
        <is>
          <t>Não iniciado</t>
        </is>
      </c>
      <c r="O310" s="3" t="inlineStr">
        <is>
          <t>P0</t>
        </is>
      </c>
      <c r="P310" s="3" t="inlineStr">
        <is>
          <t>Crítico</t>
        </is>
      </c>
      <c r="Q310" s="3" t="inlineStr">
        <is>
          <t>Obrigatória no escopo da versão</t>
        </is>
      </c>
      <c r="R310" s="10" t="inlineStr">
        <is>
          <t>Autor + agente de IA</t>
        </is>
      </c>
      <c r="S310" s="10" t="inlineStr"/>
      <c r="T310" s="11" t="inlineStr"/>
      <c r="U310" s="3" t="inlineStr">
        <is>
          <t>reports/S29/SL-S29-01.md</t>
        </is>
      </c>
      <c r="V310" s="10" t="inlineStr"/>
      <c r="W310" s="10" t="inlineStr"/>
      <c r="X310" s="3">
        <f>IF(N310="Concluído",IF(AND(S310&lt;&gt;"",ISNUMBER(T310),T310&gt;0,V310&lt;&gt;"",AND(OR(X254="OK",X254="DISPENSADO"),OR(X265="OK",X265="DISPENSADO"),OR(X276="OK",X276="DISPENSADO"),OR(X287="OK",X287="DISPENSADO"))),"OK","REVISAR"),IF(N310="Dispensado (ADR)",IF(AND(LEFT(Q310,11)="Condicional",W310&lt;&gt;"",S310&lt;&gt;"",ISNUMBER(T310),T310&gt;0,V310&lt;&gt;""),"DISPENSADO","REVISAR"),"PENDENTE"))</f>
        <v/>
      </c>
      <c r="Y310" s="10" t="inlineStr"/>
    </row>
    <row r="311" ht="112" customHeight="1">
      <c r="A311" s="3" t="n">
        <v>310</v>
      </c>
      <c r="B311" s="3" t="inlineStr">
        <is>
          <t>SL-S29-02</t>
        </is>
      </c>
      <c r="C311" s="9" t="inlineStr">
        <is>
          <t>v0.5.0</t>
        </is>
      </c>
      <c r="D311" s="9" t="inlineStr">
        <is>
          <t>S29</t>
        </is>
      </c>
      <c r="E311" s="3" t="inlineStr">
        <is>
          <t>Readability / Turndown</t>
        </is>
      </c>
      <c r="F311" s="3" t="inlineStr">
        <is>
          <t>Desconstrução</t>
        </is>
      </c>
      <c r="G311" s="3" t="inlineStr">
        <is>
          <t>Decisão</t>
        </is>
      </c>
      <c r="H311" s="3" t="inlineStr">
        <is>
          <t>Escolher ambiente DOM isolado</t>
        </is>
      </c>
      <c r="I311" s="3" t="inlineStr">
        <is>
          <t>Definir renderer/helper sem IPC privilegiado e sem recursos remotos automáticos.</t>
        </is>
      </c>
      <c r="J311" s="3" t="inlineStr">
        <is>
          <t>docs/architecture/html-normalizer.md</t>
        </is>
      </c>
      <c r="K311" s="3" t="inlineStr">
        <is>
          <t>Plano não presume DOM completo em Web Worker comum nem usa janela principal como parser hostil.</t>
        </is>
      </c>
      <c r="L311" s="3" t="inlineStr">
        <is>
          <t>SL-S29-01</t>
        </is>
      </c>
      <c r="M311" s="3" t="inlineStr">
        <is>
          <t>R08; R14; R17; R30</t>
        </is>
      </c>
      <c r="N311" s="10" t="inlineStr">
        <is>
          <t>Não iniciado</t>
        </is>
      </c>
      <c r="O311" s="3" t="inlineStr">
        <is>
          <t>P0</t>
        </is>
      </c>
      <c r="P311" s="3" t="inlineStr">
        <is>
          <t>Crítico</t>
        </is>
      </c>
      <c r="Q311" s="3" t="inlineStr">
        <is>
          <t>Obrigatória no escopo da versão</t>
        </is>
      </c>
      <c r="R311" s="10" t="inlineStr">
        <is>
          <t>Autor</t>
        </is>
      </c>
      <c r="S311" s="10" t="inlineStr"/>
      <c r="T311" s="11" t="inlineStr"/>
      <c r="U311" s="3" t="inlineStr">
        <is>
          <t>reports/S29/SL-S29-02.md</t>
        </is>
      </c>
      <c r="V311" s="10" t="inlineStr"/>
      <c r="W311" s="10" t="inlineStr"/>
      <c r="X311" s="3">
        <f>IF(N311="Concluído",IF(AND(S311&lt;&gt;"",ISNUMBER(T311),T311&gt;0,V311&lt;&gt;"",AND(OR(X310="OK",X310="DISPENSADO"))),"OK","REVISAR"),IF(N311="Dispensado (ADR)",IF(AND(LEFT(Q311,11)="Condicional",W311&lt;&gt;"",S311&lt;&gt;"",ISNUMBER(T311),T311&gt;0,V311&lt;&gt;""),"DISPENSADO","REVISAR"),"PENDENTE"))</f>
        <v/>
      </c>
      <c r="Y311" s="10" t="inlineStr"/>
    </row>
    <row r="312" ht="112" customHeight="1">
      <c r="A312" s="3" t="n">
        <v>311</v>
      </c>
      <c r="B312" s="3" t="inlineStr">
        <is>
          <t>SL-S29-03</t>
        </is>
      </c>
      <c r="C312" s="9" t="inlineStr">
        <is>
          <t>v0.5.0</t>
        </is>
      </c>
      <c r="D312" s="9" t="inlineStr">
        <is>
          <t>S29</t>
        </is>
      </c>
      <c r="E312" s="3" t="inlineStr">
        <is>
          <t>Readability / Turndown</t>
        </is>
      </c>
      <c r="F312" s="3" t="inlineStr">
        <is>
          <t>Desconstrução</t>
        </is>
      </c>
      <c r="G312" s="3" t="inlineStr">
        <is>
          <t>Implementação</t>
        </is>
      </c>
      <c r="H312" s="3" t="inlineStr">
        <is>
          <t>Construir entrada inerte</t>
        </is>
      </c>
      <c r="I312" s="3" t="inlineStr">
        <is>
          <t>Aplicar limites de tamanho, encoding e tratamento de URL base.</t>
        </is>
      </c>
      <c r="J312" s="3" t="inlineStr">
        <is>
          <t>workers/html-normalizer/input.ts</t>
        </is>
      </c>
      <c r="K312" s="3" t="inlineStr">
        <is>
          <t>HTML malformado não escapa para navegação, scripts ou resolução arbitrária de arquivos.</t>
        </is>
      </c>
      <c r="L312" s="3" t="inlineStr">
        <is>
          <t>SL-S29-02</t>
        </is>
      </c>
      <c r="M312" s="3" t="inlineStr">
        <is>
          <t>R08; R14; R17; R30</t>
        </is>
      </c>
      <c r="N312" s="10" t="inlineStr">
        <is>
          <t>Não iniciado</t>
        </is>
      </c>
      <c r="O312" s="3" t="inlineStr">
        <is>
          <t>P0</t>
        </is>
      </c>
      <c r="P312" s="3" t="inlineStr">
        <is>
          <t>Crítico</t>
        </is>
      </c>
      <c r="Q312" s="3" t="inlineStr">
        <is>
          <t>Obrigatória no escopo da versão</t>
        </is>
      </c>
      <c r="R312" s="10" t="inlineStr">
        <is>
          <t>Autor + agente de IA</t>
        </is>
      </c>
      <c r="S312" s="10" t="inlineStr"/>
      <c r="T312" s="11" t="inlineStr"/>
      <c r="U312" s="3" t="inlineStr">
        <is>
          <t>reports/S29/SL-S29-03.md</t>
        </is>
      </c>
      <c r="V312" s="10" t="inlineStr"/>
      <c r="W312" s="10" t="inlineStr"/>
      <c r="X312" s="3">
        <f>IF(N312="Concluído",IF(AND(S312&lt;&gt;"",ISNUMBER(T312),T312&gt;0,V312&lt;&gt;"",AND(OR(X311="OK",X311="DISPENSADO"))),"OK","REVISAR"),IF(N312="Dispensado (ADR)",IF(AND(LEFT(Q312,11)="Condicional",W312&lt;&gt;"",S312&lt;&gt;"",ISNUMBER(T312),T312&gt;0,V312&lt;&gt;""),"DISPENSADO","REVISAR"),"PENDENTE"))</f>
        <v/>
      </c>
      <c r="Y312" s="10" t="inlineStr"/>
    </row>
    <row r="313" ht="112" customHeight="1">
      <c r="A313" s="3" t="n">
        <v>312</v>
      </c>
      <c r="B313" s="3" t="inlineStr">
        <is>
          <t>SL-S29-04</t>
        </is>
      </c>
      <c r="C313" s="9" t="inlineStr">
        <is>
          <t>v0.5.0</t>
        </is>
      </c>
      <c r="D313" s="9" t="inlineStr">
        <is>
          <t>S29</t>
        </is>
      </c>
      <c r="E313" s="3" t="inlineStr">
        <is>
          <t>Readability / Turndown</t>
        </is>
      </c>
      <c r="F313" s="3" t="inlineStr">
        <is>
          <t>Desconstrução</t>
        </is>
      </c>
      <c r="G313" s="3" t="inlineStr">
        <is>
          <t>Implementação</t>
        </is>
      </c>
      <c r="H313" s="3" t="inlineStr">
        <is>
          <t>Integrar Readability</t>
        </is>
      </c>
      <c r="I313" s="3" t="inlineStr">
        <is>
          <t>Extrair conteúdo principal e metadata mantendo diagnóstico de falha.</t>
        </is>
      </c>
      <c r="J313" s="3" t="inlineStr">
        <is>
          <t>workers/html-normalizer/readability.ts</t>
        </is>
      </c>
      <c r="K313" s="3" t="inlineStr">
        <is>
          <t>Página não reconhecida não é substituída por texto vazio como se captura tivesse sucesso.</t>
        </is>
      </c>
      <c r="L313" s="3" t="inlineStr">
        <is>
          <t>SL-S29-03</t>
        </is>
      </c>
      <c r="M313" s="3" t="inlineStr">
        <is>
          <t>R08; R14; R17; R30</t>
        </is>
      </c>
      <c r="N313" s="10" t="inlineStr">
        <is>
          <t>Não iniciado</t>
        </is>
      </c>
      <c r="O313" s="3" t="inlineStr">
        <is>
          <t>P0</t>
        </is>
      </c>
      <c r="P313" s="3" t="inlineStr">
        <is>
          <t>Crítico</t>
        </is>
      </c>
      <c r="Q313" s="3" t="inlineStr">
        <is>
          <t>Obrigatória no escopo da versão</t>
        </is>
      </c>
      <c r="R313" s="10" t="inlineStr">
        <is>
          <t>Autor + agente de IA</t>
        </is>
      </c>
      <c r="S313" s="10" t="inlineStr"/>
      <c r="T313" s="11" t="inlineStr"/>
      <c r="U313" s="3" t="inlineStr">
        <is>
          <t>reports/S29/SL-S29-04.md</t>
        </is>
      </c>
      <c r="V313" s="10" t="inlineStr"/>
      <c r="W313" s="10" t="inlineStr"/>
      <c r="X313" s="3">
        <f>IF(N313="Concluído",IF(AND(S313&lt;&gt;"",ISNUMBER(T313),T313&gt;0,V313&lt;&gt;"",AND(OR(X312="OK",X312="DISPENSADO"))),"OK","REVISAR"),IF(N313="Dispensado (ADR)",IF(AND(LEFT(Q313,11)="Condicional",W313&lt;&gt;"",S313&lt;&gt;"",ISNUMBER(T313),T313&gt;0,V313&lt;&gt;""),"DISPENSADO","REVISAR"),"PENDENTE"))</f>
        <v/>
      </c>
      <c r="Y313" s="10" t="inlineStr"/>
    </row>
    <row r="314" ht="112" customHeight="1">
      <c r="A314" s="3" t="n">
        <v>313</v>
      </c>
      <c r="B314" s="3" t="inlineStr">
        <is>
          <t>SL-S29-05</t>
        </is>
      </c>
      <c r="C314" s="9" t="inlineStr">
        <is>
          <t>v0.5.0</t>
        </is>
      </c>
      <c r="D314" s="9" t="inlineStr">
        <is>
          <t>S29</t>
        </is>
      </c>
      <c r="E314" s="3" t="inlineStr">
        <is>
          <t>Readability / Turndown</t>
        </is>
      </c>
      <c r="F314" s="3" t="inlineStr">
        <is>
          <t>Desconstrução</t>
        </is>
      </c>
      <c r="G314" s="3" t="inlineStr">
        <is>
          <t>Implementação</t>
        </is>
      </c>
      <c r="H314" s="3" t="inlineStr">
        <is>
          <t>Integrar Turndown</t>
        </is>
      </c>
      <c r="I314" s="3" t="inlineStr">
        <is>
          <t>Aplicar regras aprovadas para títulos, listas, tabelas, código e links.</t>
        </is>
      </c>
      <c r="J314" s="3" t="inlineStr">
        <is>
          <t>workers/html-normalizer/turndown.ts</t>
        </is>
      </c>
      <c r="K314" s="3" t="inlineStr">
        <is>
          <t>Conversão preserva conteúdo do perfil e usa Markdown válido em fixtures.</t>
        </is>
      </c>
      <c r="L314" s="3" t="inlineStr">
        <is>
          <t>SL-S29-04</t>
        </is>
      </c>
      <c r="M314" s="3" t="inlineStr">
        <is>
          <t>R08; R14; R17; R30</t>
        </is>
      </c>
      <c r="N314" s="10" t="inlineStr">
        <is>
          <t>Não iniciado</t>
        </is>
      </c>
      <c r="O314" s="3" t="inlineStr">
        <is>
          <t>P0</t>
        </is>
      </c>
      <c r="P314" s="3" t="inlineStr">
        <is>
          <t>Crítico</t>
        </is>
      </c>
      <c r="Q314" s="3" t="inlineStr">
        <is>
          <t>Obrigatória no escopo da versão</t>
        </is>
      </c>
      <c r="R314" s="10" t="inlineStr">
        <is>
          <t>Autor + agente de IA</t>
        </is>
      </c>
      <c r="S314" s="10" t="inlineStr"/>
      <c r="T314" s="11" t="inlineStr"/>
      <c r="U314" s="3" t="inlineStr">
        <is>
          <t>reports/S29/SL-S29-05.md</t>
        </is>
      </c>
      <c r="V314" s="10" t="inlineStr"/>
      <c r="W314" s="10" t="inlineStr"/>
      <c r="X314" s="3">
        <f>IF(N314="Concluído",IF(AND(S314&lt;&gt;"",ISNUMBER(T314),T314&gt;0,V314&lt;&gt;"",AND(OR(X313="OK",X313="DISPENSADO"))),"OK","REVISAR"),IF(N314="Dispensado (ADR)",IF(AND(LEFT(Q314,11)="Condicional",W314&lt;&gt;"",S314&lt;&gt;"",ISNUMBER(T314),T314&gt;0,V314&lt;&gt;""),"DISPENSADO","REVISAR"),"PENDENTE"))</f>
        <v/>
      </c>
      <c r="Y314" s="10" t="inlineStr"/>
    </row>
    <row r="315" ht="112" customHeight="1">
      <c r="A315" s="3" t="n">
        <v>314</v>
      </c>
      <c r="B315" s="3" t="inlineStr">
        <is>
          <t>SL-S29-06</t>
        </is>
      </c>
      <c r="C315" s="9" t="inlineStr">
        <is>
          <t>v0.5.0</t>
        </is>
      </c>
      <c r="D315" s="9" t="inlineStr">
        <is>
          <t>S29</t>
        </is>
      </c>
      <c r="E315" s="3" t="inlineStr">
        <is>
          <t>Readability / Turndown</t>
        </is>
      </c>
      <c r="F315" s="3" t="inlineStr">
        <is>
          <t>Desconstrução</t>
        </is>
      </c>
      <c r="G315" s="3" t="inlineStr">
        <is>
          <t>Implementação</t>
        </is>
      </c>
      <c r="H315" s="3" t="inlineStr">
        <is>
          <t>Sanitizar resultado</t>
        </is>
      </c>
      <c r="I315" s="3" t="inlineStr">
        <is>
          <t>Bloquear scripts/handlers/schemes perigosos antes da apresentação.</t>
        </is>
      </c>
      <c r="J315" s="3" t="inlineStr">
        <is>
          <t>workers/html-normalizer/sanitize.ts</t>
        </is>
      </c>
      <c r="K315" s="3" t="inlineStr">
        <is>
          <t>Readability não é tratado como sanitizador e payload XSS não executa.</t>
        </is>
      </c>
      <c r="L315" s="3" t="inlineStr">
        <is>
          <t>SL-S29-05</t>
        </is>
      </c>
      <c r="M315" s="3" t="inlineStr">
        <is>
          <t>R08; R14; R17; R30</t>
        </is>
      </c>
      <c r="N315" s="10" t="inlineStr">
        <is>
          <t>Não iniciado</t>
        </is>
      </c>
      <c r="O315" s="3" t="inlineStr">
        <is>
          <t>P0</t>
        </is>
      </c>
      <c r="P315" s="3" t="inlineStr">
        <is>
          <t>Crítico</t>
        </is>
      </c>
      <c r="Q315" s="3" t="inlineStr">
        <is>
          <t>Obrigatória no escopo da versão</t>
        </is>
      </c>
      <c r="R315" s="10" t="inlineStr">
        <is>
          <t>Autor + agente de IA</t>
        </is>
      </c>
      <c r="S315" s="10" t="inlineStr"/>
      <c r="T315" s="11" t="inlineStr"/>
      <c r="U315" s="3" t="inlineStr">
        <is>
          <t>reports/S29/SL-S29-06.md</t>
        </is>
      </c>
      <c r="V315" s="10" t="inlineStr"/>
      <c r="W315" s="10" t="inlineStr"/>
      <c r="X315" s="3">
        <f>IF(N315="Concluído",IF(AND(S315&lt;&gt;"",ISNUMBER(T315),T315&gt;0,V315&lt;&gt;"",AND(OR(X314="OK",X314="DISPENSADO"))),"OK","REVISAR"),IF(N315="Dispensado (ADR)",IF(AND(LEFT(Q315,11)="Condicional",W315&lt;&gt;"",S315&lt;&gt;"",ISNUMBER(T315),T315&gt;0,V315&lt;&gt;""),"DISPENSADO","REVISAR"),"PENDENTE"))</f>
        <v/>
      </c>
      <c r="Y315" s="10" t="inlineStr"/>
    </row>
    <row r="316" ht="112" customHeight="1">
      <c r="A316" s="3" t="n">
        <v>315</v>
      </c>
      <c r="B316" s="3" t="inlineStr">
        <is>
          <t>SL-S29-07</t>
        </is>
      </c>
      <c r="C316" s="9" t="inlineStr">
        <is>
          <t>v0.5.0</t>
        </is>
      </c>
      <c r="D316" s="9" t="inlineStr">
        <is>
          <t>S29</t>
        </is>
      </c>
      <c r="E316" s="3" t="inlineStr">
        <is>
          <t>Readability / Turndown</t>
        </is>
      </c>
      <c r="F316" s="3" t="inlineStr">
        <is>
          <t>Desconstrução</t>
        </is>
      </c>
      <c r="G316" s="3" t="inlineStr">
        <is>
          <t>Implementação</t>
        </is>
      </c>
      <c r="H316" s="3" t="inlineStr">
        <is>
          <t>Tratar assets externos</t>
        </is>
      </c>
      <c r="I316" s="3" t="inlineStr">
        <is>
          <t>Devolver lista de recursos candidatos para aquisição separada/autorizada.</t>
        </is>
      </c>
      <c r="J316" s="3" t="inlineStr">
        <is>
          <t>workers/html-normalizer/assets.ts</t>
        </is>
      </c>
      <c r="K316" s="3" t="inlineStr">
        <is>
          <t>Parser não baixa imagens/trackers por conta própria.</t>
        </is>
      </c>
      <c r="L316" s="3" t="inlineStr">
        <is>
          <t>SL-S29-06</t>
        </is>
      </c>
      <c r="M316" s="3" t="inlineStr">
        <is>
          <t>R08; R14; R17; R30</t>
        </is>
      </c>
      <c r="N316" s="10" t="inlineStr">
        <is>
          <t>Não iniciado</t>
        </is>
      </c>
      <c r="O316" s="3" t="inlineStr">
        <is>
          <t>P0</t>
        </is>
      </c>
      <c r="P316" s="3" t="inlineStr">
        <is>
          <t>Crítico</t>
        </is>
      </c>
      <c r="Q316" s="3" t="inlineStr">
        <is>
          <t>Obrigatória no escopo da versão</t>
        </is>
      </c>
      <c r="R316" s="10" t="inlineStr">
        <is>
          <t>Autor + agente de IA</t>
        </is>
      </c>
      <c r="S316" s="10" t="inlineStr"/>
      <c r="T316" s="11" t="inlineStr"/>
      <c r="U316" s="3" t="inlineStr">
        <is>
          <t>reports/S29/SL-S29-07.md</t>
        </is>
      </c>
      <c r="V316" s="10" t="inlineStr"/>
      <c r="W316" s="10" t="inlineStr"/>
      <c r="X316" s="3">
        <f>IF(N316="Concluído",IF(AND(S316&lt;&gt;"",ISNUMBER(T316),T316&gt;0,V316&lt;&gt;"",AND(OR(X315="OK",X315="DISPENSADO"))),"OK","REVISAR"),IF(N316="Dispensado (ADR)",IF(AND(LEFT(Q316,11)="Condicional",W316&lt;&gt;"",S316&lt;&gt;"",ISNUMBER(T316),T316&gt;0,V316&lt;&gt;""),"DISPENSADO","REVISAR"),"PENDENTE"))</f>
        <v/>
      </c>
      <c r="Y316" s="10" t="inlineStr"/>
    </row>
    <row r="317" ht="112" customHeight="1">
      <c r="A317" s="3" t="n">
        <v>316</v>
      </c>
      <c r="B317" s="3" t="inlineStr">
        <is>
          <t>SL-S29-08</t>
        </is>
      </c>
      <c r="C317" s="9" t="inlineStr">
        <is>
          <t>v0.5.0</t>
        </is>
      </c>
      <c r="D317" s="9" t="inlineStr">
        <is>
          <t>S29</t>
        </is>
      </c>
      <c r="E317" s="3" t="inlineStr">
        <is>
          <t>Readability / Turndown</t>
        </is>
      </c>
      <c r="F317" s="3" t="inlineStr">
        <is>
          <t>Desconstrução</t>
        </is>
      </c>
      <c r="G317" s="3" t="inlineStr">
        <is>
          <t>Implementação</t>
        </is>
      </c>
      <c r="H317" s="3" t="inlineStr">
        <is>
          <t>Normalizar fonte</t>
        </is>
      </c>
      <c r="I317" s="3" t="inlineStr">
        <is>
          <t>Registrar URL de origem, URL final informada, data e hash do HTML recebido.</t>
        </is>
      </c>
      <c r="J317" s="3" t="inlineStr">
        <is>
          <t>workers/html-normalizer/provenance.ts</t>
        </is>
      </c>
      <c r="K317" s="3" t="inlineStr">
        <is>
          <t>Snapshot é distinguível de página live e tem cadeia de origem verificável.</t>
        </is>
      </c>
      <c r="L317" s="3" t="inlineStr">
        <is>
          <t>SL-S29-07</t>
        </is>
      </c>
      <c r="M317" s="3" t="inlineStr">
        <is>
          <t>R08; R14; R17; R30</t>
        </is>
      </c>
      <c r="N317" s="10" t="inlineStr">
        <is>
          <t>Não iniciado</t>
        </is>
      </c>
      <c r="O317" s="3" t="inlineStr">
        <is>
          <t>P0</t>
        </is>
      </c>
      <c r="P317" s="3" t="inlineStr">
        <is>
          <t>Crítico</t>
        </is>
      </c>
      <c r="Q317" s="3" t="inlineStr">
        <is>
          <t>Obrigatória no escopo da versão</t>
        </is>
      </c>
      <c r="R317" s="10" t="inlineStr">
        <is>
          <t>Autor + agente de IA</t>
        </is>
      </c>
      <c r="S317" s="10" t="inlineStr"/>
      <c r="T317" s="11" t="inlineStr"/>
      <c r="U317" s="3" t="inlineStr">
        <is>
          <t>reports/S29/SL-S29-08.md</t>
        </is>
      </c>
      <c r="V317" s="10" t="inlineStr"/>
      <c r="W317" s="10" t="inlineStr"/>
      <c r="X317" s="3">
        <f>IF(N317="Concluído",IF(AND(S317&lt;&gt;"",ISNUMBER(T317),T317&gt;0,V317&lt;&gt;"",AND(OR(X316="OK",X316="DISPENSADO"))),"OK","REVISAR"),IF(N317="Dispensado (ADR)",IF(AND(LEFT(Q317,11)="Condicional",W317&lt;&gt;"",S317&lt;&gt;"",ISNUMBER(T317),T317&gt;0,V317&lt;&gt;""),"DISPENSADO","REVISAR"),"PENDENTE"))</f>
        <v/>
      </c>
      <c r="Y317" s="10" t="inlineStr"/>
    </row>
    <row r="318" ht="112" customHeight="1">
      <c r="A318" s="3" t="n">
        <v>317</v>
      </c>
      <c r="B318" s="3" t="inlineStr">
        <is>
          <t>SL-S29-09</t>
        </is>
      </c>
      <c r="C318" s="9" t="inlineStr">
        <is>
          <t>v0.5.0</t>
        </is>
      </c>
      <c r="D318" s="9" t="inlineStr">
        <is>
          <t>S29</t>
        </is>
      </c>
      <c r="E318" s="3" t="inlineStr">
        <is>
          <t>Readability / Turndown</t>
        </is>
      </c>
      <c r="F318" s="3" t="inlineStr">
        <is>
          <t>Desconstrução</t>
        </is>
      </c>
      <c r="G318" s="3" t="inlineStr">
        <is>
          <t>Teste</t>
        </is>
      </c>
      <c r="H318" s="3" t="inlineStr">
        <is>
          <t>Executar corpus hostil</t>
        </is>
      </c>
      <c r="I318" s="3" t="inlineStr">
        <is>
          <t>Cobrir iframes, meta refresh, links locais, CSS remoto e conteúdo oculto.</t>
        </is>
      </c>
      <c r="J318" s="3" t="inlineStr">
        <is>
          <t>tests/extract/html-security/</t>
        </is>
      </c>
      <c r="K318" s="3" t="inlineStr">
        <is>
          <t>Zero chamadas de rede inesperadas e nenhum acesso à bridge Tauri.</t>
        </is>
      </c>
      <c r="L318" s="3" t="inlineStr">
        <is>
          <t>SL-S29-08</t>
        </is>
      </c>
      <c r="M318" s="3" t="inlineStr">
        <is>
          <t>R08; R14; R17; R30</t>
        </is>
      </c>
      <c r="N318" s="10" t="inlineStr">
        <is>
          <t>Não iniciado</t>
        </is>
      </c>
      <c r="O318" s="3" t="inlineStr">
        <is>
          <t>P0</t>
        </is>
      </c>
      <c r="P318" s="3" t="inlineStr">
        <is>
          <t>Crítico</t>
        </is>
      </c>
      <c r="Q318" s="3" t="inlineStr">
        <is>
          <t>Obrigatória no escopo da versão</t>
        </is>
      </c>
      <c r="R318" s="10" t="inlineStr">
        <is>
          <t>Autor + agente de IA</t>
        </is>
      </c>
      <c r="S318" s="10" t="inlineStr"/>
      <c r="T318" s="11" t="inlineStr"/>
      <c r="U318" s="3" t="inlineStr">
        <is>
          <t>reports/S29/SL-S29-09.md</t>
        </is>
      </c>
      <c r="V318" s="10" t="inlineStr"/>
      <c r="W318" s="10" t="inlineStr"/>
      <c r="X318" s="3">
        <f>IF(N318="Concluído",IF(AND(S318&lt;&gt;"",ISNUMBER(T318),T318&gt;0,V318&lt;&gt;"",AND(OR(X317="OK",X317="DISPENSADO"))),"OK","REVISAR"),IF(N318="Dispensado (ADR)",IF(AND(LEFT(Q318,11)="Condicional",W318&lt;&gt;"",S318&lt;&gt;"",ISNUMBER(T318),T318&gt;0,V318&lt;&gt;""),"DISPENSADO","REVISAR"),"PENDENTE"))</f>
        <v/>
      </c>
      <c r="Y318" s="10" t="inlineStr"/>
    </row>
    <row r="319" ht="112" customHeight="1">
      <c r="A319" s="3" t="n">
        <v>318</v>
      </c>
      <c r="B319" s="3" t="inlineStr">
        <is>
          <t>SL-S29-10</t>
        </is>
      </c>
      <c r="C319" s="9" t="inlineStr">
        <is>
          <t>v0.5.0</t>
        </is>
      </c>
      <c r="D319" s="9" t="inlineStr">
        <is>
          <t>S29</t>
        </is>
      </c>
      <c r="E319" s="3" t="inlineStr">
        <is>
          <t>Readability / Turndown</t>
        </is>
      </c>
      <c r="F319" s="3" t="inlineStr">
        <is>
          <t>Desconstrução</t>
        </is>
      </c>
      <c r="G319" s="3" t="inlineStr">
        <is>
          <t>Teste</t>
        </is>
      </c>
      <c r="H319" s="3" t="inlineStr">
        <is>
          <t>Comparar fidelidade e lifecycle</t>
        </is>
      </c>
      <c r="I319" s="3" t="inlineStr">
        <is>
          <t>Avaliar artigos, páginas não-artigo, idiomas e ciclos de criação/destruição.</t>
        </is>
      </c>
      <c r="J319" s="3" t="inlineStr">
        <is>
          <t>reports/clipping/normalizer.md</t>
        </is>
      </c>
      <c r="K319" s="3" t="inlineStr">
        <is>
          <t>Perdas e fallback são explícitos; renderer auxiliar não permanece órfão.</t>
        </is>
      </c>
      <c r="L319" s="3" t="inlineStr">
        <is>
          <t>SL-S29-09</t>
        </is>
      </c>
      <c r="M319" s="3" t="inlineStr">
        <is>
          <t>R08; R14; R17; R30</t>
        </is>
      </c>
      <c r="N319" s="10" t="inlineStr">
        <is>
          <t>Não iniciado</t>
        </is>
      </c>
      <c r="O319" s="3" t="inlineStr">
        <is>
          <t>P0</t>
        </is>
      </c>
      <c r="P319" s="3" t="inlineStr">
        <is>
          <t>Crítico</t>
        </is>
      </c>
      <c r="Q319" s="3" t="inlineStr">
        <is>
          <t>Obrigatória no escopo da versão</t>
        </is>
      </c>
      <c r="R319" s="10" t="inlineStr">
        <is>
          <t>Autor + agente de IA</t>
        </is>
      </c>
      <c r="S319" s="10" t="inlineStr"/>
      <c r="T319" s="11" t="inlineStr"/>
      <c r="U319" s="3" t="inlineStr">
        <is>
          <t>reports/S29/SL-S29-10.md</t>
        </is>
      </c>
      <c r="V319" s="10" t="inlineStr"/>
      <c r="W319" s="10" t="inlineStr"/>
      <c r="X319" s="3">
        <f>IF(N319="Concluído",IF(AND(S319&lt;&gt;"",ISNUMBER(T319),T319&gt;0,V319&lt;&gt;"",AND(OR(X318="OK",X318="DISPENSADO"))),"OK","REVISAR"),IF(N319="Dispensado (ADR)",IF(AND(LEFT(Q319,11)="Condicional",W319&lt;&gt;"",S319&lt;&gt;"",ISNUMBER(T319),T319&gt;0,V319&lt;&gt;""),"DISPENSADO","REVISAR"),"PENDENTE"))</f>
        <v/>
      </c>
      <c r="Y319" s="10" t="inlineStr"/>
    </row>
    <row r="320" ht="98" customHeight="1">
      <c r="A320" s="3" t="n">
        <v>319</v>
      </c>
      <c r="B320" s="12" t="inlineStr">
        <is>
          <t>SL-S29-GATE</t>
        </is>
      </c>
      <c r="C320" s="9" t="inlineStr">
        <is>
          <t>v0.5.0</t>
        </is>
      </c>
      <c r="D320" s="9" t="inlineStr">
        <is>
          <t>S29</t>
        </is>
      </c>
      <c r="E320" s="3" t="inlineStr">
        <is>
          <t>Readability / Turndown</t>
        </is>
      </c>
      <c r="F320" s="3" t="inlineStr">
        <is>
          <t>Aceite humano</t>
        </is>
      </c>
      <c r="G320" s="12" t="inlineStr">
        <is>
          <t>Gate</t>
        </is>
      </c>
      <c r="H320" s="12" t="inlineStr">
        <is>
          <t>Aceitar S29 — Integrar Readability/Turndown para clipping seguro</t>
        </is>
      </c>
      <c r="I320" s="3" t="inlineStr">
        <is>
          <t>Revisar as dez tarefas, executar a demonstração do sprint, confrontar critérios e registrar decisão go/no-go.</t>
        </is>
      </c>
      <c r="J320" s="3" t="inlineStr">
        <is>
          <t>reports/S29/acceptance.md</t>
        </is>
      </c>
      <c r="K320" s="3" t="inlineStr">
        <is>
          <t>Processar página de fixture com scripts/trackers sem executar scripts ou acessar rede. Todas as dependências aceitas; evidências vinculadas a revisão/ambiente; nenhum blocker de integridade/segurança.</t>
        </is>
      </c>
      <c r="L320" s="3" t="inlineStr">
        <is>
          <t>SL-S29-01; SL-S29-02; SL-S29-03; SL-S29-04; SL-S29-05; SL-S29-06; SL-S29-07; SL-S29-08; SL-S29-09; SL-S29-10</t>
        </is>
      </c>
      <c r="M320" s="3" t="inlineStr">
        <is>
          <t>R08; R14; R17; R30</t>
        </is>
      </c>
      <c r="N320" s="10" t="inlineStr">
        <is>
          <t>Não iniciado</t>
        </is>
      </c>
      <c r="O320" s="3" t="inlineStr">
        <is>
          <t>P0</t>
        </is>
      </c>
      <c r="P320" s="3" t="inlineStr">
        <is>
          <t>Crítico</t>
        </is>
      </c>
      <c r="Q320" s="3" t="inlineStr">
        <is>
          <t>Obrigatória para fechar a versão aprovada</t>
        </is>
      </c>
      <c r="R320" s="10" t="inlineStr">
        <is>
          <t>Autor</t>
        </is>
      </c>
      <c r="S320" s="10" t="inlineStr"/>
      <c r="T320" s="11" t="inlineStr"/>
      <c r="U320" s="3" t="inlineStr">
        <is>
          <t>reports/S29/acceptance.md</t>
        </is>
      </c>
      <c r="V320" s="10" t="inlineStr"/>
      <c r="W320" s="10" t="inlineStr"/>
      <c r="X320" s="3">
        <f>IF(N320="Concluído",IF(AND(S320&lt;&gt;"",ISNUMBER(T320),T320&gt;0,V320&lt;&gt;"",AND(OR(X310="OK",X310="DISPENSADO"),OR(X311="OK",X311="DISPENSADO"),OR(X312="OK",X312="DISPENSADO"),OR(X313="OK",X313="DISPENSADO"),OR(X314="OK",X314="DISPENSADO"),OR(X315="OK",X315="DISPENSADO"),OR(X316="OK",X316="DISPENSADO"),OR(X317="OK",X317="DISPENSADO"),OR(X318="OK",X318="DISPENSADO"),OR(X319="OK",X319="DISPENSADO"))),"OK","REVISAR"),IF(N320="Dispensado (ADR)",IF(AND(LEFT(Q320,11)="Condicional",W320&lt;&gt;"",S320&lt;&gt;"",ISNUMBER(T320),T320&gt;0,V320&lt;&gt;""),"DISPENSADO","REVISAR"),"PENDENTE"))</f>
        <v/>
      </c>
      <c r="Y320" s="10" t="inlineStr"/>
    </row>
    <row r="321" ht="112" customHeight="1">
      <c r="A321" s="3" t="n">
        <v>320</v>
      </c>
      <c r="B321" s="3" t="inlineStr">
        <is>
          <t>SL-S30-01</t>
        </is>
      </c>
      <c r="C321" s="9" t="inlineStr">
        <is>
          <t>v0.5.0</t>
        </is>
      </c>
      <c r="D321" s="9" t="inlineStr">
        <is>
          <t>S30</t>
        </is>
      </c>
      <c r="E321" s="3" t="inlineStr">
        <is>
          <t>IngestCoordinator / UI</t>
        </is>
      </c>
      <c r="F321" s="3" t="inlineStr">
        <is>
          <t>Integração</t>
        </is>
      </c>
      <c r="G321" s="3" t="inlineStr">
        <is>
          <t>Implementação</t>
        </is>
      </c>
      <c r="H321" s="3" t="inlineStr">
        <is>
          <t>Criar entrada drag/drop e seleção</t>
        </is>
      </c>
      <c r="I321" s="3" t="inlineStr">
        <is>
          <t>Aceitar arquivos e texto sem formulário taxonômico obrigatório.</t>
        </is>
      </c>
      <c r="J321" s="3" t="inlineStr">
        <is>
          <t>apps/desktop/src/ingest/capture.ts</t>
        </is>
      </c>
      <c r="K321" s="3" t="inlineStr">
        <is>
          <t>Item recebe ID/original persistido antes de qualquer modelo ser chamado.</t>
        </is>
      </c>
      <c r="L321" s="3" t="inlineStr">
        <is>
          <t>SL-S27-GATE; SL-S28-GATE; SL-S29-GATE</t>
        </is>
      </c>
      <c r="M321" s="3" t="inlineStr">
        <is>
          <t>R02; R14; R15; R17; R31</t>
        </is>
      </c>
      <c r="N321" s="10" t="inlineStr">
        <is>
          <t>Não iniciado</t>
        </is>
      </c>
      <c r="O321" s="3" t="inlineStr">
        <is>
          <t>P1</t>
        </is>
      </c>
      <c r="P321" s="3" t="inlineStr">
        <is>
          <t>Alto</t>
        </is>
      </c>
      <c r="Q321" s="3" t="inlineStr">
        <is>
          <t>Obrigatória no escopo da versão</t>
        </is>
      </c>
      <c r="R321" s="10" t="inlineStr">
        <is>
          <t>Autor + agente de IA</t>
        </is>
      </c>
      <c r="S321" s="10" t="inlineStr"/>
      <c r="T321" s="11" t="inlineStr"/>
      <c r="U321" s="3" t="inlineStr">
        <is>
          <t>reports/S30/SL-S30-01.md</t>
        </is>
      </c>
      <c r="V321" s="10" t="inlineStr"/>
      <c r="W321" s="10" t="inlineStr"/>
      <c r="X321" s="3">
        <f>IF(N321="Concluído",IF(AND(S321&lt;&gt;"",ISNUMBER(T321),T321&gt;0,V321&lt;&gt;"",AND(OR(X298="OK",X298="DISPENSADO"),OR(X309="OK",X309="DISPENSADO"),OR(X320="OK",X320="DISPENSADO"))),"OK","REVISAR"),IF(N321="Dispensado (ADR)",IF(AND(LEFT(Q321,11)="Condicional",W321&lt;&gt;"",S321&lt;&gt;"",ISNUMBER(T321),T321&gt;0,V321&lt;&gt;""),"DISPENSADO","REVISAR"),"PENDENTE"))</f>
        <v/>
      </c>
      <c r="Y321" s="10" t="inlineStr"/>
    </row>
    <row r="322" ht="112" customHeight="1">
      <c r="A322" s="3" t="n">
        <v>321</v>
      </c>
      <c r="B322" s="3" t="inlineStr">
        <is>
          <t>SL-S30-02</t>
        </is>
      </c>
      <c r="C322" s="9" t="inlineStr">
        <is>
          <t>v0.5.0</t>
        </is>
      </c>
      <c r="D322" s="9" t="inlineStr">
        <is>
          <t>S30</t>
        </is>
      </c>
      <c r="E322" s="3" t="inlineStr">
        <is>
          <t>IngestCoordinator / UI</t>
        </is>
      </c>
      <c r="F322" s="3" t="inlineStr">
        <is>
          <t>Integração</t>
        </is>
      </c>
      <c r="G322" s="3" t="inlineStr">
        <is>
          <t>Implementação</t>
        </is>
      </c>
      <c r="H322" s="3" t="inlineStr">
        <is>
          <t>Implementar deduplicação</t>
        </is>
      </c>
      <c r="I322" s="3" t="inlineStr">
        <is>
          <t>Usar hash/fonte com política clara para nova captura versus referência existente.</t>
        </is>
      </c>
      <c r="J322" s="3" t="inlineStr">
        <is>
          <t>crates/ingest/src/deduplicate.rs</t>
        </is>
      </c>
      <c r="K322" s="3" t="inlineStr">
        <is>
          <t>Capturas legítimas em datas diferentes não são fundidas sem preservar sua origem.</t>
        </is>
      </c>
      <c r="L322" s="3" t="inlineStr">
        <is>
          <t>SL-S30-01</t>
        </is>
      </c>
      <c r="M322" s="3" t="inlineStr">
        <is>
          <t>R02; R14; R15; R17; R31</t>
        </is>
      </c>
      <c r="N322" s="10" t="inlineStr">
        <is>
          <t>Não iniciado</t>
        </is>
      </c>
      <c r="O322" s="3" t="inlineStr">
        <is>
          <t>P1</t>
        </is>
      </c>
      <c r="P322" s="3" t="inlineStr">
        <is>
          <t>Alto</t>
        </is>
      </c>
      <c r="Q322" s="3" t="inlineStr">
        <is>
          <t>Obrigatória no escopo da versão</t>
        </is>
      </c>
      <c r="R322" s="10" t="inlineStr">
        <is>
          <t>Autor + agente de IA</t>
        </is>
      </c>
      <c r="S322" s="10" t="inlineStr"/>
      <c r="T322" s="11" t="inlineStr"/>
      <c r="U322" s="3" t="inlineStr">
        <is>
          <t>reports/S30/SL-S30-02.md</t>
        </is>
      </c>
      <c r="V322" s="10" t="inlineStr"/>
      <c r="W322" s="10" t="inlineStr"/>
      <c r="X322" s="3">
        <f>IF(N322="Concluído",IF(AND(S322&lt;&gt;"",ISNUMBER(T322),T322&gt;0,V322&lt;&gt;"",AND(OR(X321="OK",X321="DISPENSADO"))),"OK","REVISAR"),IF(N322="Dispensado (ADR)",IF(AND(LEFT(Q322,11)="Condicional",W322&lt;&gt;"",S322&lt;&gt;"",ISNUMBER(T322),T322&gt;0,V322&lt;&gt;""),"DISPENSADO","REVISAR"),"PENDENTE"))</f>
        <v/>
      </c>
      <c r="Y322" s="10" t="inlineStr"/>
    </row>
    <row r="323" ht="112" customHeight="1">
      <c r="A323" s="3" t="n">
        <v>322</v>
      </c>
      <c r="B323" s="3" t="inlineStr">
        <is>
          <t>SL-S30-03</t>
        </is>
      </c>
      <c r="C323" s="9" t="inlineStr">
        <is>
          <t>v0.5.0</t>
        </is>
      </c>
      <c r="D323" s="9" t="inlineStr">
        <is>
          <t>S30</t>
        </is>
      </c>
      <c r="E323" s="3" t="inlineStr">
        <is>
          <t>IngestCoordinator / UI</t>
        </is>
      </c>
      <c r="F323" s="3" t="inlineStr">
        <is>
          <t>Integração</t>
        </is>
      </c>
      <c r="G323" s="3" t="inlineStr">
        <is>
          <t>Implementação</t>
        </is>
      </c>
      <c r="H323" s="3" t="inlineStr">
        <is>
          <t>Orquestrar roteamento</t>
        </is>
      </c>
      <c r="I323" s="3" t="inlineStr">
        <is>
          <t>Escolher parser por tipo verificado, não só por extensão do nome.</t>
        </is>
      </c>
      <c r="J323" s="3" t="inlineStr">
        <is>
          <t>crates/ingest/src/router.rs</t>
        </is>
      </c>
      <c r="K323" s="3" t="inlineStr">
        <is>
          <t>Tipo enganoso ou não suportado é recusado/registrado sem execução arbitrária.</t>
        </is>
      </c>
      <c r="L323" s="3" t="inlineStr">
        <is>
          <t>SL-S30-02</t>
        </is>
      </c>
      <c r="M323" s="3" t="inlineStr">
        <is>
          <t>R02; R14; R15; R17; R31</t>
        </is>
      </c>
      <c r="N323" s="10" t="inlineStr">
        <is>
          <t>Não iniciado</t>
        </is>
      </c>
      <c r="O323" s="3" t="inlineStr">
        <is>
          <t>P1</t>
        </is>
      </c>
      <c r="P323" s="3" t="inlineStr">
        <is>
          <t>Alto</t>
        </is>
      </c>
      <c r="Q323" s="3" t="inlineStr">
        <is>
          <t>Obrigatória no escopo da versão</t>
        </is>
      </c>
      <c r="R323" s="10" t="inlineStr">
        <is>
          <t>Autor + agente de IA</t>
        </is>
      </c>
      <c r="S323" s="10" t="inlineStr"/>
      <c r="T323" s="11" t="inlineStr"/>
      <c r="U323" s="3" t="inlineStr">
        <is>
          <t>reports/S30/SL-S30-03.md</t>
        </is>
      </c>
      <c r="V323" s="10" t="inlineStr"/>
      <c r="W323" s="10" t="inlineStr"/>
      <c r="X323" s="3">
        <f>IF(N323="Concluído",IF(AND(S323&lt;&gt;"",ISNUMBER(T323),T323&gt;0,V323&lt;&gt;"",AND(OR(X322="OK",X322="DISPENSADO"))),"OK","REVISAR"),IF(N323="Dispensado (ADR)",IF(AND(LEFT(Q323,11)="Condicional",W323&lt;&gt;"",S323&lt;&gt;"",ISNUMBER(T323),T323&gt;0,V323&lt;&gt;""),"DISPENSADO","REVISAR"),"PENDENTE"))</f>
        <v/>
      </c>
      <c r="Y323" s="10" t="inlineStr"/>
    </row>
    <row r="324" ht="112" customHeight="1">
      <c r="A324" s="3" t="n">
        <v>323</v>
      </c>
      <c r="B324" s="3" t="inlineStr">
        <is>
          <t>SL-S30-04</t>
        </is>
      </c>
      <c r="C324" s="9" t="inlineStr">
        <is>
          <t>v0.5.0</t>
        </is>
      </c>
      <c r="D324" s="9" t="inlineStr">
        <is>
          <t>S30</t>
        </is>
      </c>
      <c r="E324" s="3" t="inlineStr">
        <is>
          <t>IngestCoordinator / UI</t>
        </is>
      </c>
      <c r="F324" s="3" t="inlineStr">
        <is>
          <t>Integração</t>
        </is>
      </c>
      <c r="G324" s="3" t="inlineStr">
        <is>
          <t>Implementação</t>
        </is>
      </c>
      <c r="H324" s="3" t="inlineStr">
        <is>
          <t>Criar UI da fila</t>
        </is>
      </c>
      <c r="I324" s="3" t="inlineStr">
        <is>
          <t>Mostrar captura salva, extração pendente, parcial, falhou e reprocessar.</t>
        </is>
      </c>
      <c r="J324" s="3" t="inlineStr">
        <is>
          <t>apps/desktop/src/ingest/jobs.ts</t>
        </is>
      </c>
      <c r="K324" s="3" t="inlineStr">
        <is>
          <t>Falha de OCR não faz documento desaparecer do acervo.</t>
        </is>
      </c>
      <c r="L324" s="3" t="inlineStr">
        <is>
          <t>SL-S30-03</t>
        </is>
      </c>
      <c r="M324" s="3" t="inlineStr">
        <is>
          <t>R02; R14; R15; R17; R31</t>
        </is>
      </c>
      <c r="N324" s="10" t="inlineStr">
        <is>
          <t>Não iniciado</t>
        </is>
      </c>
      <c r="O324" s="3" t="inlineStr">
        <is>
          <t>P1</t>
        </is>
      </c>
      <c r="P324" s="3" t="inlineStr">
        <is>
          <t>Alto</t>
        </is>
      </c>
      <c r="Q324" s="3" t="inlineStr">
        <is>
          <t>Obrigatória no escopo da versão</t>
        </is>
      </c>
      <c r="R324" s="10" t="inlineStr">
        <is>
          <t>Autor + agente de IA</t>
        </is>
      </c>
      <c r="S324" s="10" t="inlineStr"/>
      <c r="T324" s="11" t="inlineStr"/>
      <c r="U324" s="3" t="inlineStr">
        <is>
          <t>reports/S30/SL-S30-04.md</t>
        </is>
      </c>
      <c r="V324" s="10" t="inlineStr"/>
      <c r="W324" s="10" t="inlineStr"/>
      <c r="X324" s="3">
        <f>IF(N324="Concluído",IF(AND(S324&lt;&gt;"",ISNUMBER(T324),T324&gt;0,V324&lt;&gt;"",AND(OR(X323="OK",X323="DISPENSADO"))),"OK","REVISAR"),IF(N324="Dispensado (ADR)",IF(AND(LEFT(Q324,11)="Condicional",W324&lt;&gt;"",S324&lt;&gt;"",ISNUMBER(T324),T324&gt;0,V324&lt;&gt;""),"DISPENSADO","REVISAR"),"PENDENTE"))</f>
        <v/>
      </c>
      <c r="Y324" s="10" t="inlineStr"/>
    </row>
    <row r="325" ht="112" customHeight="1">
      <c r="A325" s="3" t="n">
        <v>324</v>
      </c>
      <c r="B325" s="3" t="inlineStr">
        <is>
          <t>SL-S30-05</t>
        </is>
      </c>
      <c r="C325" s="9" t="inlineStr">
        <is>
          <t>v0.5.0</t>
        </is>
      </c>
      <c r="D325" s="9" t="inlineStr">
        <is>
          <t>S30</t>
        </is>
      </c>
      <c r="E325" s="3" t="inlineStr">
        <is>
          <t>IngestCoordinator / UI</t>
        </is>
      </c>
      <c r="F325" s="3" t="inlineStr">
        <is>
          <t>Integração</t>
        </is>
      </c>
      <c r="G325" s="3" t="inlineStr">
        <is>
          <t>Implementação</t>
        </is>
      </c>
      <c r="H325" s="3" t="inlineStr">
        <is>
          <t>Publicar extração pelo Core</t>
        </is>
      </c>
      <c r="I325" s="3" t="inlineStr">
        <is>
          <t>Validar resultado e persistir versão de conteúdo/mapa de fontes.</t>
        </is>
      </c>
      <c r="J325" s="3" t="inlineStr">
        <is>
          <t>crates/ingest/src/commit_extraction.rs</t>
        </is>
      </c>
      <c r="K325" s="3" t="inlineStr">
        <is>
          <t>Worker atrasado não sobrescreve correção manual nem resultado de pipeline mais recente.</t>
        </is>
      </c>
      <c r="L325" s="3" t="inlineStr">
        <is>
          <t>SL-S30-04</t>
        </is>
      </c>
      <c r="M325" s="3" t="inlineStr">
        <is>
          <t>R02; R14; R15; R17; R31</t>
        </is>
      </c>
      <c r="N325" s="10" t="inlineStr">
        <is>
          <t>Não iniciado</t>
        </is>
      </c>
      <c r="O325" s="3" t="inlineStr">
        <is>
          <t>P1</t>
        </is>
      </c>
      <c r="P325" s="3" t="inlineStr">
        <is>
          <t>Alto</t>
        </is>
      </c>
      <c r="Q325" s="3" t="inlineStr">
        <is>
          <t>Obrigatória no escopo da versão</t>
        </is>
      </c>
      <c r="R325" s="10" t="inlineStr">
        <is>
          <t>Autor + agente de IA</t>
        </is>
      </c>
      <c r="S325" s="10" t="inlineStr"/>
      <c r="T325" s="11" t="inlineStr"/>
      <c r="U325" s="3" t="inlineStr">
        <is>
          <t>reports/S30/SL-S30-05.md</t>
        </is>
      </c>
      <c r="V325" s="10" t="inlineStr"/>
      <c r="W325" s="10" t="inlineStr"/>
      <c r="X325" s="3">
        <f>IF(N325="Concluído",IF(AND(S325&lt;&gt;"",ISNUMBER(T325),T325&gt;0,V325&lt;&gt;"",AND(OR(X324="OK",X324="DISPENSADO"))),"OK","REVISAR"),IF(N325="Dispensado (ADR)",IF(AND(LEFT(Q325,11)="Condicional",W325&lt;&gt;"",S325&lt;&gt;"",ISNUMBER(T325),T325&gt;0,V325&lt;&gt;""),"DISPENSADO","REVISAR"),"PENDENTE"))</f>
        <v/>
      </c>
      <c r="Y325" s="10" t="inlineStr"/>
    </row>
    <row r="326" ht="112" customHeight="1">
      <c r="A326" s="3" t="n">
        <v>325</v>
      </c>
      <c r="B326" s="3" t="inlineStr">
        <is>
          <t>SL-S30-06</t>
        </is>
      </c>
      <c r="C326" s="9" t="inlineStr">
        <is>
          <t>v0.5.0</t>
        </is>
      </c>
      <c r="D326" s="9" t="inlineStr">
        <is>
          <t>S30</t>
        </is>
      </c>
      <c r="E326" s="3" t="inlineStr">
        <is>
          <t>IngestCoordinator / UI</t>
        </is>
      </c>
      <c r="F326" s="3" t="inlineStr">
        <is>
          <t>Integração</t>
        </is>
      </c>
      <c r="G326" s="3" t="inlineStr">
        <is>
          <t>Implementação</t>
        </is>
      </c>
      <c r="H326" s="3" t="inlineStr">
        <is>
          <t>Criar leitor de material</t>
        </is>
      </c>
      <c r="I326" s="3" t="inlineStr">
        <is>
          <t>Exibir texto, origem, diagnóstico e navegação ao asset por broker.</t>
        </is>
      </c>
      <c r="J326" s="3" t="inlineStr">
        <is>
          <t>apps/desktop/src/ingest/reader.ts</t>
        </is>
      </c>
      <c r="K326" s="3" t="inlineStr">
        <is>
          <t>Conteúdo ativo é neutralizado e origem permanece disponível offline.</t>
        </is>
      </c>
      <c r="L326" s="3" t="inlineStr">
        <is>
          <t>SL-S30-05</t>
        </is>
      </c>
      <c r="M326" s="3" t="inlineStr">
        <is>
          <t>R02; R14; R15; R17; R31</t>
        </is>
      </c>
      <c r="N326" s="10" t="inlineStr">
        <is>
          <t>Não iniciado</t>
        </is>
      </c>
      <c r="O326" s="3" t="inlineStr">
        <is>
          <t>P1</t>
        </is>
      </c>
      <c r="P326" s="3" t="inlineStr">
        <is>
          <t>Alto</t>
        </is>
      </c>
      <c r="Q326" s="3" t="inlineStr">
        <is>
          <t>Obrigatória no escopo da versão</t>
        </is>
      </c>
      <c r="R326" s="10" t="inlineStr">
        <is>
          <t>Autor + agente de IA</t>
        </is>
      </c>
      <c r="S326" s="10" t="inlineStr"/>
      <c r="T326" s="11" t="inlineStr"/>
      <c r="U326" s="3" t="inlineStr">
        <is>
          <t>reports/S30/SL-S30-06.md</t>
        </is>
      </c>
      <c r="V326" s="10" t="inlineStr"/>
      <c r="W326" s="10" t="inlineStr"/>
      <c r="X326" s="3">
        <f>IF(N326="Concluído",IF(AND(S326&lt;&gt;"",ISNUMBER(T326),T326&gt;0,V326&lt;&gt;"",AND(OR(X325="OK",X325="DISPENSADO"))),"OK","REVISAR"),IF(N326="Dispensado (ADR)",IF(AND(LEFT(Q326,11)="Condicional",W326&lt;&gt;"",S326&lt;&gt;"",ISNUMBER(T326),T326&gt;0,V326&lt;&gt;""),"DISPENSADO","REVISAR"),"PENDENTE"))</f>
        <v/>
      </c>
      <c r="Y326" s="10" t="inlineStr"/>
    </row>
    <row r="327" ht="112" customHeight="1">
      <c r="A327" s="3" t="n">
        <v>326</v>
      </c>
      <c r="B327" s="3" t="inlineStr">
        <is>
          <t>SL-S30-07</t>
        </is>
      </c>
      <c r="C327" s="9" t="inlineStr">
        <is>
          <t>v0.5.0</t>
        </is>
      </c>
      <c r="D327" s="9" t="inlineStr">
        <is>
          <t>S30</t>
        </is>
      </c>
      <c r="E327" s="3" t="inlineStr">
        <is>
          <t>IngestCoordinator / UI</t>
        </is>
      </c>
      <c r="F327" s="3" t="inlineStr">
        <is>
          <t>Integração</t>
        </is>
      </c>
      <c r="G327" s="3" t="inlineStr">
        <is>
          <t>Implementação</t>
        </is>
      </c>
      <c r="H327" s="3" t="inlineStr">
        <is>
          <t>Criar recorte para célula</t>
        </is>
      </c>
      <c r="I327" s="3" t="inlineStr">
        <is>
          <t>Promover seleção com fonte/revisão preservadas.</t>
        </is>
      </c>
      <c r="J327" s="3" t="inlineStr">
        <is>
          <t>crates/ingest/src/promote.rs</t>
        </is>
      </c>
      <c r="K327" s="3" t="inlineStr">
        <is>
          <t>Recorte novo não modifica fonte imutável e conecta-se à proveniência da Peça.</t>
        </is>
      </c>
      <c r="L327" s="3" t="inlineStr">
        <is>
          <t>SL-S30-06</t>
        </is>
      </c>
      <c r="M327" s="3" t="inlineStr">
        <is>
          <t>R02; R14; R15; R17; R31</t>
        </is>
      </c>
      <c r="N327" s="10" t="inlineStr">
        <is>
          <t>Não iniciado</t>
        </is>
      </c>
      <c r="O327" s="3" t="inlineStr">
        <is>
          <t>P1</t>
        </is>
      </c>
      <c r="P327" s="3" t="inlineStr">
        <is>
          <t>Alto</t>
        </is>
      </c>
      <c r="Q327" s="3" t="inlineStr">
        <is>
          <t>Obrigatória no escopo da versão</t>
        </is>
      </c>
      <c r="R327" s="10" t="inlineStr">
        <is>
          <t>Autor + agente de IA</t>
        </is>
      </c>
      <c r="S327" s="10" t="inlineStr"/>
      <c r="T327" s="11" t="inlineStr"/>
      <c r="U327" s="3" t="inlineStr">
        <is>
          <t>reports/S30/SL-S30-07.md</t>
        </is>
      </c>
      <c r="V327" s="10" t="inlineStr"/>
      <c r="W327" s="10" t="inlineStr"/>
      <c r="X327" s="3">
        <f>IF(N327="Concluído",IF(AND(S327&lt;&gt;"",ISNUMBER(T327),T327&gt;0,V327&lt;&gt;"",AND(OR(X326="OK",X326="DISPENSADO"))),"OK","REVISAR"),IF(N327="Dispensado (ADR)",IF(AND(LEFT(Q327,11)="Condicional",W327&lt;&gt;"",S327&lt;&gt;"",ISNUMBER(T327),T327&gt;0,V327&lt;&gt;""),"DISPENSADO","REVISAR"),"PENDENTE"))</f>
        <v/>
      </c>
      <c r="Y327" s="10" t="inlineStr"/>
    </row>
    <row r="328" ht="112" customHeight="1">
      <c r="A328" s="3" t="n">
        <v>327</v>
      </c>
      <c r="B328" s="3" t="inlineStr">
        <is>
          <t>SL-S30-08</t>
        </is>
      </c>
      <c r="C328" s="9" t="inlineStr">
        <is>
          <t>v0.5.0</t>
        </is>
      </c>
      <c r="D328" s="9" t="inlineStr">
        <is>
          <t>S30</t>
        </is>
      </c>
      <c r="E328" s="3" t="inlineStr">
        <is>
          <t>IngestCoordinator / UI</t>
        </is>
      </c>
      <c r="F328" s="3" t="inlineStr">
        <is>
          <t>Integração</t>
        </is>
      </c>
      <c r="G328" s="3" t="inlineStr">
        <is>
          <t>Implementação</t>
        </is>
      </c>
      <c r="H328" s="3" t="inlineStr">
        <is>
          <t>Gerenciar reprocessamento</t>
        </is>
      </c>
      <c r="I328" s="3" t="inlineStr">
        <is>
          <t>Separar nova extração, enriquecimento e alterações autorais aceitas.</t>
        </is>
      </c>
      <c r="J328" s="3" t="inlineStr">
        <is>
          <t>crates/ingest/src/reprocess.rs</t>
        </is>
      </c>
      <c r="K328" s="3" t="inlineStr">
        <is>
          <t>Reprocessar não apaga anotação/metadata editada pelo usuário.</t>
        </is>
      </c>
      <c r="L328" s="3" t="inlineStr">
        <is>
          <t>SL-S30-07</t>
        </is>
      </c>
      <c r="M328" s="3" t="inlineStr">
        <is>
          <t>R02; R14; R15; R17; R31</t>
        </is>
      </c>
      <c r="N328" s="10" t="inlineStr">
        <is>
          <t>Não iniciado</t>
        </is>
      </c>
      <c r="O328" s="3" t="inlineStr">
        <is>
          <t>P1</t>
        </is>
      </c>
      <c r="P328" s="3" t="inlineStr">
        <is>
          <t>Alto</t>
        </is>
      </c>
      <c r="Q328" s="3" t="inlineStr">
        <is>
          <t>Obrigatória no escopo da versão</t>
        </is>
      </c>
      <c r="R328" s="10" t="inlineStr">
        <is>
          <t>Autor + agente de IA</t>
        </is>
      </c>
      <c r="S328" s="10" t="inlineStr"/>
      <c r="T328" s="11" t="inlineStr"/>
      <c r="U328" s="3" t="inlineStr">
        <is>
          <t>reports/S30/SL-S30-08.md</t>
        </is>
      </c>
      <c r="V328" s="10" t="inlineStr"/>
      <c r="W328" s="10" t="inlineStr"/>
      <c r="X328" s="3">
        <f>IF(N328="Concluído",IF(AND(S328&lt;&gt;"",ISNUMBER(T328),T328&gt;0,V328&lt;&gt;"",AND(OR(X327="OK",X327="DISPENSADO"))),"OK","REVISAR"),IF(N328="Dispensado (ADR)",IF(AND(LEFT(Q328,11)="Condicional",W328&lt;&gt;"",S328&lt;&gt;"",ISNUMBER(T328),T328&gt;0,V328&lt;&gt;""),"DISPENSADO","REVISAR"),"PENDENTE"))</f>
        <v/>
      </c>
      <c r="Y328" s="10" t="inlineStr"/>
    </row>
    <row r="329" ht="112" customHeight="1">
      <c r="A329" s="3" t="n">
        <v>328</v>
      </c>
      <c r="B329" s="3" t="inlineStr">
        <is>
          <t>SL-S30-09</t>
        </is>
      </c>
      <c r="C329" s="9" t="inlineStr">
        <is>
          <t>v0.5.0</t>
        </is>
      </c>
      <c r="D329" s="9" t="inlineStr">
        <is>
          <t>S30</t>
        </is>
      </c>
      <c r="E329" s="3" t="inlineStr">
        <is>
          <t>IngestCoordinator / UI</t>
        </is>
      </c>
      <c r="F329" s="3" t="inlineStr">
        <is>
          <t>Integração</t>
        </is>
      </c>
      <c r="G329" s="3" t="inlineStr">
        <is>
          <t>Teste</t>
        </is>
      </c>
      <c r="H329" s="3" t="inlineStr">
        <is>
          <t>Executar ingestão em lote</t>
        </is>
      </c>
      <c r="I329" s="3" t="inlineStr">
        <is>
          <t>Misturar formatos, duplicatas, arquivos inválidos e cancelamentos.</t>
        </is>
      </c>
      <c r="J329" s="3" t="inlineStr">
        <is>
          <t>reports/v0.5/batch-ingest.json</t>
        </is>
      </c>
      <c r="K329" s="3" t="inlineStr">
        <is>
          <t>Fila progride com falhas isoladas, sem deadlock nem corrupção global.</t>
        </is>
      </c>
      <c r="L329" s="3" t="inlineStr">
        <is>
          <t>SL-S30-08</t>
        </is>
      </c>
      <c r="M329" s="3" t="inlineStr">
        <is>
          <t>R02; R14; R15; R17; R31</t>
        </is>
      </c>
      <c r="N329" s="10" t="inlineStr">
        <is>
          <t>Não iniciado</t>
        </is>
      </c>
      <c r="O329" s="3" t="inlineStr">
        <is>
          <t>P1</t>
        </is>
      </c>
      <c r="P329" s="3" t="inlineStr">
        <is>
          <t>Alto</t>
        </is>
      </c>
      <c r="Q329" s="3" t="inlineStr">
        <is>
          <t>Obrigatória no escopo da versão</t>
        </is>
      </c>
      <c r="R329" s="10" t="inlineStr">
        <is>
          <t>Autor + agente de IA</t>
        </is>
      </c>
      <c r="S329" s="10" t="inlineStr"/>
      <c r="T329" s="11" t="inlineStr"/>
      <c r="U329" s="3" t="inlineStr">
        <is>
          <t>reports/S30/SL-S30-09.md</t>
        </is>
      </c>
      <c r="V329" s="10" t="inlineStr"/>
      <c r="W329" s="10" t="inlineStr"/>
      <c r="X329" s="3">
        <f>IF(N329="Concluído",IF(AND(S329&lt;&gt;"",ISNUMBER(T329),T329&gt;0,V329&lt;&gt;"",AND(OR(X328="OK",X328="DISPENSADO"))),"OK","REVISAR"),IF(N329="Dispensado (ADR)",IF(AND(LEFT(Q329,11)="Condicional",W329&lt;&gt;"",S329&lt;&gt;"",ISNUMBER(T329),T329&gt;0,V329&lt;&gt;""),"DISPENSADO","REVISAR"),"PENDENTE"))</f>
        <v/>
      </c>
      <c r="Y329" s="10" t="inlineStr"/>
    </row>
    <row r="330" ht="112" customHeight="1">
      <c r="A330" s="3" t="n">
        <v>329</v>
      </c>
      <c r="B330" s="3" t="inlineStr">
        <is>
          <t>SL-S30-10</t>
        </is>
      </c>
      <c r="C330" s="9" t="inlineStr">
        <is>
          <t>v0.5.0</t>
        </is>
      </c>
      <c r="D330" s="9" t="inlineStr">
        <is>
          <t>S30</t>
        </is>
      </c>
      <c r="E330" s="3" t="inlineStr">
        <is>
          <t>IngestCoordinator / UI</t>
        </is>
      </c>
      <c r="F330" s="3" t="inlineStr">
        <is>
          <t>Integração</t>
        </is>
      </c>
      <c r="G330" s="3" t="inlineStr">
        <is>
          <t>Release</t>
        </is>
      </c>
      <c r="H330" s="3" t="inlineStr">
        <is>
          <t>Publicar alpha de acervo</t>
        </is>
      </c>
      <c r="I330" s="3" t="inlineStr">
        <is>
          <t>Incluir pacote de capacidades por plataforma e instruções sem IA.</t>
        </is>
      </c>
      <c r="J330" s="3" t="inlineStr">
        <is>
          <t>release/v0.5.0/</t>
        </is>
      </c>
      <c r="K330" s="3" t="inlineStr">
        <is>
          <t>Usuário captura, lê e organiza materiais sem chave de API.</t>
        </is>
      </c>
      <c r="L330" s="3" t="inlineStr">
        <is>
          <t>SL-S30-09</t>
        </is>
      </c>
      <c r="M330" s="3" t="inlineStr">
        <is>
          <t>R02; R14; R15; R17; R31</t>
        </is>
      </c>
      <c r="N330" s="10" t="inlineStr">
        <is>
          <t>Não iniciado</t>
        </is>
      </c>
      <c r="O330" s="3" t="inlineStr">
        <is>
          <t>P1</t>
        </is>
      </c>
      <c r="P330" s="3" t="inlineStr">
        <is>
          <t>Alto</t>
        </is>
      </c>
      <c r="Q330" s="3" t="inlineStr">
        <is>
          <t>Obrigatória no escopo da versão</t>
        </is>
      </c>
      <c r="R330" s="10" t="inlineStr">
        <is>
          <t>Autor</t>
        </is>
      </c>
      <c r="S330" s="10" t="inlineStr"/>
      <c r="T330" s="11" t="inlineStr"/>
      <c r="U330" s="3" t="inlineStr">
        <is>
          <t>reports/S30/SL-S30-10.md</t>
        </is>
      </c>
      <c r="V330" s="10" t="inlineStr"/>
      <c r="W330" s="10" t="inlineStr"/>
      <c r="X330" s="3">
        <f>IF(N330="Concluído",IF(AND(S330&lt;&gt;"",ISNUMBER(T330),T330&gt;0,V330&lt;&gt;"",AND(OR(X329="OK",X329="DISPENSADO"))),"OK","REVISAR"),IF(N330="Dispensado (ADR)",IF(AND(LEFT(Q330,11)="Condicional",W330&lt;&gt;"",S330&lt;&gt;"",ISNUMBER(T330),T330&gt;0,V330&lt;&gt;""),"DISPENSADO","REVISAR"),"PENDENTE"))</f>
        <v/>
      </c>
      <c r="Y330" s="10" t="inlineStr"/>
    </row>
    <row r="331" ht="98" customHeight="1">
      <c r="A331" s="3" t="n">
        <v>330</v>
      </c>
      <c r="B331" s="12" t="inlineStr">
        <is>
          <t>SL-S30-GATE</t>
        </is>
      </c>
      <c r="C331" s="9" t="inlineStr">
        <is>
          <t>v0.5.0</t>
        </is>
      </c>
      <c r="D331" s="9" t="inlineStr">
        <is>
          <t>S30</t>
        </is>
      </c>
      <c r="E331" s="3" t="inlineStr">
        <is>
          <t>IngestCoordinator / UI</t>
        </is>
      </c>
      <c r="F331" s="3" t="inlineStr">
        <is>
          <t>Aceite humano</t>
        </is>
      </c>
      <c r="G331" s="12" t="inlineStr">
        <is>
          <t>Gate</t>
        </is>
      </c>
      <c r="H331" s="12" t="inlineStr">
        <is>
          <t>Aceitar S30 — Entregar Ingest sem fricção e leitura do acervo</t>
        </is>
      </c>
      <c r="I331" s="3" t="inlineStr">
        <is>
          <t>Revisar as dez tarefas, executar a demonstração do sprint, confrontar critérios e registrar decisão go/no-go.</t>
        </is>
      </c>
      <c r="J331" s="3" t="inlineStr">
        <is>
          <t>reports/S30/acceptance.md</t>
        </is>
      </c>
      <c r="K331" s="3" t="inlineStr">
        <is>
          <t>Soltar documento, continuar trabalhando e promover um recorte após extração. Todas as dependências aceitas; evidências vinculadas a revisão/ambiente; nenhum blocker de integridade/segurança.</t>
        </is>
      </c>
      <c r="L331" s="3" t="inlineStr">
        <is>
          <t>SL-S30-01; SL-S30-02; SL-S30-03; SL-S30-04; SL-S30-05; SL-S30-06; SL-S30-07; SL-S30-08; SL-S30-09; SL-S30-10</t>
        </is>
      </c>
      <c r="M331" s="3" t="inlineStr">
        <is>
          <t>R02; R14; R15; R17; R31</t>
        </is>
      </c>
      <c r="N331" s="10" t="inlineStr">
        <is>
          <t>Não iniciado</t>
        </is>
      </c>
      <c r="O331" s="3" t="inlineStr">
        <is>
          <t>P0</t>
        </is>
      </c>
      <c r="P331" s="3" t="inlineStr">
        <is>
          <t>Alto</t>
        </is>
      </c>
      <c r="Q331" s="3" t="inlineStr">
        <is>
          <t>Obrigatória para fechar a versão aprovada</t>
        </is>
      </c>
      <c r="R331" s="10" t="inlineStr">
        <is>
          <t>Autor</t>
        </is>
      </c>
      <c r="S331" s="10" t="inlineStr"/>
      <c r="T331" s="11" t="inlineStr"/>
      <c r="U331" s="3" t="inlineStr">
        <is>
          <t>reports/S30/acceptance.md</t>
        </is>
      </c>
      <c r="V331" s="10" t="inlineStr"/>
      <c r="W331" s="10" t="inlineStr"/>
      <c r="X331" s="3">
        <f>IF(N331="Concluído",IF(AND(S331&lt;&gt;"",ISNUMBER(T331),T331&gt;0,V331&lt;&gt;"",AND(OR(X321="OK",X321="DISPENSADO"),OR(X322="OK",X322="DISPENSADO"),OR(X323="OK",X323="DISPENSADO"),OR(X324="OK",X324="DISPENSADO"),OR(X325="OK",X325="DISPENSADO"),OR(X326="OK",X326="DISPENSADO"),OR(X327="OK",X327="DISPENSADO"),OR(X328="OK",X328="DISPENSADO"),OR(X329="OK",X329="DISPENSADO"),OR(X330="OK",X330="DISPENSADO"))),"OK","REVISAR"),IF(N331="Dispensado (ADR)",IF(AND(LEFT(Q331,11)="Condicional",W331&lt;&gt;"",S331&lt;&gt;"",ISNUMBER(T331),T331&gt;0,V331&lt;&gt;""),"DISPENSADO","REVISAR"),"PENDENTE"))</f>
        <v/>
      </c>
      <c r="Y331" s="10" t="inlineStr"/>
    </row>
    <row r="332" ht="112" customHeight="1">
      <c r="A332" s="3" t="n">
        <v>331</v>
      </c>
      <c r="B332" s="3" t="inlineStr">
        <is>
          <t>SL-S31-01</t>
        </is>
      </c>
      <c r="C332" s="9" t="inlineStr">
        <is>
          <t>v0.6.0</t>
        </is>
      </c>
      <c r="D332" s="9" t="inlineStr">
        <is>
          <t>S31</t>
        </is>
      </c>
      <c r="E332" s="3" t="inlineStr">
        <is>
          <t>LocalAI / RuntimeProvider</t>
        </is>
      </c>
      <c r="F332" s="3" t="inlineStr">
        <is>
          <t>Desconstrução</t>
        </is>
      </c>
      <c r="G332" s="3" t="inlineStr">
        <is>
          <t>Upstream</t>
        </is>
      </c>
      <c r="H332" s="3" t="inlineStr">
        <is>
          <t>Fixar LocalAI e backends candidatos</t>
        </is>
      </c>
      <c r="I332" s="3" t="inlineStr">
        <is>
          <t>Registrar código Go, imagens/binários, deps e interfaces usadas.</t>
        </is>
      </c>
      <c r="J332" s="3" t="inlineStr">
        <is>
          <t>upstream/localai/manifest.json</t>
        </is>
      </c>
      <c r="K332" s="3" t="inlineStr">
        <is>
          <t>Todos os artefatos têm origem e versão; API compatível não substitui inventário.</t>
        </is>
      </c>
      <c r="L332" s="3" t="inlineStr">
        <is>
          <t>SL-S23-GATE; SL-S24-GATE; SL-S25-GATE; SL-S26-GATE; SL-S30-GATE</t>
        </is>
      </c>
      <c r="M332" s="3" t="inlineStr">
        <is>
          <t>R03; R07; R08; R09; R27; R30</t>
        </is>
      </c>
      <c r="N332" s="10" t="inlineStr">
        <is>
          <t>Não iniciado</t>
        </is>
      </c>
      <c r="O332" s="3" t="inlineStr">
        <is>
          <t>P0</t>
        </is>
      </c>
      <c r="P332" s="3" t="inlineStr">
        <is>
          <t>Crítico</t>
        </is>
      </c>
      <c r="Q332" s="3" t="inlineStr">
        <is>
          <t>Obrigatória no escopo da versão</t>
        </is>
      </c>
      <c r="R332" s="10" t="inlineStr">
        <is>
          <t>Autor + agente de IA</t>
        </is>
      </c>
      <c r="S332" s="10" t="inlineStr"/>
      <c r="T332" s="11" t="inlineStr"/>
      <c r="U332" s="3" t="inlineStr">
        <is>
          <t>reports/S31/SL-S31-01.md</t>
        </is>
      </c>
      <c r="V332" s="10" t="inlineStr"/>
      <c r="W332" s="10" t="inlineStr"/>
      <c r="X332" s="3">
        <f>IF(N332="Concluído",IF(AND(S332&lt;&gt;"",ISNUMBER(T332),T332&gt;0,V332&lt;&gt;"",AND(OR(X254="OK",X254="DISPENSADO"),OR(X265="OK",X265="DISPENSADO"),OR(X276="OK",X276="DISPENSADO"),OR(X287="OK",X287="DISPENSADO"),OR(X331="OK",X331="DISPENSADO"))),"OK","REVISAR"),IF(N332="Dispensado (ADR)",IF(AND(LEFT(Q332,11)="Condicional",W332&lt;&gt;"",S332&lt;&gt;"",ISNUMBER(T332),T332&gt;0,V332&lt;&gt;""),"DISPENSADO","REVISAR"),"PENDENTE"))</f>
        <v/>
      </c>
      <c r="Y332" s="10" t="inlineStr"/>
    </row>
    <row r="333" ht="112" customHeight="1">
      <c r="A333" s="3" t="n">
        <v>332</v>
      </c>
      <c r="B333" s="3" t="inlineStr">
        <is>
          <t>SL-S31-02</t>
        </is>
      </c>
      <c r="C333" s="9" t="inlineStr">
        <is>
          <t>v0.6.0</t>
        </is>
      </c>
      <c r="D333" s="9" t="inlineStr">
        <is>
          <t>S31</t>
        </is>
      </c>
      <c r="E333" s="3" t="inlineStr">
        <is>
          <t>LocalAI / RuntimeProvider</t>
        </is>
      </c>
      <c r="F333" s="3" t="inlineStr">
        <is>
          <t>Desconstrução</t>
        </is>
      </c>
      <c r="G333" s="3" t="inlineStr">
        <is>
          <t>Upstream</t>
        </is>
      </c>
      <c r="H333" s="3" t="inlineStr">
        <is>
          <t>Reproduzir inferência mínima</t>
        </is>
      </c>
      <c r="I333" s="3" t="inlineStr">
        <is>
          <t>Executar modelo de teste aprovado fora do app e registrar resultados.</t>
        </is>
      </c>
      <c r="J333" s="3" t="inlineStr">
        <is>
          <t>reports/localai/baseline.md</t>
        </is>
      </c>
      <c r="K333" s="3" t="inlineStr">
        <is>
          <t>Configuração upstream verificável existe antes de customizações.</t>
        </is>
      </c>
      <c r="L333" s="3" t="inlineStr">
        <is>
          <t>SL-S31-01</t>
        </is>
      </c>
      <c r="M333" s="3" t="inlineStr">
        <is>
          <t>R03; R07; R08; R09; R27; R30</t>
        </is>
      </c>
      <c r="N333" s="10" t="inlineStr">
        <is>
          <t>Não iniciado</t>
        </is>
      </c>
      <c r="O333" s="3" t="inlineStr">
        <is>
          <t>P0</t>
        </is>
      </c>
      <c r="P333" s="3" t="inlineStr">
        <is>
          <t>Crítico</t>
        </is>
      </c>
      <c r="Q333" s="3" t="inlineStr">
        <is>
          <t>Obrigatória no escopo da versão</t>
        </is>
      </c>
      <c r="R333" s="10" t="inlineStr">
        <is>
          <t>Autor + agente de IA</t>
        </is>
      </c>
      <c r="S333" s="10" t="inlineStr"/>
      <c r="T333" s="11" t="inlineStr"/>
      <c r="U333" s="3" t="inlineStr">
        <is>
          <t>reports/S31/SL-S31-02.md</t>
        </is>
      </c>
      <c r="V333" s="10" t="inlineStr"/>
      <c r="W333" s="10" t="inlineStr"/>
      <c r="X333" s="3">
        <f>IF(N333="Concluído",IF(AND(S333&lt;&gt;"",ISNUMBER(T333),T333&gt;0,V333&lt;&gt;"",AND(OR(X332="OK",X332="DISPENSADO"))),"OK","REVISAR"),IF(N333="Dispensado (ADR)",IF(AND(LEFT(Q333,11)="Condicional",W333&lt;&gt;"",S333&lt;&gt;"",ISNUMBER(T333),T333&gt;0,V333&lt;&gt;""),"DISPENSADO","REVISAR"),"PENDENTE"))</f>
        <v/>
      </c>
      <c r="Y333" s="10" t="inlineStr"/>
    </row>
    <row r="334" ht="112" customHeight="1">
      <c r="A334" s="3" t="n">
        <v>333</v>
      </c>
      <c r="B334" s="3" t="inlineStr">
        <is>
          <t>SL-S31-03</t>
        </is>
      </c>
      <c r="C334" s="9" t="inlineStr">
        <is>
          <t>v0.6.0</t>
        </is>
      </c>
      <c r="D334" s="9" t="inlineStr">
        <is>
          <t>S31</t>
        </is>
      </c>
      <c r="E334" s="3" t="inlineStr">
        <is>
          <t>LocalAI / RuntimeProvider</t>
        </is>
      </c>
      <c r="F334" s="3" t="inlineStr">
        <is>
          <t>Desconstrução</t>
        </is>
      </c>
      <c r="G334" s="3" t="inlineStr">
        <is>
          <t>Upstream</t>
        </is>
      </c>
      <c r="H334" s="3" t="inlineStr">
        <is>
          <t>Delimitar superfície</t>
        </is>
      </c>
      <c r="I334" s="3" t="inlineStr">
        <is>
          <t>Excluir do produto agentes, shell, memória/RAG e painel administrativo não necessários.</t>
        </is>
      </c>
      <c r="J334" s="3" t="inlineStr">
        <is>
          <t>docs/upstream/localai-boundaries.md</t>
        </is>
      </c>
      <c r="K334" s="3" t="inlineStr">
        <is>
          <t>Nenhuma ferramenta do modelo alcança API administrativa ou execução arbitrária.</t>
        </is>
      </c>
      <c r="L334" s="3" t="inlineStr">
        <is>
          <t>SL-S31-02</t>
        </is>
      </c>
      <c r="M334" s="3" t="inlineStr">
        <is>
          <t>R03; R07; R08; R09; R27; R30</t>
        </is>
      </c>
      <c r="N334" s="10" t="inlineStr">
        <is>
          <t>Não iniciado</t>
        </is>
      </c>
      <c r="O334" s="3" t="inlineStr">
        <is>
          <t>P0</t>
        </is>
      </c>
      <c r="P334" s="3" t="inlineStr">
        <is>
          <t>Crítico</t>
        </is>
      </c>
      <c r="Q334" s="3" t="inlineStr">
        <is>
          <t>Obrigatória no escopo da versão</t>
        </is>
      </c>
      <c r="R334" s="10" t="inlineStr">
        <is>
          <t>Autor + agente de IA</t>
        </is>
      </c>
      <c r="S334" s="10" t="inlineStr"/>
      <c r="T334" s="11" t="inlineStr"/>
      <c r="U334" s="3" t="inlineStr">
        <is>
          <t>reports/S31/SL-S31-03.md</t>
        </is>
      </c>
      <c r="V334" s="10" t="inlineStr"/>
      <c r="W334" s="10" t="inlineStr"/>
      <c r="X334" s="3">
        <f>IF(N334="Concluído",IF(AND(S334&lt;&gt;"",ISNUMBER(T334),T334&gt;0,V334&lt;&gt;"",AND(OR(X333="OK",X333="DISPENSADO"))),"OK","REVISAR"),IF(N334="Dispensado (ADR)",IF(AND(LEFT(Q334,11)="Condicional",W334&lt;&gt;"",S334&lt;&gt;"",ISNUMBER(T334),T334&gt;0,V334&lt;&gt;""),"DISPENSADO","REVISAR"),"PENDENTE"))</f>
        <v/>
      </c>
      <c r="Y334" s="10" t="inlineStr"/>
    </row>
    <row r="335" ht="112" customHeight="1">
      <c r="A335" s="3" t="n">
        <v>334</v>
      </c>
      <c r="B335" s="3" t="inlineStr">
        <is>
          <t>SL-S31-04</t>
        </is>
      </c>
      <c r="C335" s="9" t="inlineStr">
        <is>
          <t>v0.6.0</t>
        </is>
      </c>
      <c r="D335" s="9" t="inlineStr">
        <is>
          <t>S31</t>
        </is>
      </c>
      <c r="E335" s="3" t="inlineStr">
        <is>
          <t>LocalAI / RuntimeProvider</t>
        </is>
      </c>
      <c r="F335" s="3" t="inlineStr">
        <is>
          <t>Desconstrução</t>
        </is>
      </c>
      <c r="G335" s="3" t="inlineStr">
        <is>
          <t>Decisão</t>
        </is>
      </c>
      <c r="H335" s="3" t="inlineStr">
        <is>
          <t>Ratificar runtime</t>
        </is>
      </c>
      <c r="I335" s="3" t="inlineStr">
        <is>
          <t>Resolver ADR-010 incluindo distribuição, atualização e supervisão.</t>
        </is>
      </c>
      <c r="J335" s="3" t="inlineStr">
        <is>
          <t>docs/adr/010-runtime.md</t>
        </is>
      </c>
      <c r="K335" s="3" t="inlineStr">
        <is>
          <t>Instalação não exige Docker/Python/Go globais de forma implícita.</t>
        </is>
      </c>
      <c r="L335" s="3" t="inlineStr">
        <is>
          <t>SL-S31-03</t>
        </is>
      </c>
      <c r="M335" s="3" t="inlineStr">
        <is>
          <t>R03; R07; R08; R09; R27; R30</t>
        </is>
      </c>
      <c r="N335" s="10" t="inlineStr">
        <is>
          <t>Não iniciado</t>
        </is>
      </c>
      <c r="O335" s="3" t="inlineStr">
        <is>
          <t>P0</t>
        </is>
      </c>
      <c r="P335" s="3" t="inlineStr">
        <is>
          <t>Crítico</t>
        </is>
      </c>
      <c r="Q335" s="3" t="inlineStr">
        <is>
          <t>Obrigatória no escopo da versão</t>
        </is>
      </c>
      <c r="R335" s="10" t="inlineStr">
        <is>
          <t>Autor</t>
        </is>
      </c>
      <c r="S335" s="10" t="inlineStr"/>
      <c r="T335" s="11" t="inlineStr"/>
      <c r="U335" s="3" t="inlineStr">
        <is>
          <t>reports/S31/SL-S31-04.md</t>
        </is>
      </c>
      <c r="V335" s="10" t="inlineStr"/>
      <c r="W335" s="10" t="inlineStr"/>
      <c r="X335" s="3">
        <f>IF(N335="Concluído",IF(AND(S335&lt;&gt;"",ISNUMBER(T335),T335&gt;0,V335&lt;&gt;"",AND(OR(X334="OK",X334="DISPENSADO"))),"OK","REVISAR"),IF(N335="Dispensado (ADR)",IF(AND(LEFT(Q335,11)="Condicional",W335&lt;&gt;"",S335&lt;&gt;"",ISNUMBER(T335),T335&gt;0,V335&lt;&gt;""),"DISPENSADO","REVISAR"),"PENDENTE"))</f>
        <v/>
      </c>
      <c r="Y335" s="10" t="inlineStr"/>
    </row>
    <row r="336" ht="112" customHeight="1">
      <c r="A336" s="3" t="n">
        <v>335</v>
      </c>
      <c r="B336" s="3" t="inlineStr">
        <is>
          <t>SL-S31-05</t>
        </is>
      </c>
      <c r="C336" s="9" t="inlineStr">
        <is>
          <t>v0.6.0</t>
        </is>
      </c>
      <c r="D336" s="9" t="inlineStr">
        <is>
          <t>S31</t>
        </is>
      </c>
      <c r="E336" s="3" t="inlineStr">
        <is>
          <t>LocalAI / RuntimeProvider</t>
        </is>
      </c>
      <c r="F336" s="3" t="inlineStr">
        <is>
          <t>Desconstrução</t>
        </is>
      </c>
      <c r="G336" s="3" t="inlineStr">
        <is>
          <t>Implementação</t>
        </is>
      </c>
      <c r="H336" s="3" t="inlineStr">
        <is>
          <t>Criar RuntimeProvider</t>
        </is>
      </c>
      <c r="I336" s="3" t="inlineStr">
        <is>
          <t>Iniciar, verificar saúde, obter capacidades e encerrar runtime por protocolo.</t>
        </is>
      </c>
      <c r="J336" s="3" t="inlineStr">
        <is>
          <t>adapters/localai/</t>
        </is>
      </c>
      <c r="K336" s="3" t="inlineStr">
        <is>
          <t>Core não depende de detalhes privados do LocalAI fora do adapter.</t>
        </is>
      </c>
      <c r="L336" s="3" t="inlineStr">
        <is>
          <t>SL-S31-04</t>
        </is>
      </c>
      <c r="M336" s="3" t="inlineStr">
        <is>
          <t>R03; R07; R08; R09; R27; R30</t>
        </is>
      </c>
      <c r="N336" s="10" t="inlineStr">
        <is>
          <t>Não iniciado</t>
        </is>
      </c>
      <c r="O336" s="3" t="inlineStr">
        <is>
          <t>P0</t>
        </is>
      </c>
      <c r="P336" s="3" t="inlineStr">
        <is>
          <t>Crítico</t>
        </is>
      </c>
      <c r="Q336" s="3" t="inlineStr">
        <is>
          <t>Obrigatória no escopo da versão</t>
        </is>
      </c>
      <c r="R336" s="10" t="inlineStr">
        <is>
          <t>Autor + agente de IA</t>
        </is>
      </c>
      <c r="S336" s="10" t="inlineStr"/>
      <c r="T336" s="11" t="inlineStr"/>
      <c r="U336" s="3" t="inlineStr">
        <is>
          <t>reports/S31/SL-S31-05.md</t>
        </is>
      </c>
      <c r="V336" s="10" t="inlineStr"/>
      <c r="W336" s="10" t="inlineStr"/>
      <c r="X336" s="3">
        <f>IF(N336="Concluído",IF(AND(S336&lt;&gt;"",ISNUMBER(T336),T336&gt;0,V336&lt;&gt;"",AND(OR(X335="OK",X335="DISPENSADO"))),"OK","REVISAR"),IF(N336="Dispensado (ADR)",IF(AND(LEFT(Q336,11)="Condicional",W336&lt;&gt;"",S336&lt;&gt;"",ISNUMBER(T336),T336&gt;0,V336&lt;&gt;""),"DISPENSADO","REVISAR"),"PENDENTE"))</f>
        <v/>
      </c>
      <c r="Y336" s="10" t="inlineStr"/>
    </row>
    <row r="337" ht="112" customHeight="1">
      <c r="A337" s="3" t="n">
        <v>336</v>
      </c>
      <c r="B337" s="3" t="inlineStr">
        <is>
          <t>SL-S31-06</t>
        </is>
      </c>
      <c r="C337" s="9" t="inlineStr">
        <is>
          <t>v0.6.0</t>
        </is>
      </c>
      <c r="D337" s="9" t="inlineStr">
        <is>
          <t>S31</t>
        </is>
      </c>
      <c r="E337" s="3" t="inlineStr">
        <is>
          <t>LocalAI / RuntimeProvider</t>
        </is>
      </c>
      <c r="F337" s="3" t="inlineStr">
        <is>
          <t>Desconstrução</t>
        </is>
      </c>
      <c r="G337" s="3" t="inlineStr">
        <is>
          <t>Implementação</t>
        </is>
      </c>
      <c r="H337" s="3" t="inlineStr">
        <is>
          <t>Proteger API local</t>
        </is>
      </c>
      <c r="I337" s="3" t="inlineStr">
        <is>
          <t>Bind restrito, autenticação de sessão e acesso apenas via Core.</t>
        </is>
      </c>
      <c r="J337" s="3" t="inlineStr">
        <is>
          <t>adapters/localai/security.rs</t>
        </is>
      </c>
      <c r="K337" s="3" t="inlineStr">
        <is>
          <t>Página adquirida ou processo sem token não pode usar a API como ponte de execução.</t>
        </is>
      </c>
      <c r="L337" s="3" t="inlineStr">
        <is>
          <t>SL-S31-05</t>
        </is>
      </c>
      <c r="M337" s="3" t="inlineStr">
        <is>
          <t>R03; R07; R08; R09; R27; R30</t>
        </is>
      </c>
      <c r="N337" s="10" t="inlineStr">
        <is>
          <t>Não iniciado</t>
        </is>
      </c>
      <c r="O337" s="3" t="inlineStr">
        <is>
          <t>P0</t>
        </is>
      </c>
      <c r="P337" s="3" t="inlineStr">
        <is>
          <t>Crítico</t>
        </is>
      </c>
      <c r="Q337" s="3" t="inlineStr">
        <is>
          <t>Obrigatória no escopo da versão</t>
        </is>
      </c>
      <c r="R337" s="10" t="inlineStr">
        <is>
          <t>Autor + agente de IA</t>
        </is>
      </c>
      <c r="S337" s="10" t="inlineStr"/>
      <c r="T337" s="11" t="inlineStr"/>
      <c r="U337" s="3" t="inlineStr">
        <is>
          <t>reports/S31/SL-S31-06.md</t>
        </is>
      </c>
      <c r="V337" s="10" t="inlineStr"/>
      <c r="W337" s="10" t="inlineStr"/>
      <c r="X337" s="3">
        <f>IF(N337="Concluído",IF(AND(S337&lt;&gt;"",ISNUMBER(T337),T337&gt;0,V337&lt;&gt;"",AND(OR(X336="OK",X336="DISPENSADO"))),"OK","REVISAR"),IF(N337="Dispensado (ADR)",IF(AND(LEFT(Q337,11)="Condicional",W337&lt;&gt;"",S337&lt;&gt;"",ISNUMBER(T337),T337&gt;0,V337&lt;&gt;""),"DISPENSADO","REVISAR"),"PENDENTE"))</f>
        <v/>
      </c>
      <c r="Y337" s="10" t="inlineStr"/>
    </row>
    <row r="338" ht="112" customHeight="1">
      <c r="A338" s="3" t="n">
        <v>337</v>
      </c>
      <c r="B338" s="3" t="inlineStr">
        <is>
          <t>SL-S31-07</t>
        </is>
      </c>
      <c r="C338" s="9" t="inlineStr">
        <is>
          <t>v0.6.0</t>
        </is>
      </c>
      <c r="D338" s="9" t="inlineStr">
        <is>
          <t>S31</t>
        </is>
      </c>
      <c r="E338" s="3" t="inlineStr">
        <is>
          <t>LocalAI / RuntimeProvider</t>
        </is>
      </c>
      <c r="F338" s="3" t="inlineStr">
        <is>
          <t>Desconstrução</t>
        </is>
      </c>
      <c r="G338" s="3" t="inlineStr">
        <is>
          <t>Implementação</t>
        </is>
      </c>
      <c r="H338" s="3" t="inlineStr">
        <is>
          <t>Aplicar perfis</t>
        </is>
      </c>
      <c r="I338" s="3" t="inlineStr">
        <is>
          <t>Gerar configuração somente para backends aprovados e controlar downloads.</t>
        </is>
      </c>
      <c r="J338" s="3" t="inlineStr">
        <is>
          <t>adapters/localai/profiles.rs</t>
        </is>
      </c>
      <c r="K338" s="3" t="inlineStr">
        <is>
          <t>Modelo solicitado pelo agente não instala backend desconhecido.</t>
        </is>
      </c>
      <c r="L338" s="3" t="inlineStr">
        <is>
          <t>SL-S31-06</t>
        </is>
      </c>
      <c r="M338" s="3" t="inlineStr">
        <is>
          <t>R03; R07; R08; R09; R27; R30</t>
        </is>
      </c>
      <c r="N338" s="10" t="inlineStr">
        <is>
          <t>Não iniciado</t>
        </is>
      </c>
      <c r="O338" s="3" t="inlineStr">
        <is>
          <t>P0</t>
        </is>
      </c>
      <c r="P338" s="3" t="inlineStr">
        <is>
          <t>Crítico</t>
        </is>
      </c>
      <c r="Q338" s="3" t="inlineStr">
        <is>
          <t>Obrigatória no escopo da versão</t>
        </is>
      </c>
      <c r="R338" s="10" t="inlineStr">
        <is>
          <t>Autor + agente de IA</t>
        </is>
      </c>
      <c r="S338" s="10" t="inlineStr"/>
      <c r="T338" s="11" t="inlineStr"/>
      <c r="U338" s="3" t="inlineStr">
        <is>
          <t>reports/S31/SL-S31-07.md</t>
        </is>
      </c>
      <c r="V338" s="10" t="inlineStr"/>
      <c r="W338" s="10" t="inlineStr"/>
      <c r="X338" s="3">
        <f>IF(N338="Concluído",IF(AND(S338&lt;&gt;"",ISNUMBER(T338),T338&gt;0,V338&lt;&gt;"",AND(OR(X337="OK",X337="DISPENSADO"))),"OK","REVISAR"),IF(N338="Dispensado (ADR)",IF(AND(LEFT(Q338,11)="Condicional",W338&lt;&gt;"",S338&lt;&gt;"",ISNUMBER(T338),T338&gt;0,V338&lt;&gt;""),"DISPENSADO","REVISAR"),"PENDENTE"))</f>
        <v/>
      </c>
      <c r="Y338" s="10" t="inlineStr"/>
    </row>
    <row r="339" ht="112" customHeight="1">
      <c r="A339" s="3" t="n">
        <v>338</v>
      </c>
      <c r="B339" s="3" t="inlineStr">
        <is>
          <t>SL-S31-08</t>
        </is>
      </c>
      <c r="C339" s="9" t="inlineStr">
        <is>
          <t>v0.6.0</t>
        </is>
      </c>
      <c r="D339" s="9" t="inlineStr">
        <is>
          <t>S31</t>
        </is>
      </c>
      <c r="E339" s="3" t="inlineStr">
        <is>
          <t>LocalAI / RuntimeProvider</t>
        </is>
      </c>
      <c r="F339" s="3" t="inlineStr">
        <is>
          <t>Desconstrução</t>
        </is>
      </c>
      <c r="G339" s="3" t="inlineStr">
        <is>
          <t>Implementação</t>
        </is>
      </c>
      <c r="H339" s="3" t="inlineStr">
        <is>
          <t>Integrar lifecycle</t>
        </is>
      </c>
      <c r="I339" s="3" t="inlineStr">
        <is>
          <t>Controlar descendentes, stdout/erros saneados e falha de startup.</t>
        </is>
      </c>
      <c r="J339" s="3" t="inlineStr">
        <is>
          <t>crates/workers/src/localai_host.rs</t>
        </is>
      </c>
      <c r="K339" s="3" t="inlineStr">
        <is>
          <t>Falha de modelo não derruba a UI nem deixa processo invisível.</t>
        </is>
      </c>
      <c r="L339" s="3" t="inlineStr">
        <is>
          <t>SL-S31-07</t>
        </is>
      </c>
      <c r="M339" s="3" t="inlineStr">
        <is>
          <t>R03; R07; R08; R09; R27; R30</t>
        </is>
      </c>
      <c r="N339" s="10" t="inlineStr">
        <is>
          <t>Não iniciado</t>
        </is>
      </c>
      <c r="O339" s="3" t="inlineStr">
        <is>
          <t>P0</t>
        </is>
      </c>
      <c r="P339" s="3" t="inlineStr">
        <is>
          <t>Crítico</t>
        </is>
      </c>
      <c r="Q339" s="3" t="inlineStr">
        <is>
          <t>Obrigatória no escopo da versão</t>
        </is>
      </c>
      <c r="R339" s="10" t="inlineStr">
        <is>
          <t>Autor + agente de IA</t>
        </is>
      </c>
      <c r="S339" s="10" t="inlineStr"/>
      <c r="T339" s="11" t="inlineStr"/>
      <c r="U339" s="3" t="inlineStr">
        <is>
          <t>reports/S31/SL-S31-08.md</t>
        </is>
      </c>
      <c r="V339" s="10" t="inlineStr"/>
      <c r="W339" s="10" t="inlineStr"/>
      <c r="X339" s="3">
        <f>IF(N339="Concluído",IF(AND(S339&lt;&gt;"",ISNUMBER(T339),T339&gt;0,V339&lt;&gt;"",AND(OR(X338="OK",X338="DISPENSADO"))),"OK","REVISAR"),IF(N339="Dispensado (ADR)",IF(AND(LEFT(Q339,11)="Condicional",W339&lt;&gt;"",S339&lt;&gt;"",ISNUMBER(T339),T339&gt;0,V339&lt;&gt;""),"DISPENSADO","REVISAR"),"PENDENTE"))</f>
        <v/>
      </c>
      <c r="Y339" s="10" t="inlineStr"/>
    </row>
    <row r="340" ht="112" customHeight="1">
      <c r="A340" s="3" t="n">
        <v>339</v>
      </c>
      <c r="B340" s="3" t="inlineStr">
        <is>
          <t>SL-S31-09</t>
        </is>
      </c>
      <c r="C340" s="9" t="inlineStr">
        <is>
          <t>v0.6.0</t>
        </is>
      </c>
      <c r="D340" s="9" t="inlineStr">
        <is>
          <t>S31</t>
        </is>
      </c>
      <c r="E340" s="3" t="inlineStr">
        <is>
          <t>LocalAI / RuntimeProvider</t>
        </is>
      </c>
      <c r="F340" s="3" t="inlineStr">
        <is>
          <t>Desconstrução</t>
        </is>
      </c>
      <c r="G340" s="3" t="inlineStr">
        <is>
          <t>Teste</t>
        </is>
      </c>
      <c r="H340" s="3" t="inlineStr">
        <is>
          <t>Testar runtime offline</t>
        </is>
      </c>
      <c r="I340" s="3" t="inlineStr">
        <is>
          <t>Provisionar artefatos e bloquear rede durante execução.</t>
        </is>
      </c>
      <c r="J340" s="3" t="inlineStr">
        <is>
          <t>tests/runtime/localai-offline/</t>
        </is>
      </c>
      <c r="K340" s="3" t="inlineStr">
        <is>
          <t>Geração local não depende de catálogo remoto, telemetria ou download tardio.</t>
        </is>
      </c>
      <c r="L340" s="3" t="inlineStr">
        <is>
          <t>SL-S31-08</t>
        </is>
      </c>
      <c r="M340" s="3" t="inlineStr">
        <is>
          <t>R03; R07; R08; R09; R27; R30</t>
        </is>
      </c>
      <c r="N340" s="10" t="inlineStr">
        <is>
          <t>Não iniciado</t>
        </is>
      </c>
      <c r="O340" s="3" t="inlineStr">
        <is>
          <t>P0</t>
        </is>
      </c>
      <c r="P340" s="3" t="inlineStr">
        <is>
          <t>Crítico</t>
        </is>
      </c>
      <c r="Q340" s="3" t="inlineStr">
        <is>
          <t>Obrigatória no escopo da versão</t>
        </is>
      </c>
      <c r="R340" s="10" t="inlineStr">
        <is>
          <t>Autor + agente de IA</t>
        </is>
      </c>
      <c r="S340" s="10" t="inlineStr"/>
      <c r="T340" s="11" t="inlineStr"/>
      <c r="U340" s="3" t="inlineStr">
        <is>
          <t>reports/S31/SL-S31-09.md</t>
        </is>
      </c>
      <c r="V340" s="10" t="inlineStr"/>
      <c r="W340" s="10" t="inlineStr"/>
      <c r="X340" s="3">
        <f>IF(N340="Concluído",IF(AND(S340&lt;&gt;"",ISNUMBER(T340),T340&gt;0,V340&lt;&gt;"",AND(OR(X339="OK",X339="DISPENSADO"))),"OK","REVISAR"),IF(N340="Dispensado (ADR)",IF(AND(LEFT(Q340,11)="Condicional",W340&lt;&gt;"",S340&lt;&gt;"",ISNUMBER(T340),T340&gt;0,V340&lt;&gt;""),"DISPENSADO","REVISAR"),"PENDENTE"))</f>
        <v/>
      </c>
      <c r="Y340" s="10" t="inlineStr"/>
    </row>
    <row r="341" ht="112" customHeight="1">
      <c r="A341" s="3" t="n">
        <v>340</v>
      </c>
      <c r="B341" s="3" t="inlineStr">
        <is>
          <t>SL-S31-10</t>
        </is>
      </c>
      <c r="C341" s="9" t="inlineStr">
        <is>
          <t>v0.6.0</t>
        </is>
      </c>
      <c r="D341" s="9" t="inlineStr">
        <is>
          <t>S31</t>
        </is>
      </c>
      <c r="E341" s="3" t="inlineStr">
        <is>
          <t>LocalAI / RuntimeProvider</t>
        </is>
      </c>
      <c r="F341" s="3" t="inlineStr">
        <is>
          <t>Desconstrução</t>
        </is>
      </c>
      <c r="G341" s="3" t="inlineStr">
        <is>
          <t>Teste</t>
        </is>
      </c>
      <c r="H341" s="3" t="inlineStr">
        <is>
          <t>Medir footprint sem/com modelo</t>
        </is>
      </c>
      <c r="I341" s="3" t="inlineStr">
        <is>
          <t>Contabilizar runtime e backend filhos separadamente.</t>
        </is>
      </c>
      <c r="J341" s="3" t="inlineStr">
        <is>
          <t>reports/localai/resources.json</t>
        </is>
      </c>
      <c r="K341" s="3" t="inlineStr">
        <is>
          <t>Relatório distingue overhead do servidor, pesos e contexto; sem alegação de teto não medido.</t>
        </is>
      </c>
      <c r="L341" s="3" t="inlineStr">
        <is>
          <t>SL-S31-09</t>
        </is>
      </c>
      <c r="M341" s="3" t="inlineStr">
        <is>
          <t>R03; R07; R08; R09; R27; R30</t>
        </is>
      </c>
      <c r="N341" s="10" t="inlineStr">
        <is>
          <t>Não iniciado</t>
        </is>
      </c>
      <c r="O341" s="3" t="inlineStr">
        <is>
          <t>P0</t>
        </is>
      </c>
      <c r="P341" s="3" t="inlineStr">
        <is>
          <t>Crítico</t>
        </is>
      </c>
      <c r="Q341" s="3" t="inlineStr">
        <is>
          <t>Obrigatória no escopo da versão</t>
        </is>
      </c>
      <c r="R341" s="10" t="inlineStr">
        <is>
          <t>Autor + agente de IA</t>
        </is>
      </c>
      <c r="S341" s="10" t="inlineStr"/>
      <c r="T341" s="11" t="inlineStr"/>
      <c r="U341" s="3" t="inlineStr">
        <is>
          <t>reports/S31/SL-S31-10.md</t>
        </is>
      </c>
      <c r="V341" s="10" t="inlineStr"/>
      <c r="W341" s="10" t="inlineStr"/>
      <c r="X341" s="3">
        <f>IF(N341="Concluído",IF(AND(S341&lt;&gt;"",ISNUMBER(T341),T341&gt;0,V341&lt;&gt;"",AND(OR(X340="OK",X340="DISPENSADO"))),"OK","REVISAR"),IF(N341="Dispensado (ADR)",IF(AND(LEFT(Q341,11)="Condicional",W341&lt;&gt;"",S341&lt;&gt;"",ISNUMBER(T341),T341&gt;0,V341&lt;&gt;""),"DISPENSADO","REVISAR"),"PENDENTE"))</f>
        <v/>
      </c>
      <c r="Y341" s="10" t="inlineStr"/>
    </row>
    <row r="342" ht="98" customHeight="1">
      <c r="A342" s="3" t="n">
        <v>341</v>
      </c>
      <c r="B342" s="12" t="inlineStr">
        <is>
          <t>SL-S31-GATE</t>
        </is>
      </c>
      <c r="C342" s="9" t="inlineStr">
        <is>
          <t>v0.6.0</t>
        </is>
      </c>
      <c r="D342" s="9" t="inlineStr">
        <is>
          <t>S31</t>
        </is>
      </c>
      <c r="E342" s="3" t="inlineStr">
        <is>
          <t>LocalAI / RuntimeProvider</t>
        </is>
      </c>
      <c r="F342" s="3" t="inlineStr">
        <is>
          <t>Aceite humano</t>
        </is>
      </c>
      <c r="G342" s="12" t="inlineStr">
        <is>
          <t>Gate</t>
        </is>
      </c>
      <c r="H342" s="12" t="inlineStr">
        <is>
          <t>Aceitar S31 — Recortar e gerenciar LocalAI</t>
        </is>
      </c>
      <c r="I342" s="3" t="inlineStr">
        <is>
          <t>Revisar as dez tarefas, executar a demonstração do sprint, confrontar critérios e registrar decisão go/no-go.</t>
        </is>
      </c>
      <c r="J342" s="3" t="inlineStr">
        <is>
          <t>reports/S31/acceptance.md</t>
        </is>
      </c>
      <c r="K342" s="3" t="inlineStr">
        <is>
          <t>Iniciar runtime autorizado, chamar backend de teste e encerrar sua árvore inteira. Todas as dependências aceitas; evidências vinculadas a revisão/ambiente; nenhum blocker de integridade/segurança.</t>
        </is>
      </c>
      <c r="L342" s="3" t="inlineStr">
        <is>
          <t>SL-S31-01; SL-S31-02; SL-S31-03; SL-S31-04; SL-S31-05; SL-S31-06; SL-S31-07; SL-S31-08; SL-S31-09; SL-S31-10</t>
        </is>
      </c>
      <c r="M342" s="3" t="inlineStr">
        <is>
          <t>R03; R07; R08; R09; R27; R30</t>
        </is>
      </c>
      <c r="N342" s="10" t="inlineStr">
        <is>
          <t>Não iniciado</t>
        </is>
      </c>
      <c r="O342" s="3" t="inlineStr">
        <is>
          <t>P0</t>
        </is>
      </c>
      <c r="P342" s="3" t="inlineStr">
        <is>
          <t>Crítico</t>
        </is>
      </c>
      <c r="Q342" s="3" t="inlineStr">
        <is>
          <t>Obrigatória para fechar a versão aprovada</t>
        </is>
      </c>
      <c r="R342" s="10" t="inlineStr">
        <is>
          <t>Autor</t>
        </is>
      </c>
      <c r="S342" s="10" t="inlineStr"/>
      <c r="T342" s="11" t="inlineStr"/>
      <c r="U342" s="3" t="inlineStr">
        <is>
          <t>reports/S31/acceptance.md</t>
        </is>
      </c>
      <c r="V342" s="10" t="inlineStr"/>
      <c r="W342" s="10" t="inlineStr"/>
      <c r="X342" s="3">
        <f>IF(N342="Concluído",IF(AND(S342&lt;&gt;"",ISNUMBER(T342),T342&gt;0,V342&lt;&gt;"",AND(OR(X332="OK",X332="DISPENSADO"),OR(X333="OK",X333="DISPENSADO"),OR(X334="OK",X334="DISPENSADO"),OR(X335="OK",X335="DISPENSADO"),OR(X336="OK",X336="DISPENSADO"),OR(X337="OK",X337="DISPENSADO"),OR(X338="OK",X338="DISPENSADO"),OR(X339="OK",X339="DISPENSADO"),OR(X340="OK",X340="DISPENSADO"),OR(X341="OK",X341="DISPENSADO"))),"OK","REVISAR"),IF(N342="Dispensado (ADR)",IF(AND(LEFT(Q342,11)="Condicional",W342&lt;&gt;"",S342&lt;&gt;"",ISNUMBER(T342),T342&gt;0,V342&lt;&gt;""),"DISPENSADO","REVISAR"),"PENDENTE"))</f>
        <v/>
      </c>
      <c r="Y342" s="10" t="inlineStr"/>
    </row>
    <row r="343" ht="112" customHeight="1">
      <c r="A343" s="3" t="n">
        <v>342</v>
      </c>
      <c r="B343" s="3" t="inlineStr">
        <is>
          <t>SL-S32-01</t>
        </is>
      </c>
      <c r="C343" s="9" t="inlineStr">
        <is>
          <t>v0.6.0</t>
        </is>
      </c>
      <c r="D343" s="9" t="inlineStr">
        <is>
          <t>S32</t>
        </is>
      </c>
      <c r="E343" s="3" t="inlineStr">
        <is>
          <t>ModelGateway / catálogo</t>
        </is>
      </c>
      <c r="F343" s="3" t="inlineStr">
        <is>
          <t>Próprio</t>
        </is>
      </c>
      <c r="G343" s="3" t="inlineStr">
        <is>
          <t>Decisão</t>
        </is>
      </c>
      <c r="H343" s="3" t="inlineStr">
        <is>
          <t>Selecionar candidatos por papel</t>
        </is>
      </c>
      <c r="I343" s="3" t="inlineStr">
        <is>
          <t>Avaliar resumo, embeddings, copiloto e transcrição em português e hardware-alvo.</t>
        </is>
      </c>
      <c r="J343" s="3" t="inlineStr">
        <is>
          <t>docs/adr/011-models.md</t>
        </is>
      </c>
      <c r="K343" s="3" t="inlineStr">
        <is>
          <t>Nome do modelo e quantização têm evidência; equivalente local a Jev não é presumido.</t>
        </is>
      </c>
      <c r="L343" s="3" t="inlineStr">
        <is>
          <t>SL-S31-GATE</t>
        </is>
      </c>
      <c r="M343" s="3" t="inlineStr">
        <is>
          <t>R07; R08; R09; R20; R27; R30</t>
        </is>
      </c>
      <c r="N343" s="10" t="inlineStr">
        <is>
          <t>Não iniciado</t>
        </is>
      </c>
      <c r="O343" s="3" t="inlineStr">
        <is>
          <t>P0</t>
        </is>
      </c>
      <c r="P343" s="3" t="inlineStr">
        <is>
          <t>Crítico</t>
        </is>
      </c>
      <c r="Q343" s="3" t="inlineStr">
        <is>
          <t>Obrigatória no escopo da versão</t>
        </is>
      </c>
      <c r="R343" s="10" t="inlineStr">
        <is>
          <t>Autor</t>
        </is>
      </c>
      <c r="S343" s="10" t="inlineStr"/>
      <c r="T343" s="11" t="inlineStr"/>
      <c r="U343" s="3" t="inlineStr">
        <is>
          <t>reports/S32/SL-S32-01.md</t>
        </is>
      </c>
      <c r="V343" s="10" t="inlineStr"/>
      <c r="W343" s="10" t="inlineStr"/>
      <c r="X343" s="3">
        <f>IF(N343="Concluído",IF(AND(S343&lt;&gt;"",ISNUMBER(T343),T343&gt;0,V343&lt;&gt;"",AND(OR(X342="OK",X342="DISPENSADO"))),"OK","REVISAR"),IF(N343="Dispensado (ADR)",IF(AND(LEFT(Q343,11)="Condicional",W343&lt;&gt;"",S343&lt;&gt;"",ISNUMBER(T343),T343&gt;0,V343&lt;&gt;""),"DISPENSADO","REVISAR"),"PENDENTE"))</f>
        <v/>
      </c>
      <c r="Y343" s="10" t="inlineStr"/>
    </row>
    <row r="344" ht="112" customHeight="1">
      <c r="A344" s="3" t="n">
        <v>343</v>
      </c>
      <c r="B344" s="3" t="inlineStr">
        <is>
          <t>SL-S32-02</t>
        </is>
      </c>
      <c r="C344" s="9" t="inlineStr">
        <is>
          <t>v0.6.0</t>
        </is>
      </c>
      <c r="D344" s="9" t="inlineStr">
        <is>
          <t>S32</t>
        </is>
      </c>
      <c r="E344" s="3" t="inlineStr">
        <is>
          <t>ModelGateway / catálogo</t>
        </is>
      </c>
      <c r="F344" s="3" t="inlineStr">
        <is>
          <t>Próprio</t>
        </is>
      </c>
      <c r="G344" s="3" t="inlineStr">
        <is>
          <t>Implementação</t>
        </is>
      </c>
      <c r="H344" s="3" t="inlineStr">
        <is>
          <t>Criar manifests de modelos</t>
        </is>
      </c>
      <c r="I344" s="3" t="inlineStr">
        <is>
          <t>Registrar hash completo, licença, origem, tokenizer, dimensão e capacidades.</t>
        </is>
      </c>
      <c r="J344" s="3" t="inlineStr">
        <is>
          <t>models/manifests/</t>
        </is>
      </c>
      <c r="K344" s="3" t="inlineStr">
        <is>
          <t>Placeholders/truncamentos são rejeitados pelo validador.</t>
        </is>
      </c>
      <c r="L344" s="3" t="inlineStr">
        <is>
          <t>SL-S32-01</t>
        </is>
      </c>
      <c r="M344" s="3" t="inlineStr">
        <is>
          <t>R07; R08; R09; R20; R27; R30</t>
        </is>
      </c>
      <c r="N344" s="10" t="inlineStr">
        <is>
          <t>Não iniciado</t>
        </is>
      </c>
      <c r="O344" s="3" t="inlineStr">
        <is>
          <t>P0</t>
        </is>
      </c>
      <c r="P344" s="3" t="inlineStr">
        <is>
          <t>Crítico</t>
        </is>
      </c>
      <c r="Q344" s="3" t="inlineStr">
        <is>
          <t>Obrigatória no escopo da versão</t>
        </is>
      </c>
      <c r="R344" s="10" t="inlineStr">
        <is>
          <t>Autor + agente de IA</t>
        </is>
      </c>
      <c r="S344" s="10" t="inlineStr"/>
      <c r="T344" s="11" t="inlineStr"/>
      <c r="U344" s="3" t="inlineStr">
        <is>
          <t>reports/S32/SL-S32-02.md</t>
        </is>
      </c>
      <c r="V344" s="10" t="inlineStr"/>
      <c r="W344" s="10" t="inlineStr"/>
      <c r="X344" s="3">
        <f>IF(N344="Concluído",IF(AND(S344&lt;&gt;"",ISNUMBER(T344),T344&gt;0,V344&lt;&gt;"",AND(OR(X343="OK",X343="DISPENSADO"))),"OK","REVISAR"),IF(N344="Dispensado (ADR)",IF(AND(LEFT(Q344,11)="Condicional",W344&lt;&gt;"",S344&lt;&gt;"",ISNUMBER(T344),T344&gt;0,V344&lt;&gt;""),"DISPENSADO","REVISAR"),"PENDENTE"))</f>
        <v/>
      </c>
      <c r="Y344" s="10" t="inlineStr"/>
    </row>
    <row r="345" ht="112" customHeight="1">
      <c r="A345" s="3" t="n">
        <v>344</v>
      </c>
      <c r="B345" s="3" t="inlineStr">
        <is>
          <t>SL-S32-03</t>
        </is>
      </c>
      <c r="C345" s="9" t="inlineStr">
        <is>
          <t>v0.6.0</t>
        </is>
      </c>
      <c r="D345" s="9" t="inlineStr">
        <is>
          <t>S32</t>
        </is>
      </c>
      <c r="E345" s="3" t="inlineStr">
        <is>
          <t>ModelGateway / catálogo</t>
        </is>
      </c>
      <c r="F345" s="3" t="inlineStr">
        <is>
          <t>Próprio</t>
        </is>
      </c>
      <c r="G345" s="3" t="inlineStr">
        <is>
          <t>Implementação</t>
        </is>
      </c>
      <c r="H345" s="3" t="inlineStr">
        <is>
          <t>Implementar instalação consentida</t>
        </is>
      </c>
      <c r="I345" s="3" t="inlineStr">
        <is>
          <t>Download retomável, verificação e publicação atômica de artefatos.</t>
        </is>
      </c>
      <c r="J345" s="3" t="inlineStr">
        <is>
          <t>crates/models/src/install.rs</t>
        </is>
      </c>
      <c r="K345" s="3" t="inlineStr">
        <is>
          <t>Arquivo parcial/corrompido não é carregado; modo offline aceita pacote pré-provisionado.</t>
        </is>
      </c>
      <c r="L345" s="3" t="inlineStr">
        <is>
          <t>SL-S32-02</t>
        </is>
      </c>
      <c r="M345" s="3" t="inlineStr">
        <is>
          <t>R07; R08; R09; R20; R27; R30</t>
        </is>
      </c>
      <c r="N345" s="10" t="inlineStr">
        <is>
          <t>Não iniciado</t>
        </is>
      </c>
      <c r="O345" s="3" t="inlineStr">
        <is>
          <t>P0</t>
        </is>
      </c>
      <c r="P345" s="3" t="inlineStr">
        <is>
          <t>Crítico</t>
        </is>
      </c>
      <c r="Q345" s="3" t="inlineStr">
        <is>
          <t>Obrigatória no escopo da versão</t>
        </is>
      </c>
      <c r="R345" s="10" t="inlineStr">
        <is>
          <t>Autor + agente de IA</t>
        </is>
      </c>
      <c r="S345" s="10" t="inlineStr"/>
      <c r="T345" s="11" t="inlineStr"/>
      <c r="U345" s="3" t="inlineStr">
        <is>
          <t>reports/S32/SL-S32-03.md</t>
        </is>
      </c>
      <c r="V345" s="10" t="inlineStr"/>
      <c r="W345" s="10" t="inlineStr"/>
      <c r="X345" s="3">
        <f>IF(N345="Concluído",IF(AND(S345&lt;&gt;"",ISNUMBER(T345),T345&gt;0,V345&lt;&gt;"",AND(OR(X344="OK",X344="DISPENSADO"))),"OK","REVISAR"),IF(N345="Dispensado (ADR)",IF(AND(LEFT(Q345,11)="Condicional",W345&lt;&gt;"",S345&lt;&gt;"",ISNUMBER(T345),T345&gt;0,V345&lt;&gt;""),"DISPENSADO","REVISAR"),"PENDENTE"))</f>
        <v/>
      </c>
      <c r="Y345" s="10" t="inlineStr"/>
    </row>
    <row r="346" ht="112" customHeight="1">
      <c r="A346" s="3" t="n">
        <v>345</v>
      </c>
      <c r="B346" s="3" t="inlineStr">
        <is>
          <t>SL-S32-04</t>
        </is>
      </c>
      <c r="C346" s="9" t="inlineStr">
        <is>
          <t>v0.6.0</t>
        </is>
      </c>
      <c r="D346" s="9" t="inlineStr">
        <is>
          <t>S32</t>
        </is>
      </c>
      <c r="E346" s="3" t="inlineStr">
        <is>
          <t>ModelGateway / catálogo</t>
        </is>
      </c>
      <c r="F346" s="3" t="inlineStr">
        <is>
          <t>Próprio</t>
        </is>
      </c>
      <c r="G346" s="3" t="inlineStr">
        <is>
          <t>Implementação</t>
        </is>
      </c>
      <c r="H346" s="3" t="inlineStr">
        <is>
          <t>Resolver diretórios por SO</t>
        </is>
      </c>
      <c r="I346" s="3" t="inlineStr">
        <is>
          <t>Usar pastas apropriadas e cache compartilhado fora de cada Vault.</t>
        </is>
      </c>
      <c r="J346" s="3" t="inlineStr">
        <is>
          <t>crates/models/src/paths.rs</t>
        </is>
      </c>
      <c r="K346" s="3" t="inlineStr">
        <is>
          <t>Não há dependência de home/path hardcoded nem duplicação automática por workspace.</t>
        </is>
      </c>
      <c r="L346" s="3" t="inlineStr">
        <is>
          <t>SL-S32-03</t>
        </is>
      </c>
      <c r="M346" s="3" t="inlineStr">
        <is>
          <t>R07; R08; R09; R20; R27; R30</t>
        </is>
      </c>
      <c r="N346" s="10" t="inlineStr">
        <is>
          <t>Não iniciado</t>
        </is>
      </c>
      <c r="O346" s="3" t="inlineStr">
        <is>
          <t>P0</t>
        </is>
      </c>
      <c r="P346" s="3" t="inlineStr">
        <is>
          <t>Crítico</t>
        </is>
      </c>
      <c r="Q346" s="3" t="inlineStr">
        <is>
          <t>Obrigatória no escopo da versão</t>
        </is>
      </c>
      <c r="R346" s="10" t="inlineStr">
        <is>
          <t>Autor + agente de IA</t>
        </is>
      </c>
      <c r="S346" s="10" t="inlineStr"/>
      <c r="T346" s="11" t="inlineStr"/>
      <c r="U346" s="3" t="inlineStr">
        <is>
          <t>reports/S32/SL-S32-04.md</t>
        </is>
      </c>
      <c r="V346" s="10" t="inlineStr"/>
      <c r="W346" s="10" t="inlineStr"/>
      <c r="X346" s="3">
        <f>IF(N346="Concluído",IF(AND(S346&lt;&gt;"",ISNUMBER(T346),T346&gt;0,V346&lt;&gt;"",AND(OR(X345="OK",X345="DISPENSADO"))),"OK","REVISAR"),IF(N346="Dispensado (ADR)",IF(AND(LEFT(Q346,11)="Condicional",W346&lt;&gt;"",S346&lt;&gt;"",ISNUMBER(T346),T346&gt;0,V346&lt;&gt;""),"DISPENSADO","REVISAR"),"PENDENTE"))</f>
        <v/>
      </c>
      <c r="Y346" s="10" t="inlineStr"/>
    </row>
    <row r="347" ht="112" customHeight="1">
      <c r="A347" s="3" t="n">
        <v>346</v>
      </c>
      <c r="B347" s="3" t="inlineStr">
        <is>
          <t>SL-S32-05</t>
        </is>
      </c>
      <c r="C347" s="9" t="inlineStr">
        <is>
          <t>v0.6.0</t>
        </is>
      </c>
      <c r="D347" s="9" t="inlineStr">
        <is>
          <t>S32</t>
        </is>
      </c>
      <c r="E347" s="3" t="inlineStr">
        <is>
          <t>ModelGateway / catálogo</t>
        </is>
      </c>
      <c r="F347" s="3" t="inlineStr">
        <is>
          <t>Próprio</t>
        </is>
      </c>
      <c r="G347" s="3" t="inlineStr">
        <is>
          <t>Contrato</t>
        </is>
      </c>
      <c r="H347" s="3" t="inlineStr">
        <is>
          <t>Definir capabilities de modelo</t>
        </is>
      </c>
      <c r="I347" s="3" t="inlineStr">
        <is>
          <t>Distinguir generate, embed, tools, schema e transcribe sem assumir paridade.</t>
        </is>
      </c>
      <c r="J347" s="3" t="inlineStr">
        <is>
          <t>schemas/model-capabilities.json</t>
        </is>
      </c>
      <c r="K347" s="3" t="inlineStr">
        <is>
          <t>Chamada incompatível falha antes de enviar conteúdo ou instalar recursos.</t>
        </is>
      </c>
      <c r="L347" s="3" t="inlineStr">
        <is>
          <t>SL-S32-04</t>
        </is>
      </c>
      <c r="M347" s="3" t="inlineStr">
        <is>
          <t>R07; R08; R09; R20; R27; R30</t>
        </is>
      </c>
      <c r="N347" s="10" t="inlineStr">
        <is>
          <t>Não iniciado</t>
        </is>
      </c>
      <c r="O347" s="3" t="inlineStr">
        <is>
          <t>P0</t>
        </is>
      </c>
      <c r="P347" s="3" t="inlineStr">
        <is>
          <t>Crítico</t>
        </is>
      </c>
      <c r="Q347" s="3" t="inlineStr">
        <is>
          <t>Obrigatória no escopo da versão</t>
        </is>
      </c>
      <c r="R347" s="10" t="inlineStr">
        <is>
          <t>Autor + agente de IA</t>
        </is>
      </c>
      <c r="S347" s="10" t="inlineStr"/>
      <c r="T347" s="11" t="inlineStr"/>
      <c r="U347" s="3" t="inlineStr">
        <is>
          <t>reports/S32/SL-S32-05.md</t>
        </is>
      </c>
      <c r="V347" s="10" t="inlineStr"/>
      <c r="W347" s="10" t="inlineStr"/>
      <c r="X347" s="3">
        <f>IF(N347="Concluído",IF(AND(S347&lt;&gt;"",ISNUMBER(T347),T347&gt;0,V347&lt;&gt;"",AND(OR(X346="OK",X346="DISPENSADO"))),"OK","REVISAR"),IF(N347="Dispensado (ADR)",IF(AND(LEFT(Q347,11)="Condicional",W347&lt;&gt;"",S347&lt;&gt;"",ISNUMBER(T347),T347&gt;0,V347&lt;&gt;""),"DISPENSADO","REVISAR"),"PENDENTE"))</f>
        <v/>
      </c>
      <c r="Y347" s="10" t="inlineStr"/>
    </row>
    <row r="348" ht="112" customHeight="1">
      <c r="A348" s="3" t="n">
        <v>347</v>
      </c>
      <c r="B348" s="3" t="inlineStr">
        <is>
          <t>SL-S32-06</t>
        </is>
      </c>
      <c r="C348" s="9" t="inlineStr">
        <is>
          <t>v0.6.0</t>
        </is>
      </c>
      <c r="D348" s="9" t="inlineStr">
        <is>
          <t>S32</t>
        </is>
      </c>
      <c r="E348" s="3" t="inlineStr">
        <is>
          <t>ModelGateway / catálogo</t>
        </is>
      </c>
      <c r="F348" s="3" t="inlineStr">
        <is>
          <t>Próprio</t>
        </is>
      </c>
      <c r="G348" s="3" t="inlineStr">
        <is>
          <t>Implementação</t>
        </is>
      </c>
      <c r="H348" s="3" t="inlineStr">
        <is>
          <t>Criar GenerationProvider</t>
        </is>
      </c>
      <c r="I348" s="3" t="inlineStr">
        <is>
          <t>Normalizar streaming, erros, cancelamento e métricas sem apagar identidade do provedor.</t>
        </is>
      </c>
      <c r="J348" s="3" t="inlineStr">
        <is>
          <t>crates/model-gateway/src/generate.rs</t>
        </is>
      </c>
      <c r="K348" s="3" t="inlineStr">
        <is>
          <t>Cancelamento propaga e conteúdo parcial é distinguido de resposta concluída.</t>
        </is>
      </c>
      <c r="L348" s="3" t="inlineStr">
        <is>
          <t>SL-S32-05</t>
        </is>
      </c>
      <c r="M348" s="3" t="inlineStr">
        <is>
          <t>R07; R08; R09; R20; R27; R30</t>
        </is>
      </c>
      <c r="N348" s="10" t="inlineStr">
        <is>
          <t>Não iniciado</t>
        </is>
      </c>
      <c r="O348" s="3" t="inlineStr">
        <is>
          <t>P0</t>
        </is>
      </c>
      <c r="P348" s="3" t="inlineStr">
        <is>
          <t>Crítico</t>
        </is>
      </c>
      <c r="Q348" s="3" t="inlineStr">
        <is>
          <t>Obrigatória no escopo da versão</t>
        </is>
      </c>
      <c r="R348" s="10" t="inlineStr">
        <is>
          <t>Autor + agente de IA</t>
        </is>
      </c>
      <c r="S348" s="10" t="inlineStr"/>
      <c r="T348" s="11" t="inlineStr"/>
      <c r="U348" s="3" t="inlineStr">
        <is>
          <t>reports/S32/SL-S32-06.md</t>
        </is>
      </c>
      <c r="V348" s="10" t="inlineStr"/>
      <c r="W348" s="10" t="inlineStr"/>
      <c r="X348" s="3">
        <f>IF(N348="Concluído",IF(AND(S348&lt;&gt;"",ISNUMBER(T348),T348&gt;0,V348&lt;&gt;"",AND(OR(X347="OK",X347="DISPENSADO"))),"OK","REVISAR"),IF(N348="Dispensado (ADR)",IF(AND(LEFT(Q348,11)="Condicional",W348&lt;&gt;"",S348&lt;&gt;"",ISNUMBER(T348),T348&gt;0,V348&lt;&gt;""),"DISPENSADO","REVISAR"),"PENDENTE"))</f>
        <v/>
      </c>
      <c r="Y348" s="10" t="inlineStr"/>
    </row>
    <row r="349" ht="112" customHeight="1">
      <c r="A349" s="3" t="n">
        <v>348</v>
      </c>
      <c r="B349" s="3" t="inlineStr">
        <is>
          <t>SL-S32-07</t>
        </is>
      </c>
      <c r="C349" s="9" t="inlineStr">
        <is>
          <t>v0.6.0</t>
        </is>
      </c>
      <c r="D349" s="9" t="inlineStr">
        <is>
          <t>S32</t>
        </is>
      </c>
      <c r="E349" s="3" t="inlineStr">
        <is>
          <t>ModelGateway / catálogo</t>
        </is>
      </c>
      <c r="F349" s="3" t="inlineStr">
        <is>
          <t>Próprio</t>
        </is>
      </c>
      <c r="G349" s="3" t="inlineStr">
        <is>
          <t>Implementação</t>
        </is>
      </c>
      <c r="H349" s="3" t="inlineStr">
        <is>
          <t>Criar EmbeddingProvider</t>
        </is>
      </c>
      <c r="I349" s="3" t="inlineStr">
        <is>
          <t>Fixar preprocessing/pooling/normalização e retornar manifesto junto ao vetor.</t>
        </is>
      </c>
      <c r="J349" s="3" t="inlineStr">
        <is>
          <t>crates/model-gateway/src/embed.rs</t>
        </is>
      </c>
      <c r="K349" s="3" t="inlineStr">
        <is>
          <t>Vetor de mesmo tamanho mas outro espaço não é aceito como compatível.</t>
        </is>
      </c>
      <c r="L349" s="3" t="inlineStr">
        <is>
          <t>SL-S32-06</t>
        </is>
      </c>
      <c r="M349" s="3" t="inlineStr">
        <is>
          <t>R07; R08; R09; R20; R27; R30</t>
        </is>
      </c>
      <c r="N349" s="10" t="inlineStr">
        <is>
          <t>Não iniciado</t>
        </is>
      </c>
      <c r="O349" s="3" t="inlineStr">
        <is>
          <t>P0</t>
        </is>
      </c>
      <c r="P349" s="3" t="inlineStr">
        <is>
          <t>Crítico</t>
        </is>
      </c>
      <c r="Q349" s="3" t="inlineStr">
        <is>
          <t>Obrigatória no escopo da versão</t>
        </is>
      </c>
      <c r="R349" s="10" t="inlineStr">
        <is>
          <t>Autor + agente de IA</t>
        </is>
      </c>
      <c r="S349" s="10" t="inlineStr"/>
      <c r="T349" s="11" t="inlineStr"/>
      <c r="U349" s="3" t="inlineStr">
        <is>
          <t>reports/S32/SL-S32-07.md</t>
        </is>
      </c>
      <c r="V349" s="10" t="inlineStr"/>
      <c r="W349" s="10" t="inlineStr"/>
      <c r="X349" s="3">
        <f>IF(N349="Concluído",IF(AND(S349&lt;&gt;"",ISNUMBER(T349),T349&gt;0,V349&lt;&gt;"",AND(OR(X348="OK",X348="DISPENSADO"))),"OK","REVISAR"),IF(N349="Dispensado (ADR)",IF(AND(LEFT(Q349,11)="Condicional",W349&lt;&gt;"",S349&lt;&gt;"",ISNUMBER(T349),T349&gt;0,V349&lt;&gt;""),"DISPENSADO","REVISAR"),"PENDENTE"))</f>
        <v/>
      </c>
      <c r="Y349" s="10" t="inlineStr"/>
    </row>
    <row r="350" ht="112" customHeight="1">
      <c r="A350" s="3" t="n">
        <v>349</v>
      </c>
      <c r="B350" s="3" t="inlineStr">
        <is>
          <t>SL-S32-08</t>
        </is>
      </c>
      <c r="C350" s="9" t="inlineStr">
        <is>
          <t>v0.6.0</t>
        </is>
      </c>
      <c r="D350" s="9" t="inlineStr">
        <is>
          <t>S32</t>
        </is>
      </c>
      <c r="E350" s="3" t="inlineStr">
        <is>
          <t>ModelGateway / catálogo</t>
        </is>
      </c>
      <c r="F350" s="3" t="inlineStr">
        <is>
          <t>Próprio</t>
        </is>
      </c>
      <c r="G350" s="3" t="inlineStr">
        <is>
          <t>Implementação</t>
        </is>
      </c>
      <c r="H350" s="3" t="inlineStr">
        <is>
          <t>Integrar descarregamento</t>
        </is>
      </c>
      <c r="I350" s="3" t="inlineStr">
        <is>
          <t>Usar limites/watchdog do runtime e verificar tarefas ainda ativas.</t>
        </is>
      </c>
      <c r="J350" s="3" t="inlineStr">
        <is>
          <t>crates/models/src/lifecycle.rs</t>
        </is>
      </c>
      <c r="K350" s="3" t="inlineStr">
        <is>
          <t>Ociosidade de cinco minutos libera recursos conforme perfil, sem cortar inferência em andamento.</t>
        </is>
      </c>
      <c r="L350" s="3" t="inlineStr">
        <is>
          <t>SL-S32-07</t>
        </is>
      </c>
      <c r="M350" s="3" t="inlineStr">
        <is>
          <t>R07; R08; R09; R20; R27; R30</t>
        </is>
      </c>
      <c r="N350" s="10" t="inlineStr">
        <is>
          <t>Não iniciado</t>
        </is>
      </c>
      <c r="O350" s="3" t="inlineStr">
        <is>
          <t>P0</t>
        </is>
      </c>
      <c r="P350" s="3" t="inlineStr">
        <is>
          <t>Crítico</t>
        </is>
      </c>
      <c r="Q350" s="3" t="inlineStr">
        <is>
          <t>Obrigatória no escopo da versão</t>
        </is>
      </c>
      <c r="R350" s="10" t="inlineStr">
        <is>
          <t>Autor + agente de IA</t>
        </is>
      </c>
      <c r="S350" s="10" t="inlineStr"/>
      <c r="T350" s="11" t="inlineStr"/>
      <c r="U350" s="3" t="inlineStr">
        <is>
          <t>reports/S32/SL-S32-08.md</t>
        </is>
      </c>
      <c r="V350" s="10" t="inlineStr"/>
      <c r="W350" s="10" t="inlineStr"/>
      <c r="X350" s="3">
        <f>IF(N350="Concluído",IF(AND(S350&lt;&gt;"",ISNUMBER(T350),T350&gt;0,V350&lt;&gt;"",AND(OR(X349="OK",X349="DISPENSADO"))),"OK","REVISAR"),IF(N350="Dispensado (ADR)",IF(AND(LEFT(Q350,11)="Condicional",W350&lt;&gt;"",S350&lt;&gt;"",ISNUMBER(T350),T350&gt;0,V350&lt;&gt;""),"DISPENSADO","REVISAR"),"PENDENTE"))</f>
        <v/>
      </c>
      <c r="Y350" s="10" t="inlineStr"/>
    </row>
    <row r="351" ht="112" customHeight="1">
      <c r="A351" s="3" t="n">
        <v>350</v>
      </c>
      <c r="B351" s="3" t="inlineStr">
        <is>
          <t>SL-S32-09</t>
        </is>
      </c>
      <c r="C351" s="9" t="inlineStr">
        <is>
          <t>v0.6.0</t>
        </is>
      </c>
      <c r="D351" s="9" t="inlineStr">
        <is>
          <t>S32</t>
        </is>
      </c>
      <c r="E351" s="3" t="inlineStr">
        <is>
          <t>ModelGateway / catálogo</t>
        </is>
      </c>
      <c r="F351" s="3" t="inlineStr">
        <is>
          <t>Próprio</t>
        </is>
      </c>
      <c r="G351" s="3" t="inlineStr">
        <is>
          <t>Teste</t>
        </is>
      </c>
      <c r="H351" s="3" t="inlineStr">
        <is>
          <t>Testar quotas e starvation</t>
        </is>
      </c>
      <c r="I351" s="3" t="inlineStr">
        <is>
          <t>Concorrer embeddings/resumo com baixo orçamento e prioridades de UI.</t>
        </is>
      </c>
      <c r="J351" s="3" t="inlineStr">
        <is>
          <t>tests/runtime/scheduling/</t>
        </is>
      </c>
      <c r="K351" s="3" t="inlineStr">
        <is>
          <t>Fila limita modelos residentes e não provoca alternância patológica sem diagnóstico.</t>
        </is>
      </c>
      <c r="L351" s="3" t="inlineStr">
        <is>
          <t>SL-S32-08</t>
        </is>
      </c>
      <c r="M351" s="3" t="inlineStr">
        <is>
          <t>R07; R08; R09; R20; R27; R30</t>
        </is>
      </c>
      <c r="N351" s="10" t="inlineStr">
        <is>
          <t>Não iniciado</t>
        </is>
      </c>
      <c r="O351" s="3" t="inlineStr">
        <is>
          <t>P0</t>
        </is>
      </c>
      <c r="P351" s="3" t="inlineStr">
        <is>
          <t>Crítico</t>
        </is>
      </c>
      <c r="Q351" s="3" t="inlineStr">
        <is>
          <t>Obrigatória no escopo da versão</t>
        </is>
      </c>
      <c r="R351" s="10" t="inlineStr">
        <is>
          <t>Autor + agente de IA</t>
        </is>
      </c>
      <c r="S351" s="10" t="inlineStr"/>
      <c r="T351" s="11" t="inlineStr"/>
      <c r="U351" s="3" t="inlineStr">
        <is>
          <t>reports/S32/SL-S32-09.md</t>
        </is>
      </c>
      <c r="V351" s="10" t="inlineStr"/>
      <c r="W351" s="10" t="inlineStr"/>
      <c r="X351" s="3">
        <f>IF(N351="Concluído",IF(AND(S351&lt;&gt;"",ISNUMBER(T351),T351&gt;0,V351&lt;&gt;"",AND(OR(X350="OK",X350="DISPENSADO"))),"OK","REVISAR"),IF(N351="Dispensado (ADR)",IF(AND(LEFT(Q351,11)="Condicional",W351&lt;&gt;"",S351&lt;&gt;"",ISNUMBER(T351),T351&gt;0,V351&lt;&gt;""),"DISPENSADO","REVISAR"),"PENDENTE"))</f>
        <v/>
      </c>
      <c r="Y351" s="10" t="inlineStr"/>
    </row>
    <row r="352" ht="112" customHeight="1">
      <c r="A352" s="3" t="n">
        <v>351</v>
      </c>
      <c r="B352" s="3" t="inlineStr">
        <is>
          <t>SL-S32-10</t>
        </is>
      </c>
      <c r="C352" s="9" t="inlineStr">
        <is>
          <t>v0.6.0</t>
        </is>
      </c>
      <c r="D352" s="9" t="inlineStr">
        <is>
          <t>S32</t>
        </is>
      </c>
      <c r="E352" s="3" t="inlineStr">
        <is>
          <t>ModelGateway / catálogo</t>
        </is>
      </c>
      <c r="F352" s="3" t="inlineStr">
        <is>
          <t>Próprio</t>
        </is>
      </c>
      <c r="G352" s="3" t="inlineStr">
        <is>
          <t>Teste</t>
        </is>
      </c>
      <c r="H352" s="3" t="inlineStr">
        <is>
          <t>Homologar catálogo inicial</t>
        </is>
      </c>
      <c r="I352" s="3" t="inlineStr">
        <is>
          <t>Rodar qualidade, memória e falhas de cada perfil selecionado.</t>
        </is>
      </c>
      <c r="J352" s="3" t="inlineStr">
        <is>
          <t>reports/models/qualification.json</t>
        </is>
      </c>
      <c r="K352" s="3" t="inlineStr">
        <is>
          <t>Modelo não aprovado fica indisponível/experimental, sem ser anunciado como padrão homologado.</t>
        </is>
      </c>
      <c r="L352" s="3" t="inlineStr">
        <is>
          <t>SL-S32-09</t>
        </is>
      </c>
      <c r="M352" s="3" t="inlineStr">
        <is>
          <t>R07; R08; R09; R20; R27; R30</t>
        </is>
      </c>
      <c r="N352" s="10" t="inlineStr">
        <is>
          <t>Não iniciado</t>
        </is>
      </c>
      <c r="O352" s="3" t="inlineStr">
        <is>
          <t>P0</t>
        </is>
      </c>
      <c r="P352" s="3" t="inlineStr">
        <is>
          <t>Crítico</t>
        </is>
      </c>
      <c r="Q352" s="3" t="inlineStr">
        <is>
          <t>Obrigatória no escopo da versão</t>
        </is>
      </c>
      <c r="R352" s="10" t="inlineStr">
        <is>
          <t>Autor + agente de IA</t>
        </is>
      </c>
      <c r="S352" s="10" t="inlineStr"/>
      <c r="T352" s="11" t="inlineStr"/>
      <c r="U352" s="3" t="inlineStr">
        <is>
          <t>reports/S32/SL-S32-10.md</t>
        </is>
      </c>
      <c r="V352" s="10" t="inlineStr"/>
      <c r="W352" s="10" t="inlineStr"/>
      <c r="X352" s="3">
        <f>IF(N352="Concluído",IF(AND(S352&lt;&gt;"",ISNUMBER(T352),T352&gt;0,V352&lt;&gt;"",AND(OR(X351="OK",X351="DISPENSADO"))),"OK","REVISAR"),IF(N352="Dispensado (ADR)",IF(AND(LEFT(Q352,11)="Condicional",W352&lt;&gt;"",S352&lt;&gt;"",ISNUMBER(T352),T352&gt;0,V352&lt;&gt;""),"DISPENSADO","REVISAR"),"PENDENTE"))</f>
        <v/>
      </c>
      <c r="Y352" s="10" t="inlineStr"/>
    </row>
    <row r="353" ht="98" customHeight="1">
      <c r="A353" s="3" t="n">
        <v>352</v>
      </c>
      <c r="B353" s="12" t="inlineStr">
        <is>
          <t>SL-S32-GATE</t>
        </is>
      </c>
      <c r="C353" s="9" t="inlineStr">
        <is>
          <t>v0.6.0</t>
        </is>
      </c>
      <c r="D353" s="9" t="inlineStr">
        <is>
          <t>S32</t>
        </is>
      </c>
      <c r="E353" s="3" t="inlineStr">
        <is>
          <t>ModelGateway / catálogo</t>
        </is>
      </c>
      <c r="F353" s="3" t="inlineStr">
        <is>
          <t>Aceite humano</t>
        </is>
      </c>
      <c r="G353" s="12" t="inlineStr">
        <is>
          <t>Gate</t>
        </is>
      </c>
      <c r="H353" s="12" t="inlineStr">
        <is>
          <t>Aceitar S32 — Homologar modelos e construir ModelGateway</t>
        </is>
      </c>
      <c r="I353" s="3" t="inlineStr">
        <is>
          <t>Revisar as dez tarefas, executar a demonstração do sprint, confrontar critérios e registrar decisão go/no-go.</t>
        </is>
      </c>
      <c r="J353" s="3" t="inlineStr">
        <is>
          <t>reports/S32/acceptance.md</t>
        </is>
      </c>
      <c r="K353" s="3" t="inlineStr">
        <is>
          <t>Instalar pacote aprovado, detectar corrupção e obter resposta local cancelável. Todas as dependências aceitas; evidências vinculadas a revisão/ambiente; nenhum blocker de integridade/segurança.</t>
        </is>
      </c>
      <c r="L353" s="3" t="inlineStr">
        <is>
          <t>SL-S32-01; SL-S32-02; SL-S32-03; SL-S32-04; SL-S32-05; SL-S32-06; SL-S32-07; SL-S32-08; SL-S32-09; SL-S32-10</t>
        </is>
      </c>
      <c r="M353" s="3" t="inlineStr">
        <is>
          <t>R07; R08; R09; R20; R27; R30</t>
        </is>
      </c>
      <c r="N353" s="10" t="inlineStr">
        <is>
          <t>Não iniciado</t>
        </is>
      </c>
      <c r="O353" s="3" t="inlineStr">
        <is>
          <t>P0</t>
        </is>
      </c>
      <c r="P353" s="3" t="inlineStr">
        <is>
          <t>Crítico</t>
        </is>
      </c>
      <c r="Q353" s="3" t="inlineStr">
        <is>
          <t>Obrigatória para fechar a versão aprovada</t>
        </is>
      </c>
      <c r="R353" s="10" t="inlineStr">
        <is>
          <t>Autor</t>
        </is>
      </c>
      <c r="S353" s="10" t="inlineStr"/>
      <c r="T353" s="11" t="inlineStr"/>
      <c r="U353" s="3" t="inlineStr">
        <is>
          <t>reports/S32/acceptance.md</t>
        </is>
      </c>
      <c r="V353" s="10" t="inlineStr"/>
      <c r="W353" s="10" t="inlineStr"/>
      <c r="X353" s="3">
        <f>IF(N353="Concluído",IF(AND(S353&lt;&gt;"",ISNUMBER(T353),T353&gt;0,V353&lt;&gt;"",AND(OR(X343="OK",X343="DISPENSADO"),OR(X344="OK",X344="DISPENSADO"),OR(X345="OK",X345="DISPENSADO"),OR(X346="OK",X346="DISPENSADO"),OR(X347="OK",X347="DISPENSADO"),OR(X348="OK",X348="DISPENSADO"),OR(X349="OK",X349="DISPENSADO"),OR(X350="OK",X350="DISPENSADO"),OR(X351="OK",X351="DISPENSADO"),OR(X352="OK",X352="DISPENSADO"))),"OK","REVISAR"),IF(N353="Dispensado (ADR)",IF(AND(LEFT(Q353,11)="Condicional",W353&lt;&gt;"",S353&lt;&gt;"",ISNUMBER(T353),T353&gt;0,V353&lt;&gt;""),"DISPENSADO","REVISAR"),"PENDENTE"))</f>
        <v/>
      </c>
      <c r="Y353" s="10" t="inlineStr"/>
    </row>
    <row r="354" ht="112" customHeight="1">
      <c r="A354" s="3" t="n">
        <v>353</v>
      </c>
      <c r="B354" s="3" t="inlineStr">
        <is>
          <t>SL-S33-01</t>
        </is>
      </c>
      <c r="C354" s="9" t="inlineStr">
        <is>
          <t>v0.6.0</t>
        </is>
      </c>
      <c r="D354" s="9" t="inlineStr">
        <is>
          <t>S33</t>
        </is>
      </c>
      <c r="E354" s="3" t="inlineStr">
        <is>
          <t>LocalAI / sumarização</t>
        </is>
      </c>
      <c r="F354" s="3" t="inlineStr">
        <is>
          <t>Adaptação</t>
        </is>
      </c>
      <c r="G354" s="3" t="inlineStr">
        <is>
          <t>Contrato</t>
        </is>
      </c>
      <c r="H354" s="3" t="inlineStr">
        <is>
          <t>Definir resultado de resumo</t>
        </is>
      </c>
      <c r="I354" s="3" t="inlineStr">
        <is>
          <t>Registrar texto, revisão, modelo, prompt, cobertura e fontes relevantes.</t>
        </is>
      </c>
      <c r="J354" s="3" t="inlineStr">
        <is>
          <t>schemas/summary-result.json</t>
        </is>
      </c>
      <c r="K354" s="3" t="inlineStr">
        <is>
          <t>Ausência de cobertura completa é representável e não mascarada.</t>
        </is>
      </c>
      <c r="L354" s="3" t="inlineStr">
        <is>
          <t>SL-S27-GATE; SL-S28-GATE; SL-S30-GATE; SL-S32-GATE</t>
        </is>
      </c>
      <c r="M354" s="3" t="inlineStr">
        <is>
          <t>R14; R19; R23; R27</t>
        </is>
      </c>
      <c r="N354" s="10" t="inlineStr">
        <is>
          <t>Não iniciado</t>
        </is>
      </c>
      <c r="O354" s="3" t="inlineStr">
        <is>
          <t>P0</t>
        </is>
      </c>
      <c r="P354" s="3" t="inlineStr">
        <is>
          <t>Alto</t>
        </is>
      </c>
      <c r="Q354" s="3" t="inlineStr">
        <is>
          <t>Obrigatória no escopo da versão</t>
        </is>
      </c>
      <c r="R354" s="10" t="inlineStr">
        <is>
          <t>Autor + agente de IA</t>
        </is>
      </c>
      <c r="S354" s="10" t="inlineStr"/>
      <c r="T354" s="11" t="inlineStr"/>
      <c r="U354" s="3" t="inlineStr">
        <is>
          <t>reports/S33/SL-S33-01.md</t>
        </is>
      </c>
      <c r="V354" s="10" t="inlineStr"/>
      <c r="W354" s="10" t="inlineStr"/>
      <c r="X354" s="3">
        <f>IF(N354="Concluído",IF(AND(S354&lt;&gt;"",ISNUMBER(T354),T354&gt;0,V354&lt;&gt;"",AND(OR(X298="OK",X298="DISPENSADO"),OR(X309="OK",X309="DISPENSADO"),OR(X331="OK",X331="DISPENSADO"),OR(X353="OK",X353="DISPENSADO"))),"OK","REVISAR"),IF(N354="Dispensado (ADR)",IF(AND(LEFT(Q354,11)="Condicional",W354&lt;&gt;"",S354&lt;&gt;"",ISNUMBER(T354),T354&gt;0,V354&lt;&gt;""),"DISPENSADO","REVISAR"),"PENDENTE"))</f>
        <v/>
      </c>
      <c r="Y354" s="10" t="inlineStr"/>
    </row>
    <row r="355" ht="112" customHeight="1">
      <c r="A355" s="3" t="n">
        <v>354</v>
      </c>
      <c r="B355" s="3" t="inlineStr">
        <is>
          <t>SL-S33-02</t>
        </is>
      </c>
      <c r="C355" s="9" t="inlineStr">
        <is>
          <t>v0.6.0</t>
        </is>
      </c>
      <c r="D355" s="9" t="inlineStr">
        <is>
          <t>S33</t>
        </is>
      </c>
      <c r="E355" s="3" t="inlineStr">
        <is>
          <t>LocalAI / sumarização</t>
        </is>
      </c>
      <c r="F355" s="3" t="inlineStr">
        <is>
          <t>Adaptação</t>
        </is>
      </c>
      <c r="G355" s="3" t="inlineStr">
        <is>
          <t>Implementação</t>
        </is>
      </c>
      <c r="H355" s="3" t="inlineStr">
        <is>
          <t>Criar prompt/validador curto</t>
        </is>
      </c>
      <c r="I355" s="3" t="inlineStr">
        <is>
          <t>Pedir síntese densa e controlar extensão por idioma sem exigir slogans.</t>
        </is>
      </c>
      <c r="J355" s="3" t="inlineStr">
        <is>
          <t>crates/enrichment/src/executive_summary.rs</t>
        </is>
      </c>
      <c r="K355" s="3" t="inlineStr">
        <is>
          <t>Resultado de 2–5 frases é verificável; excesso/insuficiência aciona tratamento explícito.</t>
        </is>
      </c>
      <c r="L355" s="3" t="inlineStr">
        <is>
          <t>SL-S33-01</t>
        </is>
      </c>
      <c r="M355" s="3" t="inlineStr">
        <is>
          <t>R14; R19; R23; R27</t>
        </is>
      </c>
      <c r="N355" s="10" t="inlineStr">
        <is>
          <t>Não iniciado</t>
        </is>
      </c>
      <c r="O355" s="3" t="inlineStr">
        <is>
          <t>P1</t>
        </is>
      </c>
      <c r="P355" s="3" t="inlineStr">
        <is>
          <t>Alto</t>
        </is>
      </c>
      <c r="Q355" s="3" t="inlineStr">
        <is>
          <t>Obrigatória no escopo da versão</t>
        </is>
      </c>
      <c r="R355" s="10" t="inlineStr">
        <is>
          <t>Autor + agente de IA</t>
        </is>
      </c>
      <c r="S355" s="10" t="inlineStr"/>
      <c r="T355" s="11" t="inlineStr"/>
      <c r="U355" s="3" t="inlineStr">
        <is>
          <t>reports/S33/SL-S33-02.md</t>
        </is>
      </c>
      <c r="V355" s="10" t="inlineStr"/>
      <c r="W355" s="10" t="inlineStr"/>
      <c r="X355" s="3">
        <f>IF(N355="Concluído",IF(AND(S355&lt;&gt;"",ISNUMBER(T355),T355&gt;0,V355&lt;&gt;"",AND(OR(X354="OK",X354="DISPENSADO"))),"OK","REVISAR"),IF(N355="Dispensado (ADR)",IF(AND(LEFT(Q355,11)="Condicional",W355&lt;&gt;"",S355&lt;&gt;"",ISNUMBER(T355),T355&gt;0,V355&lt;&gt;""),"DISPENSADO","REVISAR"),"PENDENTE"))</f>
        <v/>
      </c>
      <c r="Y355" s="10" t="inlineStr"/>
    </row>
    <row r="356" ht="112" customHeight="1">
      <c r="A356" s="3" t="n">
        <v>355</v>
      </c>
      <c r="B356" s="3" t="inlineStr">
        <is>
          <t>SL-S33-03</t>
        </is>
      </c>
      <c r="C356" s="9" t="inlineStr">
        <is>
          <t>v0.6.0</t>
        </is>
      </c>
      <c r="D356" s="9" t="inlineStr">
        <is>
          <t>S33</t>
        </is>
      </c>
      <c r="E356" s="3" t="inlineStr">
        <is>
          <t>LocalAI / sumarização</t>
        </is>
      </c>
      <c r="F356" s="3" t="inlineStr">
        <is>
          <t>Adaptação</t>
        </is>
      </c>
      <c r="G356" s="3" t="inlineStr">
        <is>
          <t>Implementação</t>
        </is>
      </c>
      <c r="H356" s="3" t="inlineStr">
        <is>
          <t>Implementar rota de documento curto</t>
        </is>
      </c>
      <c r="I356" s="3" t="inlineStr">
        <is>
          <t>Ler conteúdo normalizado autorizado e chamar modelo leve.</t>
        </is>
      </c>
      <c r="J356" s="3" t="inlineStr">
        <is>
          <t>crates/enrichment/src/summary_short.rs</t>
        </is>
      </c>
      <c r="K356" s="3" t="inlineStr">
        <is>
          <t>Não usa apenas título ou snippet como se tivesse lido o corpo.</t>
        </is>
      </c>
      <c r="L356" s="3" t="inlineStr">
        <is>
          <t>SL-S33-02</t>
        </is>
      </c>
      <c r="M356" s="3" t="inlineStr">
        <is>
          <t>R14; R19; R23; R27</t>
        </is>
      </c>
      <c r="N356" s="10" t="inlineStr">
        <is>
          <t>Não iniciado</t>
        </is>
      </c>
      <c r="O356" s="3" t="inlineStr">
        <is>
          <t>P1</t>
        </is>
      </c>
      <c r="P356" s="3" t="inlineStr">
        <is>
          <t>Alto</t>
        </is>
      </c>
      <c r="Q356" s="3" t="inlineStr">
        <is>
          <t>Obrigatória no escopo da versão</t>
        </is>
      </c>
      <c r="R356" s="10" t="inlineStr">
        <is>
          <t>Autor + agente de IA</t>
        </is>
      </c>
      <c r="S356" s="10" t="inlineStr"/>
      <c r="T356" s="11" t="inlineStr"/>
      <c r="U356" s="3" t="inlineStr">
        <is>
          <t>reports/S33/SL-S33-03.md</t>
        </is>
      </c>
      <c r="V356" s="10" t="inlineStr"/>
      <c r="W356" s="10" t="inlineStr"/>
      <c r="X356" s="3">
        <f>IF(N356="Concluído",IF(AND(S356&lt;&gt;"",ISNUMBER(T356),T356&gt;0,V356&lt;&gt;"",AND(OR(X355="OK",X355="DISPENSADO"))),"OK","REVISAR"),IF(N356="Dispensado (ADR)",IF(AND(LEFT(Q356,11)="Condicional",W356&lt;&gt;"",S356&lt;&gt;"",ISNUMBER(T356),T356&gt;0,V356&lt;&gt;""),"DISPENSADO","REVISAR"),"PENDENTE"))</f>
        <v/>
      </c>
      <c r="Y356" s="10" t="inlineStr"/>
    </row>
    <row r="357" ht="112" customHeight="1">
      <c r="A357" s="3" t="n">
        <v>356</v>
      </c>
      <c r="B357" s="3" t="inlineStr">
        <is>
          <t>SL-S33-04</t>
        </is>
      </c>
      <c r="C357" s="9" t="inlineStr">
        <is>
          <t>v0.6.0</t>
        </is>
      </c>
      <c r="D357" s="9" t="inlineStr">
        <is>
          <t>S33</t>
        </is>
      </c>
      <c r="E357" s="3" t="inlineStr">
        <is>
          <t>LocalAI / sumarização</t>
        </is>
      </c>
      <c r="F357" s="3" t="inlineStr">
        <is>
          <t>Adaptação</t>
        </is>
      </c>
      <c r="G357" s="3" t="inlineStr">
        <is>
          <t>Implementação</t>
        </is>
      </c>
      <c r="H357" s="3" t="inlineStr">
        <is>
          <t>Implementar rota hierárquica</t>
        </is>
      </c>
      <c r="I357" s="3" t="inlineStr">
        <is>
          <t>Resumir seções sob budget e consolidar sem duplicar chamadas desnecessárias.</t>
        </is>
      </c>
      <c r="J357" s="3" t="inlineStr">
        <is>
          <t>crates/enrichment/src/summary_long.rs</t>
        </is>
      </c>
      <c r="K357" s="3" t="inlineStr">
        <is>
          <t>Documento além do contexto não é truncado silenciosamente aos primeiros tokens.</t>
        </is>
      </c>
      <c r="L357" s="3" t="inlineStr">
        <is>
          <t>SL-S33-03</t>
        </is>
      </c>
      <c r="M357" s="3" t="inlineStr">
        <is>
          <t>R14; R19; R23; R27</t>
        </is>
      </c>
      <c r="N357" s="10" t="inlineStr">
        <is>
          <t>Não iniciado</t>
        </is>
      </c>
      <c r="O357" s="3" t="inlineStr">
        <is>
          <t>P1</t>
        </is>
      </c>
      <c r="P357" s="3" t="inlineStr">
        <is>
          <t>Alto</t>
        </is>
      </c>
      <c r="Q357" s="3" t="inlineStr">
        <is>
          <t>Obrigatória no escopo da versão</t>
        </is>
      </c>
      <c r="R357" s="10" t="inlineStr">
        <is>
          <t>Autor + agente de IA</t>
        </is>
      </c>
      <c r="S357" s="10" t="inlineStr"/>
      <c r="T357" s="11" t="inlineStr"/>
      <c r="U357" s="3" t="inlineStr">
        <is>
          <t>reports/S33/SL-S33-04.md</t>
        </is>
      </c>
      <c r="V357" s="10" t="inlineStr"/>
      <c r="W357" s="10" t="inlineStr"/>
      <c r="X357" s="3">
        <f>IF(N357="Concluído",IF(AND(S357&lt;&gt;"",ISNUMBER(T357),T357&gt;0,V357&lt;&gt;"",AND(OR(X356="OK",X356="DISPENSADO"))),"OK","REVISAR"),IF(N357="Dispensado (ADR)",IF(AND(LEFT(Q357,11)="Condicional",W357&lt;&gt;"",S357&lt;&gt;"",ISNUMBER(T357),T357&gt;0,V357&lt;&gt;""),"DISPENSADO","REVISAR"),"PENDENTE"))</f>
        <v/>
      </c>
      <c r="Y357" s="10" t="inlineStr"/>
    </row>
    <row r="358" ht="112" customHeight="1">
      <c r="A358" s="3" t="n">
        <v>357</v>
      </c>
      <c r="B358" s="3" t="inlineStr">
        <is>
          <t>SL-S33-05</t>
        </is>
      </c>
      <c r="C358" s="9" t="inlineStr">
        <is>
          <t>v0.6.0</t>
        </is>
      </c>
      <c r="D358" s="9" t="inlineStr">
        <is>
          <t>S33</t>
        </is>
      </c>
      <c r="E358" s="3" t="inlineStr">
        <is>
          <t>LocalAI / sumarização</t>
        </is>
      </c>
      <c r="F358" s="3" t="inlineStr">
        <is>
          <t>Adaptação</t>
        </is>
      </c>
      <c r="G358" s="3" t="inlineStr">
        <is>
          <t>Implementação</t>
        </is>
      </c>
      <c r="H358" s="3" t="inlineStr">
        <is>
          <t>Preservar evidências/limitações</t>
        </is>
      </c>
      <c r="I358" s="3" t="inlineStr">
        <is>
          <t>Associar afirmações importantes ou referências disponíveis ao material de entrada.</t>
        </is>
      </c>
      <c r="J358" s="3" t="inlineStr">
        <is>
          <t>crates/enrichment/src/summary_provenance.rs</t>
        </is>
      </c>
      <c r="K358" s="3" t="inlineStr">
        <is>
          <t>Resumo não recebe status de fonte primária e não inventa localização ausente.</t>
        </is>
      </c>
      <c r="L358" s="3" t="inlineStr">
        <is>
          <t>SL-S33-04</t>
        </is>
      </c>
      <c r="M358" s="3" t="inlineStr">
        <is>
          <t>R14; R19; R23; R27</t>
        </is>
      </c>
      <c r="N358" s="10" t="inlineStr">
        <is>
          <t>Não iniciado</t>
        </is>
      </c>
      <c r="O358" s="3" t="inlineStr">
        <is>
          <t>P1</t>
        </is>
      </c>
      <c r="P358" s="3" t="inlineStr">
        <is>
          <t>Alto</t>
        </is>
      </c>
      <c r="Q358" s="3" t="inlineStr">
        <is>
          <t>Obrigatória no escopo da versão</t>
        </is>
      </c>
      <c r="R358" s="10" t="inlineStr">
        <is>
          <t>Autor + agente de IA</t>
        </is>
      </c>
      <c r="S358" s="10" t="inlineStr"/>
      <c r="T358" s="11" t="inlineStr"/>
      <c r="U358" s="3" t="inlineStr">
        <is>
          <t>reports/S33/SL-S33-05.md</t>
        </is>
      </c>
      <c r="V358" s="10" t="inlineStr"/>
      <c r="W358" s="10" t="inlineStr"/>
      <c r="X358" s="3">
        <f>IF(N358="Concluído",IF(AND(S358&lt;&gt;"",ISNUMBER(T358),T358&gt;0,V358&lt;&gt;"",AND(OR(X357="OK",X357="DISPENSADO"))),"OK","REVISAR"),IF(N358="Dispensado (ADR)",IF(AND(LEFT(Q358,11)="Condicional",W358&lt;&gt;"",S358&lt;&gt;"",ISNUMBER(T358),T358&gt;0,V358&lt;&gt;""),"DISPENSADO","REVISAR"),"PENDENTE"))</f>
        <v/>
      </c>
      <c r="Y358" s="10" t="inlineStr"/>
    </row>
    <row r="359" ht="112" customHeight="1">
      <c r="A359" s="3" t="n">
        <v>358</v>
      </c>
      <c r="B359" s="3" t="inlineStr">
        <is>
          <t>SL-S33-06</t>
        </is>
      </c>
      <c r="C359" s="9" t="inlineStr">
        <is>
          <t>v0.6.0</t>
        </is>
      </c>
      <c r="D359" s="9" t="inlineStr">
        <is>
          <t>S33</t>
        </is>
      </c>
      <c r="E359" s="3" t="inlineStr">
        <is>
          <t>LocalAI / sumarização</t>
        </is>
      </c>
      <c r="F359" s="3" t="inlineStr">
        <is>
          <t>Adaptação</t>
        </is>
      </c>
      <c r="G359" s="3" t="inlineStr">
        <is>
          <t>Implementação</t>
        </is>
      </c>
      <c r="H359" s="3" t="inlineStr">
        <is>
          <t>Persistir gerado versus editado</t>
        </is>
      </c>
      <c r="I359" s="3" t="inlineStr">
        <is>
          <t>Separar proposta automática e versão confirmada pelo usuário.</t>
        </is>
      </c>
      <c r="J359" s="3" t="inlineStr">
        <is>
          <t>crates/enrichment/src/summary_state.rs</t>
        </is>
      </c>
      <c r="K359" s="3" t="inlineStr">
        <is>
          <t>Reindexação/reexecução não substitui resumo editado.</t>
        </is>
      </c>
      <c r="L359" s="3" t="inlineStr">
        <is>
          <t>SL-S33-05</t>
        </is>
      </c>
      <c r="M359" s="3" t="inlineStr">
        <is>
          <t>R14; R19; R23; R27</t>
        </is>
      </c>
      <c r="N359" s="10" t="inlineStr">
        <is>
          <t>Não iniciado</t>
        </is>
      </c>
      <c r="O359" s="3" t="inlineStr">
        <is>
          <t>P1</t>
        </is>
      </c>
      <c r="P359" s="3" t="inlineStr">
        <is>
          <t>Alto</t>
        </is>
      </c>
      <c r="Q359" s="3" t="inlineStr">
        <is>
          <t>Obrigatória no escopo da versão</t>
        </is>
      </c>
      <c r="R359" s="10" t="inlineStr">
        <is>
          <t>Autor + agente de IA</t>
        </is>
      </c>
      <c r="S359" s="10" t="inlineStr"/>
      <c r="T359" s="11" t="inlineStr"/>
      <c r="U359" s="3" t="inlineStr">
        <is>
          <t>reports/S33/SL-S33-06.md</t>
        </is>
      </c>
      <c r="V359" s="10" t="inlineStr"/>
      <c r="W359" s="10" t="inlineStr"/>
      <c r="X359" s="3">
        <f>IF(N359="Concluído",IF(AND(S359&lt;&gt;"",ISNUMBER(T359),T359&gt;0,V359&lt;&gt;"",AND(OR(X358="OK",X358="DISPENSADO"))),"OK","REVISAR"),IF(N359="Dispensado (ADR)",IF(AND(LEFT(Q359,11)="Condicional",W359&lt;&gt;"",S359&lt;&gt;"",ISNUMBER(T359),T359&gt;0,V359&lt;&gt;""),"DISPENSADO","REVISAR"),"PENDENTE"))</f>
        <v/>
      </c>
      <c r="Y359" s="10" t="inlineStr"/>
    </row>
    <row r="360" ht="112" customHeight="1">
      <c r="A360" s="3" t="n">
        <v>359</v>
      </c>
      <c r="B360" s="3" t="inlineStr">
        <is>
          <t>SL-S33-07</t>
        </is>
      </c>
      <c r="C360" s="9" t="inlineStr">
        <is>
          <t>v0.6.0</t>
        </is>
      </c>
      <c r="D360" s="9" t="inlineStr">
        <is>
          <t>S33</t>
        </is>
      </c>
      <c r="E360" s="3" t="inlineStr">
        <is>
          <t>LocalAI / sumarização</t>
        </is>
      </c>
      <c r="F360" s="3" t="inlineStr">
        <is>
          <t>Adaptação</t>
        </is>
      </c>
      <c r="G360" s="3" t="inlineStr">
        <is>
          <t>Implementação</t>
        </is>
      </c>
      <c r="H360" s="3" t="inlineStr">
        <is>
          <t>Criar UI de revisão</t>
        </is>
      </c>
      <c r="I360" s="3" t="inlineStr">
        <is>
          <t>Exibir origem automática, regenerar, editar, aceitar e restaurar.</t>
        </is>
      </c>
      <c r="J360" s="3" t="inlineStr">
        <is>
          <t>apps/desktop/src/ingest/summary.ts</t>
        </is>
      </c>
      <c r="K360" s="3" t="inlineStr">
        <is>
          <t>Ação é reversível e não depende de alterar o original capturado.</t>
        </is>
      </c>
      <c r="L360" s="3" t="inlineStr">
        <is>
          <t>SL-S33-06</t>
        </is>
      </c>
      <c r="M360" s="3" t="inlineStr">
        <is>
          <t>R14; R19; R23; R27</t>
        </is>
      </c>
      <c r="N360" s="10" t="inlineStr">
        <is>
          <t>Não iniciado</t>
        </is>
      </c>
      <c r="O360" s="3" t="inlineStr">
        <is>
          <t>P1</t>
        </is>
      </c>
      <c r="P360" s="3" t="inlineStr">
        <is>
          <t>Alto</t>
        </is>
      </c>
      <c r="Q360" s="3" t="inlineStr">
        <is>
          <t>Obrigatória no escopo da versão</t>
        </is>
      </c>
      <c r="R360" s="10" t="inlineStr">
        <is>
          <t>Autor + agente de IA</t>
        </is>
      </c>
      <c r="S360" s="10" t="inlineStr"/>
      <c r="T360" s="11" t="inlineStr"/>
      <c r="U360" s="3" t="inlineStr">
        <is>
          <t>reports/S33/SL-S33-07.md</t>
        </is>
      </c>
      <c r="V360" s="10" t="inlineStr"/>
      <c r="W360" s="10" t="inlineStr"/>
      <c r="X360" s="3">
        <f>IF(N360="Concluído",IF(AND(S360&lt;&gt;"",ISNUMBER(T360),T360&gt;0,V360&lt;&gt;"",AND(OR(X359="OK",X359="DISPENSADO"))),"OK","REVISAR"),IF(N360="Dispensado (ADR)",IF(AND(LEFT(Q360,11)="Condicional",W360&lt;&gt;"",S360&lt;&gt;"",ISNUMBER(T360),T360&gt;0,V360&lt;&gt;""),"DISPENSADO","REVISAR"),"PENDENTE"))</f>
        <v/>
      </c>
      <c r="Y360" s="10" t="inlineStr"/>
    </row>
    <row r="361" ht="112" customHeight="1">
      <c r="A361" s="3" t="n">
        <v>360</v>
      </c>
      <c r="B361" s="3" t="inlineStr">
        <is>
          <t>SL-S33-08</t>
        </is>
      </c>
      <c r="C361" s="9" t="inlineStr">
        <is>
          <t>v0.6.0</t>
        </is>
      </c>
      <c r="D361" s="9" t="inlineStr">
        <is>
          <t>S33</t>
        </is>
      </c>
      <c r="E361" s="3" t="inlineStr">
        <is>
          <t>LocalAI / sumarização</t>
        </is>
      </c>
      <c r="F361" s="3" t="inlineStr">
        <is>
          <t>Adaptação</t>
        </is>
      </c>
      <c r="G361" s="3" t="inlineStr">
        <is>
          <t>Implementação</t>
        </is>
      </c>
      <c r="H361" s="3" t="inlineStr">
        <is>
          <t>Controlar cache por revisão</t>
        </is>
      </c>
      <c r="I361" s="3" t="inlineStr">
        <is>
          <t>Reutilizar somente quando conteúdo/modelo/prompt compatíveis.</t>
        </is>
      </c>
      <c r="J361" s="3" t="inlineStr">
        <is>
          <t>crates/enrichment/src/summary_cache.rs</t>
        </is>
      </c>
      <c r="K361" s="3" t="inlineStr">
        <is>
          <t>Alterar o texto invalida resumo; mover cartão não o invalida.</t>
        </is>
      </c>
      <c r="L361" s="3" t="inlineStr">
        <is>
          <t>SL-S33-07</t>
        </is>
      </c>
      <c r="M361" s="3" t="inlineStr">
        <is>
          <t>R14; R19; R23; R27</t>
        </is>
      </c>
      <c r="N361" s="10" t="inlineStr">
        <is>
          <t>Não iniciado</t>
        </is>
      </c>
      <c r="O361" s="3" t="inlineStr">
        <is>
          <t>P1</t>
        </is>
      </c>
      <c r="P361" s="3" t="inlineStr">
        <is>
          <t>Alto</t>
        </is>
      </c>
      <c r="Q361" s="3" t="inlineStr">
        <is>
          <t>Obrigatória no escopo da versão</t>
        </is>
      </c>
      <c r="R361" s="10" t="inlineStr">
        <is>
          <t>Autor + agente de IA</t>
        </is>
      </c>
      <c r="S361" s="10" t="inlineStr"/>
      <c r="T361" s="11" t="inlineStr"/>
      <c r="U361" s="3" t="inlineStr">
        <is>
          <t>reports/S33/SL-S33-08.md</t>
        </is>
      </c>
      <c r="V361" s="10" t="inlineStr"/>
      <c r="W361" s="10" t="inlineStr"/>
      <c r="X361" s="3">
        <f>IF(N361="Concluído",IF(AND(S361&lt;&gt;"",ISNUMBER(T361),T361&gt;0,V361&lt;&gt;"",AND(OR(X360="OK",X360="DISPENSADO"))),"OK","REVISAR"),IF(N361="Dispensado (ADR)",IF(AND(LEFT(Q361,11)="Condicional",W361&lt;&gt;"",S361&lt;&gt;"",ISNUMBER(T361),T361&gt;0,V361&lt;&gt;""),"DISPENSADO","REVISAR"),"PENDENTE"))</f>
        <v/>
      </c>
      <c r="Y361" s="10" t="inlineStr"/>
    </row>
    <row r="362" ht="112" customHeight="1">
      <c r="A362" s="3" t="n">
        <v>361</v>
      </c>
      <c r="B362" s="3" t="inlineStr">
        <is>
          <t>SL-S33-09</t>
        </is>
      </c>
      <c r="C362" s="9" t="inlineStr">
        <is>
          <t>v0.6.0</t>
        </is>
      </c>
      <c r="D362" s="9" t="inlineStr">
        <is>
          <t>S33</t>
        </is>
      </c>
      <c r="E362" s="3" t="inlineStr">
        <is>
          <t>LocalAI / sumarização</t>
        </is>
      </c>
      <c r="F362" s="3" t="inlineStr">
        <is>
          <t>Adaptação</t>
        </is>
      </c>
      <c r="G362" s="3" t="inlineStr">
        <is>
          <t>Teste</t>
        </is>
      </c>
      <c r="H362" s="3" t="inlineStr">
        <is>
          <t>Avaliar factualidade no corpus</t>
        </is>
      </c>
      <c r="I362" s="3" t="inlineStr">
        <is>
          <t>Medir omissões, números errados, idioma e abstenção em extração parcial.</t>
        </is>
      </c>
      <c r="J362" s="3" t="inlineStr">
        <is>
          <t>tests/eval/summaries/</t>
        </is>
      </c>
      <c r="K362" s="3" t="inlineStr">
        <is>
          <t>Falhas são registradas contra conjunto reservado, não resolvidas apenas mudando o exemplo de demonstração.</t>
        </is>
      </c>
      <c r="L362" s="3" t="inlineStr">
        <is>
          <t>SL-S33-08</t>
        </is>
      </c>
      <c r="M362" s="3" t="inlineStr">
        <is>
          <t>R14; R19; R23; R27</t>
        </is>
      </c>
      <c r="N362" s="10" t="inlineStr">
        <is>
          <t>Não iniciado</t>
        </is>
      </c>
      <c r="O362" s="3" t="inlineStr">
        <is>
          <t>P1</t>
        </is>
      </c>
      <c r="P362" s="3" t="inlineStr">
        <is>
          <t>Alto</t>
        </is>
      </c>
      <c r="Q362" s="3" t="inlineStr">
        <is>
          <t>Obrigatória no escopo da versão</t>
        </is>
      </c>
      <c r="R362" s="10" t="inlineStr">
        <is>
          <t>Autor + agente de IA</t>
        </is>
      </c>
      <c r="S362" s="10" t="inlineStr"/>
      <c r="T362" s="11" t="inlineStr"/>
      <c r="U362" s="3" t="inlineStr">
        <is>
          <t>reports/S33/SL-S33-09.md</t>
        </is>
      </c>
      <c r="V362" s="10" t="inlineStr"/>
      <c r="W362" s="10" t="inlineStr"/>
      <c r="X362" s="3">
        <f>IF(N362="Concluído",IF(AND(S362&lt;&gt;"",ISNUMBER(T362),T362&gt;0,V362&lt;&gt;"",AND(OR(X361="OK",X361="DISPENSADO"))),"OK","REVISAR"),IF(N362="Dispensado (ADR)",IF(AND(LEFT(Q362,11)="Condicional",W362&lt;&gt;"",S362&lt;&gt;"",ISNUMBER(T362),T362&gt;0,V362&lt;&gt;""),"DISPENSADO","REVISAR"),"PENDENTE"))</f>
        <v/>
      </c>
      <c r="Y362" s="10" t="inlineStr"/>
    </row>
    <row r="363" ht="112" customHeight="1">
      <c r="A363" s="3" t="n">
        <v>362</v>
      </c>
      <c r="B363" s="3" t="inlineStr">
        <is>
          <t>SL-S33-10</t>
        </is>
      </c>
      <c r="C363" s="9" t="inlineStr">
        <is>
          <t>v0.6.0</t>
        </is>
      </c>
      <c r="D363" s="9" t="inlineStr">
        <is>
          <t>S33</t>
        </is>
      </c>
      <c r="E363" s="3" t="inlineStr">
        <is>
          <t>LocalAI / sumarização</t>
        </is>
      </c>
      <c r="F363" s="3" t="inlineStr">
        <is>
          <t>Adaptação</t>
        </is>
      </c>
      <c r="G363" s="3" t="inlineStr">
        <is>
          <t>Teste</t>
        </is>
      </c>
      <c r="H363" s="3" t="inlineStr">
        <is>
          <t>Testar ausência de modelo/OOM</t>
        </is>
      </c>
      <c r="I363" s="3" t="inlineStr">
        <is>
          <t>Manter captura e permitir revisão futura ou escrita manual do resumo.</t>
        </is>
      </c>
      <c r="J363" s="3" t="inlineStr">
        <is>
          <t>reports/summary/failure.md</t>
        </is>
      </c>
      <c r="K363" s="3" t="inlineStr">
        <is>
          <t>Enriquecimento opcional não torna o acervo indisponível.</t>
        </is>
      </c>
      <c r="L363" s="3" t="inlineStr">
        <is>
          <t>SL-S33-09</t>
        </is>
      </c>
      <c r="M363" s="3" t="inlineStr">
        <is>
          <t>R14; R19; R23; R27</t>
        </is>
      </c>
      <c r="N363" s="10" t="inlineStr">
        <is>
          <t>Não iniciado</t>
        </is>
      </c>
      <c r="O363" s="3" t="inlineStr">
        <is>
          <t>P1</t>
        </is>
      </c>
      <c r="P363" s="3" t="inlineStr">
        <is>
          <t>Alto</t>
        </is>
      </c>
      <c r="Q363" s="3" t="inlineStr">
        <is>
          <t>Obrigatória no escopo da versão</t>
        </is>
      </c>
      <c r="R363" s="10" t="inlineStr">
        <is>
          <t>Autor + agente de IA</t>
        </is>
      </c>
      <c r="S363" s="10" t="inlineStr"/>
      <c r="T363" s="11" t="inlineStr"/>
      <c r="U363" s="3" t="inlineStr">
        <is>
          <t>reports/S33/SL-S33-10.md</t>
        </is>
      </c>
      <c r="V363" s="10" t="inlineStr"/>
      <c r="W363" s="10" t="inlineStr"/>
      <c r="X363" s="3">
        <f>IF(N363="Concluído",IF(AND(S363&lt;&gt;"",ISNUMBER(T363),T363&gt;0,V363&lt;&gt;"",AND(OR(X362="OK",X362="DISPENSADO"))),"OK","REVISAR"),IF(N363="Dispensado (ADR)",IF(AND(LEFT(Q363,11)="Condicional",W363&lt;&gt;"",S363&lt;&gt;"",ISNUMBER(T363),T363&gt;0,V363&lt;&gt;""),"DISPENSADO","REVISAR"),"PENDENTE"))</f>
        <v/>
      </c>
      <c r="Y363" s="10" t="inlineStr"/>
    </row>
    <row r="364" ht="98" customHeight="1">
      <c r="A364" s="3" t="n">
        <v>363</v>
      </c>
      <c r="B364" s="12" t="inlineStr">
        <is>
          <t>SL-S33-GATE</t>
        </is>
      </c>
      <c r="C364" s="9" t="inlineStr">
        <is>
          <t>v0.6.0</t>
        </is>
      </c>
      <c r="D364" s="9" t="inlineStr">
        <is>
          <t>S33</t>
        </is>
      </c>
      <c r="E364" s="3" t="inlineStr">
        <is>
          <t>LocalAI / sumarização</t>
        </is>
      </c>
      <c r="F364" s="3" t="inlineStr">
        <is>
          <t>Aceite humano</t>
        </is>
      </c>
      <c r="G364" s="12" t="inlineStr">
        <is>
          <t>Gate</t>
        </is>
      </c>
      <c r="H364" s="12" t="inlineStr">
        <is>
          <t>Aceitar S33 — Implementar resumo executivo e enriquecimento gerativo</t>
        </is>
      </c>
      <c r="I364" s="3" t="inlineStr">
        <is>
          <t>Revisar as dez tarefas, executar a demonstração do sprint, confrontar critérios e registrar decisão go/no-go.</t>
        </is>
      </c>
      <c r="J364" s="3" t="inlineStr">
        <is>
          <t>reports/S33/acceptance.md</t>
        </is>
      </c>
      <c r="K364" s="3" t="inlineStr">
        <is>
          <t>Resumir documento, corrigir o texto e reprocessar sem perder a correção. Todas as dependências aceitas; evidências vinculadas a revisão/ambiente; nenhum blocker de integridade/segurança.</t>
        </is>
      </c>
      <c r="L364" s="3" t="inlineStr">
        <is>
          <t>SL-S33-01; SL-S33-02; SL-S33-03; SL-S33-04; SL-S33-05; SL-S33-06; SL-S33-07; SL-S33-08; SL-S33-09; SL-S33-10</t>
        </is>
      </c>
      <c r="M364" s="3" t="inlineStr">
        <is>
          <t>R14; R19; R23; R27</t>
        </is>
      </c>
      <c r="N364" s="10" t="inlineStr">
        <is>
          <t>Não iniciado</t>
        </is>
      </c>
      <c r="O364" s="3" t="inlineStr">
        <is>
          <t>P0</t>
        </is>
      </c>
      <c r="P364" s="3" t="inlineStr">
        <is>
          <t>Alto</t>
        </is>
      </c>
      <c r="Q364" s="3" t="inlineStr">
        <is>
          <t>Obrigatória para fechar a versão aprovada</t>
        </is>
      </c>
      <c r="R364" s="10" t="inlineStr">
        <is>
          <t>Autor</t>
        </is>
      </c>
      <c r="S364" s="10" t="inlineStr"/>
      <c r="T364" s="11" t="inlineStr"/>
      <c r="U364" s="3" t="inlineStr">
        <is>
          <t>reports/S33/acceptance.md</t>
        </is>
      </c>
      <c r="V364" s="10" t="inlineStr"/>
      <c r="W364" s="10" t="inlineStr"/>
      <c r="X364" s="3">
        <f>IF(N364="Concluído",IF(AND(S364&lt;&gt;"",ISNUMBER(T364),T364&gt;0,V364&lt;&gt;"",AND(OR(X354="OK",X354="DISPENSADO"),OR(X355="OK",X355="DISPENSADO"),OR(X356="OK",X356="DISPENSADO"),OR(X357="OK",X357="DISPENSADO"),OR(X358="OK",X358="DISPENSADO"),OR(X359="OK",X359="DISPENSADO"),OR(X360="OK",X360="DISPENSADO"),OR(X361="OK",X361="DISPENSADO"),OR(X362="OK",X362="DISPENSADO"),OR(X363="OK",X363="DISPENSADO"))),"OK","REVISAR"),IF(N364="Dispensado (ADR)",IF(AND(LEFT(Q364,11)="Condicional",W364&lt;&gt;"",S364&lt;&gt;"",ISNUMBER(T364),T364&gt;0,V364&lt;&gt;""),"DISPENSADO","REVISAR"),"PENDENTE"))</f>
        <v/>
      </c>
      <c r="Y364" s="10" t="inlineStr"/>
    </row>
    <row r="365" ht="112" customHeight="1">
      <c r="A365" s="3" t="n">
        <v>364</v>
      </c>
      <c r="B365" s="3" t="inlineStr">
        <is>
          <t>SL-S34-01</t>
        </is>
      </c>
      <c r="C365" s="9" t="inlineStr">
        <is>
          <t>v0.6.0</t>
        </is>
      </c>
      <c r="D365" s="9" t="inlineStr">
        <is>
          <t>S34</t>
        </is>
      </c>
      <c r="E365" s="3" t="inlineStr">
        <is>
          <t>Jev / DecisionProvider</t>
        </is>
      </c>
      <c r="F365" s="3" t="inlineStr">
        <is>
          <t>Integração</t>
        </is>
      </c>
      <c r="G365" s="3" t="inlineStr">
        <is>
          <t>Upstream</t>
        </is>
      </c>
      <c r="H365" s="3" t="inlineStr">
        <is>
          <t>Fixar contrato da API</t>
        </is>
      </c>
      <c r="I365" s="3" t="inlineStr">
        <is>
          <t>Registrar SDK/endpoint/modelo, termos, limites e formato de respostas observados.</t>
        </is>
      </c>
      <c r="J365" s="3" t="inlineStr">
        <is>
          <t>upstream/jev/contract.json</t>
        </is>
      </c>
      <c r="K365" s="3" t="inlineStr">
        <is>
          <t>Integração identifica oferta hospedada; código aberto do cliente não é confundido com pesos disponíveis.</t>
        </is>
      </c>
      <c r="L365" s="3" t="inlineStr">
        <is>
          <t>SL-S23-GATE; SL-S30-GATE; SL-S32-GATE</t>
        </is>
      </c>
      <c r="M365" s="3" t="inlineStr">
        <is>
          <t>R07; R08; R18; R33; R34</t>
        </is>
      </c>
      <c r="N365" s="10" t="inlineStr">
        <is>
          <t>Não iniciado</t>
        </is>
      </c>
      <c r="O365" s="3" t="inlineStr">
        <is>
          <t>P0</t>
        </is>
      </c>
      <c r="P365" s="3" t="inlineStr">
        <is>
          <t>Crítico</t>
        </is>
      </c>
      <c r="Q365" s="3" t="inlineStr">
        <is>
          <t>Obrigatória no escopo da versão</t>
        </is>
      </c>
      <c r="R365" s="10" t="inlineStr">
        <is>
          <t>Autor + agente de IA</t>
        </is>
      </c>
      <c r="S365" s="10" t="inlineStr"/>
      <c r="T365" s="11" t="inlineStr"/>
      <c r="U365" s="3" t="inlineStr">
        <is>
          <t>reports/S34/SL-S34-01.md</t>
        </is>
      </c>
      <c r="V365" s="10" t="inlineStr"/>
      <c r="W365" s="10" t="inlineStr"/>
      <c r="X365" s="3">
        <f>IF(N365="Concluído",IF(AND(S365&lt;&gt;"",ISNUMBER(T365),T365&gt;0,V365&lt;&gt;"",AND(OR(X254="OK",X254="DISPENSADO"),OR(X331="OK",X331="DISPENSADO"),OR(X353="OK",X353="DISPENSADO"))),"OK","REVISAR"),IF(N365="Dispensado (ADR)",IF(AND(LEFT(Q365,11)="Condicional",W365&lt;&gt;"",S365&lt;&gt;"",ISNUMBER(T365),T365&gt;0,V365&lt;&gt;""),"DISPENSADO","REVISAR"),"PENDENTE"))</f>
        <v/>
      </c>
      <c r="Y365" s="10" t="inlineStr"/>
    </row>
    <row r="366" ht="112" customHeight="1">
      <c r="A366" s="3" t="n">
        <v>365</v>
      </c>
      <c r="B366" s="3" t="inlineStr">
        <is>
          <t>SL-S34-02</t>
        </is>
      </c>
      <c r="C366" s="9" t="inlineStr">
        <is>
          <t>v0.6.0</t>
        </is>
      </c>
      <c r="D366" s="9" t="inlineStr">
        <is>
          <t>S34</t>
        </is>
      </c>
      <c r="E366" s="3" t="inlineStr">
        <is>
          <t>Jev / DecisionProvider</t>
        </is>
      </c>
      <c r="F366" s="3" t="inlineStr">
        <is>
          <t>Integração</t>
        </is>
      </c>
      <c r="G366" s="3" t="inlineStr">
        <is>
          <t>Contrato</t>
        </is>
      </c>
      <c r="H366" s="3" t="inlineStr">
        <is>
          <t>Definir DecisionRequest/Result</t>
        </is>
      </c>
      <c r="I366" s="3" t="inlineStr">
        <is>
          <t>Modelar Choice, Score e Noul com campos distintos e proveniência.</t>
        </is>
      </c>
      <c r="J366" s="3" t="inlineStr">
        <is>
          <t>schemas/decision-v0.json</t>
        </is>
      </c>
      <c r="K366" s="3" t="inlineStr">
        <is>
          <t>Noul não ganha confidence inventada e score local não é rotulado como Jev.</t>
        </is>
      </c>
      <c r="L366" s="3" t="inlineStr">
        <is>
          <t>SL-S34-01</t>
        </is>
      </c>
      <c r="M366" s="3" t="inlineStr">
        <is>
          <t>R07; R08; R18; R33; R34</t>
        </is>
      </c>
      <c r="N366" s="10" t="inlineStr">
        <is>
          <t>Não iniciado</t>
        </is>
      </c>
      <c r="O366" s="3" t="inlineStr">
        <is>
          <t>P0</t>
        </is>
      </c>
      <c r="P366" s="3" t="inlineStr">
        <is>
          <t>Crítico</t>
        </is>
      </c>
      <c r="Q366" s="3" t="inlineStr">
        <is>
          <t>Obrigatória no escopo da versão</t>
        </is>
      </c>
      <c r="R366" s="10" t="inlineStr">
        <is>
          <t>Autor + agente de IA</t>
        </is>
      </c>
      <c r="S366" s="10" t="inlineStr"/>
      <c r="T366" s="11" t="inlineStr"/>
      <c r="U366" s="3" t="inlineStr">
        <is>
          <t>reports/S34/SL-S34-02.md</t>
        </is>
      </c>
      <c r="V366" s="10" t="inlineStr"/>
      <c r="W366" s="10" t="inlineStr"/>
      <c r="X366" s="3">
        <f>IF(N366="Concluído",IF(AND(S366&lt;&gt;"",ISNUMBER(T366),T366&gt;0,V366&lt;&gt;"",AND(OR(X365="OK",X365="DISPENSADO"))),"OK","REVISAR"),IF(N366="Dispensado (ADR)",IF(AND(LEFT(Q366,11)="Condicional",W366&lt;&gt;"",S366&lt;&gt;"",ISNUMBER(T366),T366&gt;0,V366&lt;&gt;""),"DISPENSADO","REVISAR"),"PENDENTE"))</f>
        <v/>
      </c>
      <c r="Y366" s="10" t="inlineStr"/>
    </row>
    <row r="367" ht="112" customHeight="1">
      <c r="A367" s="3" t="n">
        <v>366</v>
      </c>
      <c r="B367" s="3" t="inlineStr">
        <is>
          <t>SL-S34-03</t>
        </is>
      </c>
      <c r="C367" s="9" t="inlineStr">
        <is>
          <t>v0.6.0</t>
        </is>
      </c>
      <c r="D367" s="9" t="inlineStr">
        <is>
          <t>S34</t>
        </is>
      </c>
      <c r="E367" s="3" t="inlineStr">
        <is>
          <t>Jev / DecisionProvider</t>
        </is>
      </c>
      <c r="F367" s="3" t="inlineStr">
        <is>
          <t>Integração</t>
        </is>
      </c>
      <c r="G367" s="3" t="inlineStr">
        <is>
          <t>Implementação</t>
        </is>
      </c>
      <c r="H367" s="3" t="inlineStr">
        <is>
          <t>Implementar armazenamento de chave</t>
        </is>
      </c>
      <c r="I367" s="3" t="inlineStr">
        <is>
          <t>Usar cofre de credenciais do SO e não expor segredo à UI/logs.</t>
        </is>
      </c>
      <c r="J367" s="3" t="inlineStr">
        <is>
          <t>adapters/jev/credentials.rs</t>
        </is>
      </c>
      <c r="K367" s="3" t="inlineStr">
        <is>
          <t>Export do Vault e Git não contêm chave nem headers sensíveis.</t>
        </is>
      </c>
      <c r="L367" s="3" t="inlineStr">
        <is>
          <t>SL-S34-02</t>
        </is>
      </c>
      <c r="M367" s="3" t="inlineStr">
        <is>
          <t>R07; R08; R18; R33; R34</t>
        </is>
      </c>
      <c r="N367" s="10" t="inlineStr">
        <is>
          <t>Não iniciado</t>
        </is>
      </c>
      <c r="O367" s="3" t="inlineStr">
        <is>
          <t>P0</t>
        </is>
      </c>
      <c r="P367" s="3" t="inlineStr">
        <is>
          <t>Crítico</t>
        </is>
      </c>
      <c r="Q367" s="3" t="inlineStr">
        <is>
          <t>Obrigatória no escopo da versão</t>
        </is>
      </c>
      <c r="R367" s="10" t="inlineStr">
        <is>
          <t>Autor + agente de IA</t>
        </is>
      </c>
      <c r="S367" s="10" t="inlineStr"/>
      <c r="T367" s="11" t="inlineStr"/>
      <c r="U367" s="3" t="inlineStr">
        <is>
          <t>reports/S34/SL-S34-03.md</t>
        </is>
      </c>
      <c r="V367" s="10" t="inlineStr"/>
      <c r="W367" s="10" t="inlineStr"/>
      <c r="X367" s="3">
        <f>IF(N367="Concluído",IF(AND(S367&lt;&gt;"",ISNUMBER(T367),T367&gt;0,V367&lt;&gt;"",AND(OR(X366="OK",X366="DISPENSADO"))),"OK","REVISAR"),IF(N367="Dispensado (ADR)",IF(AND(LEFT(Q367,11)="Condicional",W367&lt;&gt;"",S367&lt;&gt;"",ISNUMBER(T367),T367&gt;0,V367&lt;&gt;""),"DISPENSADO","REVISAR"),"PENDENTE"))</f>
        <v/>
      </c>
      <c r="Y367" s="10" t="inlineStr"/>
    </row>
    <row r="368" ht="112" customHeight="1">
      <c r="A368" s="3" t="n">
        <v>367</v>
      </c>
      <c r="B368" s="3" t="inlineStr">
        <is>
          <t>SL-S34-04</t>
        </is>
      </c>
      <c r="C368" s="9" t="inlineStr">
        <is>
          <t>v0.6.0</t>
        </is>
      </c>
      <c r="D368" s="9" t="inlineStr">
        <is>
          <t>S34</t>
        </is>
      </c>
      <c r="E368" s="3" t="inlineStr">
        <is>
          <t>Jev / DecisionProvider</t>
        </is>
      </c>
      <c r="F368" s="3" t="inlineStr">
        <is>
          <t>Integração</t>
        </is>
      </c>
      <c r="G368" s="3" t="inlineStr">
        <is>
          <t>Implementação</t>
        </is>
      </c>
      <c r="H368" s="3" t="inlineStr">
        <is>
          <t>Aplicar EgressPolicy antes da chamada</t>
        </is>
      </c>
      <c r="I368" s="3" t="inlineStr">
        <is>
          <t>Verificar consentimento, escopo e conteúdo autorizado por tarefa.</t>
        </is>
      </c>
      <c r="J368" s="3" t="inlineStr">
        <is>
          <t>adapters/jev/egress.rs</t>
        </is>
      </c>
      <c r="K368" s="3" t="inlineStr">
        <is>
          <t>Classificador não recebe dados para decidir se o próprio envio é permitido.</t>
        </is>
      </c>
      <c r="L368" s="3" t="inlineStr">
        <is>
          <t>SL-S34-03</t>
        </is>
      </c>
      <c r="M368" s="3" t="inlineStr">
        <is>
          <t>R07; R08; R18; R33; R34</t>
        </is>
      </c>
      <c r="N368" s="10" t="inlineStr">
        <is>
          <t>Não iniciado</t>
        </is>
      </c>
      <c r="O368" s="3" t="inlineStr">
        <is>
          <t>P0</t>
        </is>
      </c>
      <c r="P368" s="3" t="inlineStr">
        <is>
          <t>Crítico</t>
        </is>
      </c>
      <c r="Q368" s="3" t="inlineStr">
        <is>
          <t>Obrigatória no escopo da versão</t>
        </is>
      </c>
      <c r="R368" s="10" t="inlineStr">
        <is>
          <t>Autor + agente de IA</t>
        </is>
      </c>
      <c r="S368" s="10" t="inlineStr"/>
      <c r="T368" s="11" t="inlineStr"/>
      <c r="U368" s="3" t="inlineStr">
        <is>
          <t>reports/S34/SL-S34-04.md</t>
        </is>
      </c>
      <c r="V368" s="10" t="inlineStr"/>
      <c r="W368" s="10" t="inlineStr"/>
      <c r="X368" s="3">
        <f>IF(N368="Concluído",IF(AND(S368&lt;&gt;"",ISNUMBER(T368),T368&gt;0,V368&lt;&gt;"",AND(OR(X367="OK",X367="DISPENSADO"))),"OK","REVISAR"),IF(N368="Dispensado (ADR)",IF(AND(LEFT(Q368,11)="Condicional",W368&lt;&gt;"",S368&lt;&gt;"",ISNUMBER(T368),T368&gt;0,V368&lt;&gt;""),"DISPENSADO","REVISAR"),"PENDENTE"))</f>
        <v/>
      </c>
      <c r="Y368" s="10" t="inlineStr"/>
    </row>
    <row r="369" ht="112" customHeight="1">
      <c r="A369" s="3" t="n">
        <v>368</v>
      </c>
      <c r="B369" s="3" t="inlineStr">
        <is>
          <t>SL-S34-05</t>
        </is>
      </c>
      <c r="C369" s="9" t="inlineStr">
        <is>
          <t>v0.6.0</t>
        </is>
      </c>
      <c r="D369" s="9" t="inlineStr">
        <is>
          <t>S34</t>
        </is>
      </c>
      <c r="E369" s="3" t="inlineStr">
        <is>
          <t>Jev / DecisionProvider</t>
        </is>
      </c>
      <c r="F369" s="3" t="inlineStr">
        <is>
          <t>Integração</t>
        </is>
      </c>
      <c r="G369" s="3" t="inlineStr">
        <is>
          <t>Implementação</t>
        </is>
      </c>
      <c r="H369" s="3" t="inlineStr">
        <is>
          <t>Criar cliente com limites</t>
        </is>
      </c>
      <c r="I369" s="3" t="inlineStr">
        <is>
          <t>Tratar timeout, rate limit, retries controlados, custo/uso disponível e cancelamento.</t>
        </is>
      </c>
      <c r="J369" s="3" t="inlineStr">
        <is>
          <t>adapters/jev/client.rs</t>
        </is>
      </c>
      <c r="K369" s="3" t="inlineStr">
        <is>
          <t>Retry não ocorre ilimitadamente nem ignora revogação de consentimento.</t>
        </is>
      </c>
      <c r="L369" s="3" t="inlineStr">
        <is>
          <t>SL-S34-04</t>
        </is>
      </c>
      <c r="M369" s="3" t="inlineStr">
        <is>
          <t>R07; R08; R18; R33; R34</t>
        </is>
      </c>
      <c r="N369" s="10" t="inlineStr">
        <is>
          <t>Não iniciado</t>
        </is>
      </c>
      <c r="O369" s="3" t="inlineStr">
        <is>
          <t>P0</t>
        </is>
      </c>
      <c r="P369" s="3" t="inlineStr">
        <is>
          <t>Crítico</t>
        </is>
      </c>
      <c r="Q369" s="3" t="inlineStr">
        <is>
          <t>Obrigatória no escopo da versão</t>
        </is>
      </c>
      <c r="R369" s="10" t="inlineStr">
        <is>
          <t>Autor + agente de IA</t>
        </is>
      </c>
      <c r="S369" s="10" t="inlineStr"/>
      <c r="T369" s="11" t="inlineStr"/>
      <c r="U369" s="3" t="inlineStr">
        <is>
          <t>reports/S34/SL-S34-05.md</t>
        </is>
      </c>
      <c r="V369" s="10" t="inlineStr"/>
      <c r="W369" s="10" t="inlineStr"/>
      <c r="X369" s="3">
        <f>IF(N369="Concluído",IF(AND(S369&lt;&gt;"",ISNUMBER(T369),T369&gt;0,V369&lt;&gt;"",AND(OR(X368="OK",X368="DISPENSADO"))),"OK","REVISAR"),IF(N369="Dispensado (ADR)",IF(AND(LEFT(Q369,11)="Condicional",W369&lt;&gt;"",S369&lt;&gt;"",ISNUMBER(T369),T369&gt;0,V369&lt;&gt;""),"DISPENSADO","REVISAR"),"PENDENTE"))</f>
        <v/>
      </c>
      <c r="Y369" s="10" t="inlineStr"/>
    </row>
    <row r="370" ht="112" customHeight="1">
      <c r="A370" s="3" t="n">
        <v>369</v>
      </c>
      <c r="B370" s="3" t="inlineStr">
        <is>
          <t>SL-S34-06</t>
        </is>
      </c>
      <c r="C370" s="9" t="inlineStr">
        <is>
          <t>v0.6.0</t>
        </is>
      </c>
      <c r="D370" s="9" t="inlineStr">
        <is>
          <t>S34</t>
        </is>
      </c>
      <c r="E370" s="3" t="inlineStr">
        <is>
          <t>Jev / DecisionProvider</t>
        </is>
      </c>
      <c r="F370" s="3" t="inlineStr">
        <is>
          <t>Integração</t>
        </is>
      </c>
      <c r="G370" s="3" t="inlineStr">
        <is>
          <t>Implementação</t>
        </is>
      </c>
      <c r="H370" s="3" t="inlineStr">
        <is>
          <t>Mapear categoria Choice</t>
        </is>
      </c>
      <c r="I370" s="3" t="inlineStr">
        <is>
          <t>Incluir candidatos e opção nenhuma/insuficiente quando pertinente.</t>
        </is>
      </c>
      <c r="J370" s="3" t="inlineStr">
        <is>
          <t>adapters/jev/category.rs</t>
        </is>
      </c>
      <c r="K370" s="3" t="inlineStr">
        <is>
          <t>Categoria fora dos candidatos não é inventada por parsing de texto livre.</t>
        </is>
      </c>
      <c r="L370" s="3" t="inlineStr">
        <is>
          <t>SL-S34-05</t>
        </is>
      </c>
      <c r="M370" s="3" t="inlineStr">
        <is>
          <t>R07; R08; R18; R33; R34</t>
        </is>
      </c>
      <c r="N370" s="10" t="inlineStr">
        <is>
          <t>Não iniciado</t>
        </is>
      </c>
      <c r="O370" s="3" t="inlineStr">
        <is>
          <t>P0</t>
        </is>
      </c>
      <c r="P370" s="3" t="inlineStr">
        <is>
          <t>Crítico</t>
        </is>
      </c>
      <c r="Q370" s="3" t="inlineStr">
        <is>
          <t>Obrigatória no escopo da versão</t>
        </is>
      </c>
      <c r="R370" s="10" t="inlineStr">
        <is>
          <t>Autor + agente de IA</t>
        </is>
      </c>
      <c r="S370" s="10" t="inlineStr"/>
      <c r="T370" s="11" t="inlineStr"/>
      <c r="U370" s="3" t="inlineStr">
        <is>
          <t>reports/S34/SL-S34-06.md</t>
        </is>
      </c>
      <c r="V370" s="10" t="inlineStr"/>
      <c r="W370" s="10" t="inlineStr"/>
      <c r="X370" s="3">
        <f>IF(N370="Concluído",IF(AND(S370&lt;&gt;"",ISNUMBER(T370),T370&gt;0,V370&lt;&gt;"",AND(OR(X369="OK",X369="DISPENSADO"))),"OK","REVISAR"),IF(N370="Dispensado (ADR)",IF(AND(LEFT(Q370,11)="Condicional",W370&lt;&gt;"",S370&lt;&gt;"",ISNUMBER(T370),T370&gt;0,V370&lt;&gt;""),"DISPENSADO","REVISAR"),"PENDENTE"))</f>
        <v/>
      </c>
      <c r="Y370" s="10" t="inlineStr"/>
    </row>
    <row r="371" ht="112" customHeight="1">
      <c r="A371" s="3" t="n">
        <v>370</v>
      </c>
      <c r="B371" s="3" t="inlineStr">
        <is>
          <t>SL-S34-07</t>
        </is>
      </c>
      <c r="C371" s="9" t="inlineStr">
        <is>
          <t>v0.6.0</t>
        </is>
      </c>
      <c r="D371" s="9" t="inlineStr">
        <is>
          <t>S34</t>
        </is>
      </c>
      <c r="E371" s="3" t="inlineStr">
        <is>
          <t>Jev / DecisionProvider</t>
        </is>
      </c>
      <c r="F371" s="3" t="inlineStr">
        <is>
          <t>Integração</t>
        </is>
      </c>
      <c r="G371" s="3" t="inlineStr">
        <is>
          <t>Implementação</t>
        </is>
      </c>
      <c r="H371" s="3" t="inlineStr">
        <is>
          <t>Mapear tags Noul</t>
        </is>
      </c>
      <c r="I371" s="3" t="inlineStr">
        <is>
          <t>Avaliar pertencimento independente por candidato em lote quando suportado.</t>
        </is>
      </c>
      <c r="J371" s="3" t="inlineStr">
        <is>
          <t>adapters/jev/tags.rs</t>
        </is>
      </c>
      <c r="K371" s="3" t="inlineStr">
        <is>
          <t>Tags não se tornam mutuamente exclusivas e probability não é tratada como verdade garantida.</t>
        </is>
      </c>
      <c r="L371" s="3" t="inlineStr">
        <is>
          <t>SL-S34-06</t>
        </is>
      </c>
      <c r="M371" s="3" t="inlineStr">
        <is>
          <t>R07; R08; R18; R33; R34</t>
        </is>
      </c>
      <c r="N371" s="10" t="inlineStr">
        <is>
          <t>Não iniciado</t>
        </is>
      </c>
      <c r="O371" s="3" t="inlineStr">
        <is>
          <t>P0</t>
        </is>
      </c>
      <c r="P371" s="3" t="inlineStr">
        <is>
          <t>Crítico</t>
        </is>
      </c>
      <c r="Q371" s="3" t="inlineStr">
        <is>
          <t>Obrigatória no escopo da versão</t>
        </is>
      </c>
      <c r="R371" s="10" t="inlineStr">
        <is>
          <t>Autor + agente de IA</t>
        </is>
      </c>
      <c r="S371" s="10" t="inlineStr"/>
      <c r="T371" s="11" t="inlineStr"/>
      <c r="U371" s="3" t="inlineStr">
        <is>
          <t>reports/S34/SL-S34-07.md</t>
        </is>
      </c>
      <c r="V371" s="10" t="inlineStr"/>
      <c r="W371" s="10" t="inlineStr"/>
      <c r="X371" s="3">
        <f>IF(N371="Concluído",IF(AND(S371&lt;&gt;"",ISNUMBER(T371),T371&gt;0,V371&lt;&gt;"",AND(OR(X370="OK",X370="DISPENSADO"))),"OK","REVISAR"),IF(N371="Dispensado (ADR)",IF(AND(LEFT(Q371,11)="Condicional",W371&lt;&gt;"",S371&lt;&gt;"",ISNUMBER(T371),T371&gt;0,V371&lt;&gt;""),"DISPENSADO","REVISAR"),"PENDENTE"))</f>
        <v/>
      </c>
      <c r="Y371" s="10" t="inlineStr"/>
    </row>
    <row r="372" ht="112" customHeight="1">
      <c r="A372" s="3" t="n">
        <v>371</v>
      </c>
      <c r="B372" s="3" t="inlineStr">
        <is>
          <t>SL-S34-08</t>
        </is>
      </c>
      <c r="C372" s="9" t="inlineStr">
        <is>
          <t>v0.6.0</t>
        </is>
      </c>
      <c r="D372" s="9" t="inlineStr">
        <is>
          <t>S34</t>
        </is>
      </c>
      <c r="E372" s="3" t="inlineStr">
        <is>
          <t>Jev / DecisionProvider</t>
        </is>
      </c>
      <c r="F372" s="3" t="inlineStr">
        <is>
          <t>Integração</t>
        </is>
      </c>
      <c r="G372" s="3" t="inlineStr">
        <is>
          <t>Implementação</t>
        </is>
      </c>
      <c r="H372" s="3" t="inlineStr">
        <is>
          <t>Mapear rubricas Score</t>
        </is>
      </c>
      <c r="I372" s="3" t="inlineStr">
        <is>
          <t>Versionar níveis e preservar distribuições/identidade do critério.</t>
        </is>
      </c>
      <c r="J372" s="3" t="inlineStr">
        <is>
          <t>adapters/jev/scores.rs</t>
        </is>
      </c>
      <c r="K372" s="3" t="inlineStr">
        <is>
          <t>Mudar rubrica invalida comparação indevida com scores antigos.</t>
        </is>
      </c>
      <c r="L372" s="3" t="inlineStr">
        <is>
          <t>SL-S34-07</t>
        </is>
      </c>
      <c r="M372" s="3" t="inlineStr">
        <is>
          <t>R07; R08; R18; R33; R34</t>
        </is>
      </c>
      <c r="N372" s="10" t="inlineStr">
        <is>
          <t>Não iniciado</t>
        </is>
      </c>
      <c r="O372" s="3" t="inlineStr">
        <is>
          <t>P0</t>
        </is>
      </c>
      <c r="P372" s="3" t="inlineStr">
        <is>
          <t>Crítico</t>
        </is>
      </c>
      <c r="Q372" s="3" t="inlineStr">
        <is>
          <t>Obrigatória no escopo da versão</t>
        </is>
      </c>
      <c r="R372" s="10" t="inlineStr">
        <is>
          <t>Autor + agente de IA</t>
        </is>
      </c>
      <c r="S372" s="10" t="inlineStr"/>
      <c r="T372" s="11" t="inlineStr"/>
      <c r="U372" s="3" t="inlineStr">
        <is>
          <t>reports/S34/SL-S34-08.md</t>
        </is>
      </c>
      <c r="V372" s="10" t="inlineStr"/>
      <c r="W372" s="10" t="inlineStr"/>
      <c r="X372" s="3">
        <f>IF(N372="Concluído",IF(AND(S372&lt;&gt;"",ISNUMBER(T372),T372&gt;0,V372&lt;&gt;"",AND(OR(X371="OK",X371="DISPENSADO"))),"OK","REVISAR"),IF(N372="Dispensado (ADR)",IF(AND(LEFT(Q372,11)="Condicional",W372&lt;&gt;"",S372&lt;&gt;"",ISNUMBER(T372),T372&gt;0,V372&lt;&gt;""),"DISPENSADO","REVISAR"),"PENDENTE"))</f>
        <v/>
      </c>
      <c r="Y372" s="10" t="inlineStr"/>
    </row>
    <row r="373" ht="112" customHeight="1">
      <c r="A373" s="3" t="n">
        <v>372</v>
      </c>
      <c r="B373" s="3" t="inlineStr">
        <is>
          <t>SL-S34-09</t>
        </is>
      </c>
      <c r="C373" s="9" t="inlineStr">
        <is>
          <t>v0.6.0</t>
        </is>
      </c>
      <c r="D373" s="9" t="inlineStr">
        <is>
          <t>S34</t>
        </is>
      </c>
      <c r="E373" s="3" t="inlineStr">
        <is>
          <t>Jev / DecisionProvider</t>
        </is>
      </c>
      <c r="F373" s="3" t="inlineStr">
        <is>
          <t>Integração</t>
        </is>
      </c>
      <c r="G373" s="3" t="inlineStr">
        <is>
          <t>Teste</t>
        </is>
      </c>
      <c r="H373" s="3" t="inlineStr">
        <is>
          <t>Criar transporte fake e testes de falha</t>
        </is>
      </c>
      <c r="I373" s="3" t="inlineStr">
        <is>
          <t>Simular respostas válidas, recusa, timeout, segredo ausente e payload inválido.</t>
        </is>
      </c>
      <c r="J373" s="3" t="inlineStr">
        <is>
          <t>tests/decision/jev-contract/</t>
        </is>
      </c>
      <c r="K373" s="3" t="inlineStr">
        <is>
          <t>CI passa sem chave e sem chamada faturável; falhas não aplicam decisões parciais indevidas.</t>
        </is>
      </c>
      <c r="L373" s="3" t="inlineStr">
        <is>
          <t>SL-S34-08</t>
        </is>
      </c>
      <c r="M373" s="3" t="inlineStr">
        <is>
          <t>R07; R08; R18; R33; R34</t>
        </is>
      </c>
      <c r="N373" s="10" t="inlineStr">
        <is>
          <t>Não iniciado</t>
        </is>
      </c>
      <c r="O373" s="3" t="inlineStr">
        <is>
          <t>P0</t>
        </is>
      </c>
      <c r="P373" s="3" t="inlineStr">
        <is>
          <t>Crítico</t>
        </is>
      </c>
      <c r="Q373" s="3" t="inlineStr">
        <is>
          <t>Obrigatória no escopo da versão</t>
        </is>
      </c>
      <c r="R373" s="10" t="inlineStr">
        <is>
          <t>Autor + agente de IA</t>
        </is>
      </c>
      <c r="S373" s="10" t="inlineStr"/>
      <c r="T373" s="11" t="inlineStr"/>
      <c r="U373" s="3" t="inlineStr">
        <is>
          <t>reports/S34/SL-S34-09.md</t>
        </is>
      </c>
      <c r="V373" s="10" t="inlineStr"/>
      <c r="W373" s="10" t="inlineStr"/>
      <c r="X373" s="3">
        <f>IF(N373="Concluído",IF(AND(S373&lt;&gt;"",ISNUMBER(T373),T373&gt;0,V373&lt;&gt;"",AND(OR(X372="OK",X372="DISPENSADO"))),"OK","REVISAR"),IF(N373="Dispensado (ADR)",IF(AND(LEFT(Q373,11)="Condicional",W373&lt;&gt;"",S373&lt;&gt;"",ISNUMBER(T373),T373&gt;0,V373&lt;&gt;""),"DISPENSADO","REVISAR"),"PENDENTE"))</f>
        <v/>
      </c>
      <c r="Y373" s="10" t="inlineStr"/>
    </row>
    <row r="374" ht="112" customHeight="1">
      <c r="A374" s="3" t="n">
        <v>373</v>
      </c>
      <c r="B374" s="3" t="inlineStr">
        <is>
          <t>SL-S34-10</t>
        </is>
      </c>
      <c r="C374" s="9" t="inlineStr">
        <is>
          <t>v0.6.0</t>
        </is>
      </c>
      <c r="D374" s="9" t="inlineStr">
        <is>
          <t>S34</t>
        </is>
      </c>
      <c r="E374" s="3" t="inlineStr">
        <is>
          <t>Jev / DecisionProvider</t>
        </is>
      </c>
      <c r="F374" s="3" t="inlineStr">
        <is>
          <t>Integração</t>
        </is>
      </c>
      <c r="G374" s="3" t="inlineStr">
        <is>
          <t>Teste</t>
        </is>
      </c>
      <c r="H374" s="3" t="inlineStr">
        <is>
          <t>Executar smoke real consentido</t>
        </is>
      </c>
      <c r="I374" s="3" t="inlineStr">
        <is>
          <t>Usar corpus não sensível e orçamento aprovado; registrar versão e métricas.</t>
        </is>
      </c>
      <c r="J374" s="3" t="inlineStr">
        <is>
          <t>reports/jev/live-smoke.md</t>
        </is>
      </c>
      <c r="K374" s="3" t="inlineStr">
        <is>
          <t>Teste não executado permanece pendente; resultado real não é fabricado a partir do mock.</t>
        </is>
      </c>
      <c r="L374" s="3" t="inlineStr">
        <is>
          <t>SL-S34-09</t>
        </is>
      </c>
      <c r="M374" s="3" t="inlineStr">
        <is>
          <t>R07; R08; R18; R33; R34</t>
        </is>
      </c>
      <c r="N374" s="10" t="inlineStr">
        <is>
          <t>Não iniciado</t>
        </is>
      </c>
      <c r="O374" s="3" t="inlineStr">
        <is>
          <t>P0</t>
        </is>
      </c>
      <c r="P374" s="3" t="inlineStr">
        <is>
          <t>Crítico</t>
        </is>
      </c>
      <c r="Q374" s="3" t="inlineStr">
        <is>
          <t>Obrigatória no escopo da versão</t>
        </is>
      </c>
      <c r="R374" s="10" t="inlineStr">
        <is>
          <t>Autor + agente de IA</t>
        </is>
      </c>
      <c r="S374" s="10" t="inlineStr"/>
      <c r="T374" s="11" t="inlineStr"/>
      <c r="U374" s="3" t="inlineStr">
        <is>
          <t>reports/S34/SL-S34-10.md</t>
        </is>
      </c>
      <c r="V374" s="10" t="inlineStr"/>
      <c r="W374" s="10" t="inlineStr"/>
      <c r="X374" s="3">
        <f>IF(N374="Concluído",IF(AND(S374&lt;&gt;"",ISNUMBER(T374),T374&gt;0,V374&lt;&gt;"",AND(OR(X373="OK",X373="DISPENSADO"))),"OK","REVISAR"),IF(N374="Dispensado (ADR)",IF(AND(LEFT(Q374,11)="Condicional",W374&lt;&gt;"",S374&lt;&gt;"",ISNUMBER(T374),T374&gt;0,V374&lt;&gt;""),"DISPENSADO","REVISAR"),"PENDENTE"))</f>
        <v/>
      </c>
      <c r="Y374" s="10" t="inlineStr"/>
    </row>
    <row r="375" ht="98" customHeight="1">
      <c r="A375" s="3" t="n">
        <v>374</v>
      </c>
      <c r="B375" s="12" t="inlineStr">
        <is>
          <t>SL-S34-GATE</t>
        </is>
      </c>
      <c r="C375" s="9" t="inlineStr">
        <is>
          <t>v0.6.0</t>
        </is>
      </c>
      <c r="D375" s="9" t="inlineStr">
        <is>
          <t>S34</t>
        </is>
      </c>
      <c r="E375" s="3" t="inlineStr">
        <is>
          <t>Jev / DecisionProvider</t>
        </is>
      </c>
      <c r="F375" s="3" t="inlineStr">
        <is>
          <t>Aceite humano</t>
        </is>
      </c>
      <c r="G375" s="12" t="inlineStr">
        <is>
          <t>Gate</t>
        </is>
      </c>
      <c r="H375" s="12" t="inlineStr">
        <is>
          <t>Aceitar S34 — Integrar Jev como motor de decisões</t>
        </is>
      </c>
      <c r="I375" s="3" t="inlineStr">
        <is>
          <t>Revisar as dez tarefas, executar a demonstração do sprint, confrontar critérios e registrar decisão go/no-go.</t>
        </is>
      </c>
      <c r="J375" s="3" t="inlineStr">
        <is>
          <t>reports/S34/acceptance.md</t>
        </is>
      </c>
      <c r="K375" s="3" t="inlineStr">
        <is>
          <t>Classificar fixture autorizada e negar a mesma chamada quando a política de rede proíbe. Todas as dependências aceitas; evidências vinculadas a revisão/ambiente; nenhum blocker de integridade/segurança.</t>
        </is>
      </c>
      <c r="L375" s="3" t="inlineStr">
        <is>
          <t>SL-S34-01; SL-S34-02; SL-S34-03; SL-S34-04; SL-S34-05; SL-S34-06; SL-S34-07; SL-S34-08; SL-S34-09; SL-S34-10</t>
        </is>
      </c>
      <c r="M375" s="3" t="inlineStr">
        <is>
          <t>R07; R08; R18; R33; R34</t>
        </is>
      </c>
      <c r="N375" s="10" t="inlineStr">
        <is>
          <t>Não iniciado</t>
        </is>
      </c>
      <c r="O375" s="3" t="inlineStr">
        <is>
          <t>P0</t>
        </is>
      </c>
      <c r="P375" s="3" t="inlineStr">
        <is>
          <t>Crítico</t>
        </is>
      </c>
      <c r="Q375" s="3" t="inlineStr">
        <is>
          <t>Obrigatória para fechar a versão aprovada</t>
        </is>
      </c>
      <c r="R375" s="10" t="inlineStr">
        <is>
          <t>Autor</t>
        </is>
      </c>
      <c r="S375" s="10" t="inlineStr"/>
      <c r="T375" s="11" t="inlineStr"/>
      <c r="U375" s="3" t="inlineStr">
        <is>
          <t>reports/S34/acceptance.md</t>
        </is>
      </c>
      <c r="V375" s="10" t="inlineStr"/>
      <c r="W375" s="10" t="inlineStr"/>
      <c r="X375" s="3">
        <f>IF(N375="Concluído",IF(AND(S375&lt;&gt;"",ISNUMBER(T375),T375&gt;0,V375&lt;&gt;"",AND(OR(X365="OK",X365="DISPENSADO"),OR(X366="OK",X366="DISPENSADO"),OR(X367="OK",X367="DISPENSADO"),OR(X368="OK",X368="DISPENSADO"),OR(X369="OK",X369="DISPENSADO"),OR(X370="OK",X370="DISPENSADO"),OR(X371="OK",X371="DISPENSADO"),OR(X372="OK",X372="DISPENSADO"),OR(X373="OK",X373="DISPENSADO"),OR(X374="OK",X374="DISPENSADO"))),"OK","REVISAR"),IF(N375="Dispensado (ADR)",IF(AND(LEFT(Q375,11)="Condicional",W375&lt;&gt;"",S375&lt;&gt;"",ISNUMBER(T375),T375&gt;0,V375&lt;&gt;""),"DISPENSADO","REVISAR"),"PENDENTE"))</f>
        <v/>
      </c>
      <c r="Y375" s="10" t="inlineStr"/>
    </row>
    <row r="376" ht="112" customHeight="1">
      <c r="A376" s="3" t="n">
        <v>375</v>
      </c>
      <c r="B376" s="3" t="inlineStr">
        <is>
          <t>SL-S35-01</t>
        </is>
      </c>
      <c r="C376" s="9" t="inlineStr">
        <is>
          <t>v0.6.0</t>
        </is>
      </c>
      <c r="D376" s="9" t="inlineStr">
        <is>
          <t>S35</t>
        </is>
      </c>
      <c r="E376" s="3" t="inlineStr">
        <is>
          <t>TaxonomyService / Jev</t>
        </is>
      </c>
      <c r="F376" s="3" t="inlineStr">
        <is>
          <t>Próprio</t>
        </is>
      </c>
      <c r="G376" s="3" t="inlineStr">
        <is>
          <t>Implementação</t>
        </is>
      </c>
      <c r="H376" s="3" t="inlineStr">
        <is>
          <t>Persistir taxonomia por IDs</t>
        </is>
      </c>
      <c r="I376" s="3" t="inlineStr">
        <is>
          <t>Guardar termos, idioma, descrições, aliases e origem das decisões.</t>
        </is>
      </c>
      <c r="J376" s="3" t="inlineStr">
        <is>
          <t>crates/taxonomy/src/store.rs</t>
        </is>
      </c>
      <c r="K376" s="3" t="inlineStr">
        <is>
          <t>Apagar DB não perde termos/aliases aprovados.</t>
        </is>
      </c>
      <c r="L376" s="3" t="inlineStr">
        <is>
          <t>SL-S32-GATE; SL-S34-GATE</t>
        </is>
      </c>
      <c r="M376" s="3" t="inlineStr">
        <is>
          <t>R02; R07; R18; R20; R28</t>
        </is>
      </c>
      <c r="N376" s="10" t="inlineStr">
        <is>
          <t>Não iniciado</t>
        </is>
      </c>
      <c r="O376" s="3" t="inlineStr">
        <is>
          <t>P1</t>
        </is>
      </c>
      <c r="P376" s="3" t="inlineStr">
        <is>
          <t>Médio</t>
        </is>
      </c>
      <c r="Q376" s="3" t="inlineStr">
        <is>
          <t>Obrigatória no escopo da versão</t>
        </is>
      </c>
      <c r="R376" s="10" t="inlineStr">
        <is>
          <t>Autor + agente de IA</t>
        </is>
      </c>
      <c r="S376" s="10" t="inlineStr"/>
      <c r="T376" s="11" t="inlineStr"/>
      <c r="U376" s="3" t="inlineStr">
        <is>
          <t>reports/S35/SL-S35-01.md</t>
        </is>
      </c>
      <c r="V376" s="10" t="inlineStr"/>
      <c r="W376" s="10" t="inlineStr"/>
      <c r="X376" s="3">
        <f>IF(N376="Concluído",IF(AND(S376&lt;&gt;"",ISNUMBER(T376),T376&gt;0,V376&lt;&gt;"",AND(OR(X353="OK",X353="DISPENSADO"),OR(X375="OK",X375="DISPENSADO"))),"OK","REVISAR"),IF(N376="Dispensado (ADR)",IF(AND(LEFT(Q376,11)="Condicional",W376&lt;&gt;"",S376&lt;&gt;"",ISNUMBER(T376),T376&gt;0,V376&lt;&gt;""),"DISPENSADO","REVISAR"),"PENDENTE"))</f>
        <v/>
      </c>
      <c r="Y376" s="10" t="inlineStr"/>
    </row>
    <row r="377" ht="112" customHeight="1">
      <c r="A377" s="3" t="n">
        <v>376</v>
      </c>
      <c r="B377" s="3" t="inlineStr">
        <is>
          <t>SL-S35-02</t>
        </is>
      </c>
      <c r="C377" s="9" t="inlineStr">
        <is>
          <t>v0.6.0</t>
        </is>
      </c>
      <c r="D377" s="9" t="inlineStr">
        <is>
          <t>S35</t>
        </is>
      </c>
      <c r="E377" s="3" t="inlineStr">
        <is>
          <t>TaxonomyService / Jev</t>
        </is>
      </c>
      <c r="F377" s="3" t="inlineStr">
        <is>
          <t>Próprio</t>
        </is>
      </c>
      <c r="G377" s="3" t="inlineStr">
        <is>
          <t>Implementação</t>
        </is>
      </c>
      <c r="H377" s="3" t="inlineStr">
        <is>
          <t>Recuperar candidatos</t>
        </is>
      </c>
      <c r="I377" s="3" t="inlineStr">
        <is>
          <t>Combinar léxico e embeddings aprovados sem misturar espaços incompatíveis.</t>
        </is>
      </c>
      <c r="J377" s="3" t="inlineStr">
        <is>
          <t>crates/taxonomy/src/candidates.rs</t>
        </is>
      </c>
      <c r="K377" s="3" t="inlineStr">
        <is>
          <t>Categoria correta fora do top-k pode levar a expansão/abstenção, não escolha forçada silenciosa.</t>
        </is>
      </c>
      <c r="L377" s="3" t="inlineStr">
        <is>
          <t>SL-S35-01</t>
        </is>
      </c>
      <c r="M377" s="3" t="inlineStr">
        <is>
          <t>R02; R07; R18; R20; R28</t>
        </is>
      </c>
      <c r="N377" s="10" t="inlineStr">
        <is>
          <t>Não iniciado</t>
        </is>
      </c>
      <c r="O377" s="3" t="inlineStr">
        <is>
          <t>P1</t>
        </is>
      </c>
      <c r="P377" s="3" t="inlineStr">
        <is>
          <t>Médio</t>
        </is>
      </c>
      <c r="Q377" s="3" t="inlineStr">
        <is>
          <t>Obrigatória no escopo da versão</t>
        </is>
      </c>
      <c r="R377" s="10" t="inlineStr">
        <is>
          <t>Autor + agente de IA</t>
        </is>
      </c>
      <c r="S377" s="10" t="inlineStr"/>
      <c r="T377" s="11" t="inlineStr"/>
      <c r="U377" s="3" t="inlineStr">
        <is>
          <t>reports/S35/SL-S35-02.md</t>
        </is>
      </c>
      <c r="V377" s="10" t="inlineStr"/>
      <c r="W377" s="10" t="inlineStr"/>
      <c r="X377" s="3">
        <f>IF(N377="Concluído",IF(AND(S377&lt;&gt;"",ISNUMBER(T377),T377&gt;0,V377&lt;&gt;"",AND(OR(X376="OK",X376="DISPENSADO"))),"OK","REVISAR"),IF(N377="Dispensado (ADR)",IF(AND(LEFT(Q377,11)="Condicional",W377&lt;&gt;"",S377&lt;&gt;"",ISNUMBER(T377),T377&gt;0,V377&lt;&gt;""),"DISPENSADO","REVISAR"),"PENDENTE"))</f>
        <v/>
      </c>
      <c r="Y377" s="10" t="inlineStr"/>
    </row>
    <row r="378" ht="112" customHeight="1">
      <c r="A378" s="3" t="n">
        <v>377</v>
      </c>
      <c r="B378" s="3" t="inlineStr">
        <is>
          <t>SL-S35-03</t>
        </is>
      </c>
      <c r="C378" s="9" t="inlineStr">
        <is>
          <t>v0.6.0</t>
        </is>
      </c>
      <c r="D378" s="9" t="inlineStr">
        <is>
          <t>S35</t>
        </is>
      </c>
      <c r="E378" s="3" t="inlineStr">
        <is>
          <t>TaxonomyService / Jev</t>
        </is>
      </c>
      <c r="F378" s="3" t="inlineStr">
        <is>
          <t>Próprio</t>
        </is>
      </c>
      <c r="G378" s="3" t="inlineStr">
        <is>
          <t>Decisão</t>
        </is>
      </c>
      <c r="H378" s="3" t="inlineStr">
        <is>
          <t>Calibrar política de aceitação</t>
        </is>
      </c>
      <c r="I378" s="3" t="inlineStr">
        <is>
          <t>Resolver ADR-012 com conjunto separado de avaliação e tolerância a erro.</t>
        </is>
      </c>
      <c r="J378" s="3" t="inlineStr">
        <is>
          <t>docs/adr/012-taxonomy-policy.md</t>
        </is>
      </c>
      <c r="K378" s="3" t="inlineStr">
        <is>
          <t>Thresholds não são copiados cegamente do RFC nem tratados como universais.</t>
        </is>
      </c>
      <c r="L378" s="3" t="inlineStr">
        <is>
          <t>SL-S35-02</t>
        </is>
      </c>
      <c r="M378" s="3" t="inlineStr">
        <is>
          <t>R02; R07; R18; R20; R28</t>
        </is>
      </c>
      <c r="N378" s="10" t="inlineStr">
        <is>
          <t>Não iniciado</t>
        </is>
      </c>
      <c r="O378" s="3" t="inlineStr">
        <is>
          <t>P0</t>
        </is>
      </c>
      <c r="P378" s="3" t="inlineStr">
        <is>
          <t>Médio</t>
        </is>
      </c>
      <c r="Q378" s="3" t="inlineStr">
        <is>
          <t>Obrigatória no escopo da versão</t>
        </is>
      </c>
      <c r="R378" s="10" t="inlineStr">
        <is>
          <t>Autor</t>
        </is>
      </c>
      <c r="S378" s="10" t="inlineStr"/>
      <c r="T378" s="11" t="inlineStr"/>
      <c r="U378" s="3" t="inlineStr">
        <is>
          <t>reports/S35/SL-S35-03.md</t>
        </is>
      </c>
      <c r="V378" s="10" t="inlineStr"/>
      <c r="W378" s="10" t="inlineStr"/>
      <c r="X378" s="3">
        <f>IF(N378="Concluído",IF(AND(S378&lt;&gt;"",ISNUMBER(T378),T378&gt;0,V378&lt;&gt;"",AND(OR(X377="OK",X377="DISPENSADO"))),"OK","REVISAR"),IF(N378="Dispensado (ADR)",IF(AND(LEFT(Q378,11)="Condicional",W378&lt;&gt;"",S378&lt;&gt;"",ISNUMBER(T378),T378&gt;0,V378&lt;&gt;""),"DISPENSADO","REVISAR"),"PENDENTE"))</f>
        <v/>
      </c>
      <c r="Y378" s="10" t="inlineStr"/>
    </row>
    <row r="379" ht="112" customHeight="1">
      <c r="A379" s="3" t="n">
        <v>378</v>
      </c>
      <c r="B379" s="3" t="inlineStr">
        <is>
          <t>SL-S35-04</t>
        </is>
      </c>
      <c r="C379" s="9" t="inlineStr">
        <is>
          <t>v0.6.0</t>
        </is>
      </c>
      <c r="D379" s="9" t="inlineStr">
        <is>
          <t>S35</t>
        </is>
      </c>
      <c r="E379" s="3" t="inlineStr">
        <is>
          <t>TaxonomyService / Jev</t>
        </is>
      </c>
      <c r="F379" s="3" t="inlineStr">
        <is>
          <t>Próprio</t>
        </is>
      </c>
      <c r="G379" s="3" t="inlineStr">
        <is>
          <t>Implementação</t>
        </is>
      </c>
      <c r="H379" s="3" t="inlineStr">
        <is>
          <t>Aplicar decisões reversíveis</t>
        </is>
      </c>
      <c r="I379" s="3" t="inlineStr">
        <is>
          <t>Diferenciar sugerido, aceito automaticamente, confirmado e rejeitado.</t>
        </is>
      </c>
      <c r="J379" s="3" t="inlineStr">
        <is>
          <t>crates/taxonomy/src/decisions.rs</t>
        </is>
      </c>
      <c r="K379" s="3" t="inlineStr">
        <is>
          <t>Cada mutação tem origem e pode ser revertida sem apagar decisão humana posterior.</t>
        </is>
      </c>
      <c r="L379" s="3" t="inlineStr">
        <is>
          <t>SL-S35-03</t>
        </is>
      </c>
      <c r="M379" s="3" t="inlineStr">
        <is>
          <t>R02; R07; R18; R20; R28</t>
        </is>
      </c>
      <c r="N379" s="10" t="inlineStr">
        <is>
          <t>Não iniciado</t>
        </is>
      </c>
      <c r="O379" s="3" t="inlineStr">
        <is>
          <t>P1</t>
        </is>
      </c>
      <c r="P379" s="3" t="inlineStr">
        <is>
          <t>Médio</t>
        </is>
      </c>
      <c r="Q379" s="3" t="inlineStr">
        <is>
          <t>Obrigatória no escopo da versão</t>
        </is>
      </c>
      <c r="R379" s="10" t="inlineStr">
        <is>
          <t>Autor + agente de IA</t>
        </is>
      </c>
      <c r="S379" s="10" t="inlineStr"/>
      <c r="T379" s="11" t="inlineStr"/>
      <c r="U379" s="3" t="inlineStr">
        <is>
          <t>reports/S35/SL-S35-04.md</t>
        </is>
      </c>
      <c r="V379" s="10" t="inlineStr"/>
      <c r="W379" s="10" t="inlineStr"/>
      <c r="X379" s="3">
        <f>IF(N379="Concluído",IF(AND(S379&lt;&gt;"",ISNUMBER(T379),T379&gt;0,V379&lt;&gt;"",AND(OR(X378="OK",X378="DISPENSADO"))),"OK","REVISAR"),IF(N379="Dispensado (ADR)",IF(AND(LEFT(Q379,11)="Condicional",W379&lt;&gt;"",S379&lt;&gt;"",ISNUMBER(T379),T379&gt;0,V379&lt;&gt;""),"DISPENSADO","REVISAR"),"PENDENTE"))</f>
        <v/>
      </c>
      <c r="Y379" s="10" t="inlineStr"/>
    </row>
    <row r="380" ht="112" customHeight="1">
      <c r="A380" s="3" t="n">
        <v>379</v>
      </c>
      <c r="B380" s="3" t="inlineStr">
        <is>
          <t>SL-S35-05</t>
        </is>
      </c>
      <c r="C380" s="9" t="inlineStr">
        <is>
          <t>v0.6.0</t>
        </is>
      </c>
      <c r="D380" s="9" t="inlineStr">
        <is>
          <t>S35</t>
        </is>
      </c>
      <c r="E380" s="3" t="inlineStr">
        <is>
          <t>TaxonomyService / Jev</t>
        </is>
      </c>
      <c r="F380" s="3" t="inlineStr">
        <is>
          <t>Próprio</t>
        </is>
      </c>
      <c r="G380" s="3" t="inlineStr">
        <is>
          <t>Implementação</t>
        </is>
      </c>
      <c r="H380" s="3" t="inlineStr">
        <is>
          <t>Propor novos termos</t>
        </is>
      </c>
      <c r="I380" s="3" t="inlineStr">
        <is>
          <t>Usar extração/modelo generativo com validação; Jev avalia candidatos quando autorizado.</t>
        </is>
      </c>
      <c r="J380" s="3" t="inlineStr">
        <is>
          <t>crates/taxonomy/src/new_terms.rs</t>
        </is>
      </c>
      <c r="K380" s="3" t="inlineStr">
        <is>
          <t>Jev não é chamado para gerar string livre inexistente em suas primitivas.</t>
        </is>
      </c>
      <c r="L380" s="3" t="inlineStr">
        <is>
          <t>SL-S35-04</t>
        </is>
      </c>
      <c r="M380" s="3" t="inlineStr">
        <is>
          <t>R02; R07; R18; R20; R28</t>
        </is>
      </c>
      <c r="N380" s="10" t="inlineStr">
        <is>
          <t>Não iniciado</t>
        </is>
      </c>
      <c r="O380" s="3" t="inlineStr">
        <is>
          <t>P1</t>
        </is>
      </c>
      <c r="P380" s="3" t="inlineStr">
        <is>
          <t>Médio</t>
        </is>
      </c>
      <c r="Q380" s="3" t="inlineStr">
        <is>
          <t>Obrigatória no escopo da versão</t>
        </is>
      </c>
      <c r="R380" s="10" t="inlineStr">
        <is>
          <t>Autor + agente de IA</t>
        </is>
      </c>
      <c r="S380" s="10" t="inlineStr"/>
      <c r="T380" s="11" t="inlineStr"/>
      <c r="U380" s="3" t="inlineStr">
        <is>
          <t>reports/S35/SL-S35-05.md</t>
        </is>
      </c>
      <c r="V380" s="10" t="inlineStr"/>
      <c r="W380" s="10" t="inlineStr"/>
      <c r="X380" s="3">
        <f>IF(N380="Concluído",IF(AND(S380&lt;&gt;"",ISNUMBER(T380),T380&gt;0,V380&lt;&gt;"",AND(OR(X379="OK",X379="DISPENSADO"))),"OK","REVISAR"),IF(N380="Dispensado (ADR)",IF(AND(LEFT(Q380,11)="Condicional",W380&lt;&gt;"",S380&lt;&gt;"",ISNUMBER(T380),T380&gt;0,V380&lt;&gt;""),"DISPENSADO","REVISAR"),"PENDENTE"))</f>
        <v/>
      </c>
      <c r="Y380" s="10" t="inlineStr"/>
    </row>
    <row r="381" ht="112" customHeight="1">
      <c r="A381" s="3" t="n">
        <v>380</v>
      </c>
      <c r="B381" s="3" t="inlineStr">
        <is>
          <t>SL-S35-06</t>
        </is>
      </c>
      <c r="C381" s="9" t="inlineStr">
        <is>
          <t>v0.6.0</t>
        </is>
      </c>
      <c r="D381" s="9" t="inlineStr">
        <is>
          <t>S35</t>
        </is>
      </c>
      <c r="E381" s="3" t="inlineStr">
        <is>
          <t>TaxonomyService / Jev</t>
        </is>
      </c>
      <c r="F381" s="3" t="inlineStr">
        <is>
          <t>Próprio</t>
        </is>
      </c>
      <c r="G381" s="3" t="inlineStr">
        <is>
          <t>Implementação</t>
        </is>
      </c>
      <c r="H381" s="3" t="inlineStr">
        <is>
          <t>Proteger merges/aliases</t>
        </is>
      </c>
      <c r="I381" s="3" t="inlineStr">
        <is>
          <t>Transformar distância/similaridade em sugestão revisável, não fusão silenciosa.</t>
        </is>
      </c>
      <c r="J381" s="3" t="inlineStr">
        <is>
          <t>crates/taxonomy/src/aliases.rs</t>
        </is>
      </c>
      <c r="K381" s="3" t="inlineStr">
        <is>
          <t>Termos parecidos mas diferentes permanecem distintos sem aprovação.</t>
        </is>
      </c>
      <c r="L381" s="3" t="inlineStr">
        <is>
          <t>SL-S35-05</t>
        </is>
      </c>
      <c r="M381" s="3" t="inlineStr">
        <is>
          <t>R02; R07; R18; R20; R28</t>
        </is>
      </c>
      <c r="N381" s="10" t="inlineStr">
        <is>
          <t>Não iniciado</t>
        </is>
      </c>
      <c r="O381" s="3" t="inlineStr">
        <is>
          <t>P1</t>
        </is>
      </c>
      <c r="P381" s="3" t="inlineStr">
        <is>
          <t>Médio</t>
        </is>
      </c>
      <c r="Q381" s="3" t="inlineStr">
        <is>
          <t>Obrigatória no escopo da versão</t>
        </is>
      </c>
      <c r="R381" s="10" t="inlineStr">
        <is>
          <t>Autor + agente de IA</t>
        </is>
      </c>
      <c r="S381" s="10" t="inlineStr"/>
      <c r="T381" s="11" t="inlineStr"/>
      <c r="U381" s="3" t="inlineStr">
        <is>
          <t>reports/S35/SL-S35-06.md</t>
        </is>
      </c>
      <c r="V381" s="10" t="inlineStr"/>
      <c r="W381" s="10" t="inlineStr"/>
      <c r="X381" s="3">
        <f>IF(N381="Concluído",IF(AND(S381&lt;&gt;"",ISNUMBER(T381),T381&gt;0,V381&lt;&gt;"",AND(OR(X380="OK",X380="DISPENSADO"))),"OK","REVISAR"),IF(N381="Dispensado (ADR)",IF(AND(LEFT(Q381,11)="Condicional",W381&lt;&gt;"",S381&lt;&gt;"",ISNUMBER(T381),T381&gt;0,V381&lt;&gt;""),"DISPENSADO","REVISAR"),"PENDENTE"))</f>
        <v/>
      </c>
      <c r="Y381" s="10" t="inlineStr"/>
    </row>
    <row r="382" ht="112" customHeight="1">
      <c r="A382" s="3" t="n">
        <v>381</v>
      </c>
      <c r="B382" s="3" t="inlineStr">
        <is>
          <t>SL-S35-07</t>
        </is>
      </c>
      <c r="C382" s="9" t="inlineStr">
        <is>
          <t>v0.6.0</t>
        </is>
      </c>
      <c r="D382" s="9" t="inlineStr">
        <is>
          <t>S35</t>
        </is>
      </c>
      <c r="E382" s="3" t="inlineStr">
        <is>
          <t>TaxonomyService / Jev</t>
        </is>
      </c>
      <c r="F382" s="3" t="inlineStr">
        <is>
          <t>Próprio</t>
        </is>
      </c>
      <c r="G382" s="3" t="inlineStr">
        <is>
          <t>Implementação</t>
        </is>
      </c>
      <c r="H382" s="3" t="inlineStr">
        <is>
          <t>Implementar fallback local</t>
        </is>
      </c>
      <c r="I382" s="3" t="inlineStr">
        <is>
          <t>Usar modelo homologado com schema e registrar ausência de calibração equivalente.</t>
        </is>
      </c>
      <c r="J382" s="3" t="inlineStr">
        <is>
          <t>crates/taxonomy/src/local_fallback.rs</t>
        </is>
      </c>
      <c r="K382" s="3" t="inlineStr">
        <is>
          <t>Probabilidades/confidence não são inventadas para imitar resultado Jev.</t>
        </is>
      </c>
      <c r="L382" s="3" t="inlineStr">
        <is>
          <t>SL-S35-06</t>
        </is>
      </c>
      <c r="M382" s="3" t="inlineStr">
        <is>
          <t>R02; R07; R18; R20; R28</t>
        </is>
      </c>
      <c r="N382" s="10" t="inlineStr">
        <is>
          <t>Não iniciado</t>
        </is>
      </c>
      <c r="O382" s="3" t="inlineStr">
        <is>
          <t>P1</t>
        </is>
      </c>
      <c r="P382" s="3" t="inlineStr">
        <is>
          <t>Médio</t>
        </is>
      </c>
      <c r="Q382" s="3" t="inlineStr">
        <is>
          <t>Obrigatória no escopo da versão</t>
        </is>
      </c>
      <c r="R382" s="10" t="inlineStr">
        <is>
          <t>Autor + agente de IA</t>
        </is>
      </c>
      <c r="S382" s="10" t="inlineStr"/>
      <c r="T382" s="11" t="inlineStr"/>
      <c r="U382" s="3" t="inlineStr">
        <is>
          <t>reports/S35/SL-S35-07.md</t>
        </is>
      </c>
      <c r="V382" s="10" t="inlineStr"/>
      <c r="W382" s="10" t="inlineStr"/>
      <c r="X382" s="3">
        <f>IF(N382="Concluído",IF(AND(S382&lt;&gt;"",ISNUMBER(T382),T382&gt;0,V382&lt;&gt;"",AND(OR(X381="OK",X381="DISPENSADO"))),"OK","REVISAR"),IF(N382="Dispensado (ADR)",IF(AND(LEFT(Q382,11)="Condicional",W382&lt;&gt;"",S382&lt;&gt;"",ISNUMBER(T382),T382&gt;0,V382&lt;&gt;""),"DISPENSADO","REVISAR"),"PENDENTE"))</f>
        <v/>
      </c>
      <c r="Y382" s="10" t="inlineStr"/>
    </row>
    <row r="383" ht="112" customHeight="1">
      <c r="A383" s="3" t="n">
        <v>382</v>
      </c>
      <c r="B383" s="3" t="inlineStr">
        <is>
          <t>SL-S35-08</t>
        </is>
      </c>
      <c r="C383" s="9" t="inlineStr">
        <is>
          <t>v0.6.0</t>
        </is>
      </c>
      <c r="D383" s="9" t="inlineStr">
        <is>
          <t>S35</t>
        </is>
      </c>
      <c r="E383" s="3" t="inlineStr">
        <is>
          <t>TaxonomyService / Jev</t>
        </is>
      </c>
      <c r="F383" s="3" t="inlineStr">
        <is>
          <t>Próprio</t>
        </is>
      </c>
      <c r="G383" s="3" t="inlineStr">
        <is>
          <t>Implementação</t>
        </is>
      </c>
      <c r="H383" s="3" t="inlineStr">
        <is>
          <t>Implementar fallback sem modelo</t>
        </is>
      </c>
      <c r="I383" s="3" t="inlineStr">
        <is>
          <t>Regras léxicas ou pendência/revisão manual sem precisar carregar embeddings por OOM.</t>
        </is>
      </c>
      <c r="J383" s="3" t="inlineStr">
        <is>
          <t>crates/taxonomy/src/heuristic_fallback.rs</t>
        </is>
      </c>
      <c r="K383" s="3" t="inlineStr">
        <is>
          <t>Máquina sem RAM/rede continua capturando material e mostra estado correto.</t>
        </is>
      </c>
      <c r="L383" s="3" t="inlineStr">
        <is>
          <t>SL-S35-07</t>
        </is>
      </c>
      <c r="M383" s="3" t="inlineStr">
        <is>
          <t>R02; R07; R18; R20; R28</t>
        </is>
      </c>
      <c r="N383" s="10" t="inlineStr">
        <is>
          <t>Não iniciado</t>
        </is>
      </c>
      <c r="O383" s="3" t="inlineStr">
        <is>
          <t>P1</t>
        </is>
      </c>
      <c r="P383" s="3" t="inlineStr">
        <is>
          <t>Médio</t>
        </is>
      </c>
      <c r="Q383" s="3" t="inlineStr">
        <is>
          <t>Obrigatória no escopo da versão</t>
        </is>
      </c>
      <c r="R383" s="10" t="inlineStr">
        <is>
          <t>Autor + agente de IA</t>
        </is>
      </c>
      <c r="S383" s="10" t="inlineStr"/>
      <c r="T383" s="11" t="inlineStr"/>
      <c r="U383" s="3" t="inlineStr">
        <is>
          <t>reports/S35/SL-S35-08.md</t>
        </is>
      </c>
      <c r="V383" s="10" t="inlineStr"/>
      <c r="W383" s="10" t="inlineStr"/>
      <c r="X383" s="3">
        <f>IF(N383="Concluído",IF(AND(S383&lt;&gt;"",ISNUMBER(T383),T383&gt;0,V383&lt;&gt;"",AND(OR(X382="OK",X382="DISPENSADO"))),"OK","REVISAR"),IF(N383="Dispensado (ADR)",IF(AND(LEFT(Q383,11)="Condicional",W383&lt;&gt;"",S383&lt;&gt;"",ISNUMBER(T383),T383&gt;0,V383&lt;&gt;""),"DISPENSADO","REVISAR"),"PENDENTE"))</f>
        <v/>
      </c>
      <c r="Y383" s="10" t="inlineStr"/>
    </row>
    <row r="384" ht="112" customHeight="1">
      <c r="A384" s="3" t="n">
        <v>383</v>
      </c>
      <c r="B384" s="3" t="inlineStr">
        <is>
          <t>SL-S35-09</t>
        </is>
      </c>
      <c r="C384" s="9" t="inlineStr">
        <is>
          <t>v0.6.0</t>
        </is>
      </c>
      <c r="D384" s="9" t="inlineStr">
        <is>
          <t>S35</t>
        </is>
      </c>
      <c r="E384" s="3" t="inlineStr">
        <is>
          <t>TaxonomyService / Jev</t>
        </is>
      </c>
      <c r="F384" s="3" t="inlineStr">
        <is>
          <t>Próprio</t>
        </is>
      </c>
      <c r="G384" s="3" t="inlineStr">
        <is>
          <t>Implementação</t>
        </is>
      </c>
      <c r="H384" s="3" t="inlineStr">
        <is>
          <t>Criar UI de revisão taxonômica</t>
        </is>
      </c>
      <c r="I384" s="3" t="inlineStr">
        <is>
          <t>Filtrar sugestões, editar, confirmar e desfazer em lote com preview.</t>
        </is>
      </c>
      <c r="J384" s="3" t="inlineStr">
        <is>
          <t>apps/desktop/src/taxonomy/</t>
        </is>
      </c>
      <c r="K384" s="3" t="inlineStr">
        <is>
          <t>Bulk action não altera itens fora do conjunto aprovado nem esconde baixa confiança.</t>
        </is>
      </c>
      <c r="L384" s="3" t="inlineStr">
        <is>
          <t>SL-S35-08</t>
        </is>
      </c>
      <c r="M384" s="3" t="inlineStr">
        <is>
          <t>R02; R07; R18; R20; R28</t>
        </is>
      </c>
      <c r="N384" s="10" t="inlineStr">
        <is>
          <t>Não iniciado</t>
        </is>
      </c>
      <c r="O384" s="3" t="inlineStr">
        <is>
          <t>P1</t>
        </is>
      </c>
      <c r="P384" s="3" t="inlineStr">
        <is>
          <t>Médio</t>
        </is>
      </c>
      <c r="Q384" s="3" t="inlineStr">
        <is>
          <t>Obrigatória no escopo da versão</t>
        </is>
      </c>
      <c r="R384" s="10" t="inlineStr">
        <is>
          <t>Autor + agente de IA</t>
        </is>
      </c>
      <c r="S384" s="10" t="inlineStr"/>
      <c r="T384" s="11" t="inlineStr"/>
      <c r="U384" s="3" t="inlineStr">
        <is>
          <t>reports/S35/SL-S35-09.md</t>
        </is>
      </c>
      <c r="V384" s="10" t="inlineStr"/>
      <c r="W384" s="10" t="inlineStr"/>
      <c r="X384" s="3">
        <f>IF(N384="Concluído",IF(AND(S384&lt;&gt;"",ISNUMBER(T384),T384&gt;0,V384&lt;&gt;"",AND(OR(X383="OK",X383="DISPENSADO"))),"OK","REVISAR"),IF(N384="Dispensado (ADR)",IF(AND(LEFT(Q384,11)="Condicional",W384&lt;&gt;"",S384&lt;&gt;"",ISNUMBER(T384),T384&gt;0,V384&lt;&gt;""),"DISPENSADO","REVISAR"),"PENDENTE"))</f>
        <v/>
      </c>
      <c r="Y384" s="10" t="inlineStr"/>
    </row>
    <row r="385" ht="112" customHeight="1">
      <c r="A385" s="3" t="n">
        <v>384</v>
      </c>
      <c r="B385" s="3" t="inlineStr">
        <is>
          <t>SL-S35-10</t>
        </is>
      </c>
      <c r="C385" s="9" t="inlineStr">
        <is>
          <t>v0.6.0</t>
        </is>
      </c>
      <c r="D385" s="9" t="inlineStr">
        <is>
          <t>S35</t>
        </is>
      </c>
      <c r="E385" s="3" t="inlineStr">
        <is>
          <t>TaxonomyService / Jev</t>
        </is>
      </c>
      <c r="F385" s="3" t="inlineStr">
        <is>
          <t>Próprio</t>
        </is>
      </c>
      <c r="G385" s="3" t="inlineStr">
        <is>
          <t>Teste</t>
        </is>
      </c>
      <c r="H385" s="3" t="inlineStr">
        <is>
          <t>Avaliar português e casos ambíguos</t>
        </is>
      </c>
      <c r="I385" s="3" t="inlineStr">
        <is>
          <t>Medir categoria, multilabel, abstention e merges indevidos.</t>
        </is>
      </c>
      <c r="J385" s="3" t="inlineStr">
        <is>
          <t>reports/taxonomy/evaluation.json</t>
        </is>
      </c>
      <c r="K385" s="3" t="inlineStr">
        <is>
          <t>Regressões em corpus reservado impedem habilitar automação mais agressiva.</t>
        </is>
      </c>
      <c r="L385" s="3" t="inlineStr">
        <is>
          <t>SL-S35-09</t>
        </is>
      </c>
      <c r="M385" s="3" t="inlineStr">
        <is>
          <t>R02; R07; R18; R20; R28</t>
        </is>
      </c>
      <c r="N385" s="10" t="inlineStr">
        <is>
          <t>Não iniciado</t>
        </is>
      </c>
      <c r="O385" s="3" t="inlineStr">
        <is>
          <t>P1</t>
        </is>
      </c>
      <c r="P385" s="3" t="inlineStr">
        <is>
          <t>Médio</t>
        </is>
      </c>
      <c r="Q385" s="3" t="inlineStr">
        <is>
          <t>Obrigatória no escopo da versão</t>
        </is>
      </c>
      <c r="R385" s="10" t="inlineStr">
        <is>
          <t>Autor + agente de IA</t>
        </is>
      </c>
      <c r="S385" s="10" t="inlineStr"/>
      <c r="T385" s="11" t="inlineStr"/>
      <c r="U385" s="3" t="inlineStr">
        <is>
          <t>reports/S35/SL-S35-10.md</t>
        </is>
      </c>
      <c r="V385" s="10" t="inlineStr"/>
      <c r="W385" s="10" t="inlineStr"/>
      <c r="X385" s="3">
        <f>IF(N385="Concluído",IF(AND(S385&lt;&gt;"",ISNUMBER(T385),T385&gt;0,V385&lt;&gt;"",AND(OR(X384="OK",X384="DISPENSADO"))),"OK","REVISAR"),IF(N385="Dispensado (ADR)",IF(AND(LEFT(Q385,11)="Condicional",W385&lt;&gt;"",S385&lt;&gt;"",ISNUMBER(T385),T385&gt;0,V385&lt;&gt;""),"DISPENSADO","REVISAR"),"PENDENTE"))</f>
        <v/>
      </c>
      <c r="Y385" s="10" t="inlineStr"/>
    </row>
    <row r="386" ht="98" customHeight="1">
      <c r="A386" s="3" t="n">
        <v>385</v>
      </c>
      <c r="B386" s="12" t="inlineStr">
        <is>
          <t>SL-S35-GATE</t>
        </is>
      </c>
      <c r="C386" s="9" t="inlineStr">
        <is>
          <t>v0.6.0</t>
        </is>
      </c>
      <c r="D386" s="9" t="inlineStr">
        <is>
          <t>S35</t>
        </is>
      </c>
      <c r="E386" s="3" t="inlineStr">
        <is>
          <t>TaxonomyService / Jev</t>
        </is>
      </c>
      <c r="F386" s="3" t="inlineStr">
        <is>
          <t>Aceite humano</t>
        </is>
      </c>
      <c r="G386" s="12" t="inlineStr">
        <is>
          <t>Gate</t>
        </is>
      </c>
      <c r="H386" s="12" t="inlineStr">
        <is>
          <t>Aceitar S35 — Implementar taxonomia e fallback de classificação</t>
        </is>
      </c>
      <c r="I386" s="3" t="inlineStr">
        <is>
          <t>Revisar as dez tarefas, executar a demonstração do sprint, confrontar critérios e registrar decisão go/no-go.</t>
        </is>
      </c>
      <c r="J386" s="3" t="inlineStr">
        <is>
          <t>reports/S35/acceptance.md</t>
        </is>
      </c>
      <c r="K386" s="3" t="inlineStr">
        <is>
          <t>Aplicar sugestão, desfazer e manter classificação utilizável sem a API. Todas as dependências aceitas; evidências vinculadas a revisão/ambiente; nenhum blocker de integridade/segurança.</t>
        </is>
      </c>
      <c r="L386" s="3" t="inlineStr">
        <is>
          <t>SL-S35-01; SL-S35-02; SL-S35-03; SL-S35-04; SL-S35-05; SL-S35-06; SL-S35-07; SL-S35-08; SL-S35-09; SL-S35-10</t>
        </is>
      </c>
      <c r="M386" s="3" t="inlineStr">
        <is>
          <t>R02; R07; R18; R20; R28</t>
        </is>
      </c>
      <c r="N386" s="10" t="inlineStr">
        <is>
          <t>Não iniciado</t>
        </is>
      </c>
      <c r="O386" s="3" t="inlineStr">
        <is>
          <t>P0</t>
        </is>
      </c>
      <c r="P386" s="3" t="inlineStr">
        <is>
          <t>Médio</t>
        </is>
      </c>
      <c r="Q386" s="3" t="inlineStr">
        <is>
          <t>Obrigatória para fechar a versão aprovada</t>
        </is>
      </c>
      <c r="R386" s="10" t="inlineStr">
        <is>
          <t>Autor</t>
        </is>
      </c>
      <c r="S386" s="10" t="inlineStr"/>
      <c r="T386" s="11" t="inlineStr"/>
      <c r="U386" s="3" t="inlineStr">
        <is>
          <t>reports/S35/acceptance.md</t>
        </is>
      </c>
      <c r="V386" s="10" t="inlineStr"/>
      <c r="W386" s="10" t="inlineStr"/>
      <c r="X386" s="3">
        <f>IF(N386="Concluído",IF(AND(S386&lt;&gt;"",ISNUMBER(T386),T386&gt;0,V386&lt;&gt;"",AND(OR(X376="OK",X376="DISPENSADO"),OR(X377="OK",X377="DISPENSADO"),OR(X378="OK",X378="DISPENSADO"),OR(X379="OK",X379="DISPENSADO"),OR(X380="OK",X380="DISPENSADO"),OR(X381="OK",X381="DISPENSADO"),OR(X382="OK",X382="DISPENSADO"),OR(X383="OK",X383="DISPENSADO"),OR(X384="OK",X384="DISPENSADO"),OR(X385="OK",X385="DISPENSADO"))),"OK","REVISAR"),IF(N386="Dispensado (ADR)",IF(AND(LEFT(Q386,11)="Condicional",W386&lt;&gt;"",S386&lt;&gt;"",ISNUMBER(T386),T386&gt;0,V386&lt;&gt;""),"DISPENSADO","REVISAR"),"PENDENTE"))</f>
        <v/>
      </c>
      <c r="Y386" s="10" t="inlineStr"/>
    </row>
    <row r="387" ht="112" customHeight="1">
      <c r="A387" s="3" t="n">
        <v>386</v>
      </c>
      <c r="B387" s="3" t="inlineStr">
        <is>
          <t>SL-S36-01</t>
        </is>
      </c>
      <c r="C387" s="9" t="inlineStr">
        <is>
          <t>v0.6.0</t>
        </is>
      </c>
      <c r="D387" s="9" t="inlineStr">
        <is>
          <t>S36</t>
        </is>
      </c>
      <c r="E387" s="3" t="inlineStr">
        <is>
          <t>Transcrição / Ingest integrado</t>
        </is>
      </c>
      <c r="F387" s="3" t="inlineStr">
        <is>
          <t>Integração</t>
        </is>
      </c>
      <c r="G387" s="3" t="inlineStr">
        <is>
          <t>Upstream</t>
        </is>
      </c>
      <c r="H387" s="3" t="inlineStr">
        <is>
          <t>Fixar backend de transcrição</t>
        </is>
      </c>
      <c r="I387" s="3" t="inlineStr">
        <is>
          <t>Selecionar rota LocalAI/Whisper homologada e dependências de decodificação.</t>
        </is>
      </c>
      <c r="J387" s="3" t="inlineStr">
        <is>
          <t>upstream/transcription/manifest.json</t>
        </is>
      </c>
      <c r="K387" s="3" t="inlineStr">
        <is>
          <t>Licenças e binários auxiliares estão inventariados; suporte não é presumido por extensão.</t>
        </is>
      </c>
      <c r="L387" s="3" t="inlineStr">
        <is>
          <t>SL-S30-GATE; SL-S32-GATE; SL-S33-GATE; SL-S35-GATE</t>
        </is>
      </c>
      <c r="M387" s="3" t="inlineStr">
        <is>
          <t>R09; R14; R16; R18; R19; R27</t>
        </is>
      </c>
      <c r="N387" s="10" t="inlineStr">
        <is>
          <t>Não iniciado</t>
        </is>
      </c>
      <c r="O387" s="3" t="inlineStr">
        <is>
          <t>P1</t>
        </is>
      </c>
      <c r="P387" s="3" t="inlineStr">
        <is>
          <t>Alto</t>
        </is>
      </c>
      <c r="Q387" s="3" t="inlineStr">
        <is>
          <t>Obrigatória no escopo da versão</t>
        </is>
      </c>
      <c r="R387" s="10" t="inlineStr">
        <is>
          <t>Autor + agente de IA</t>
        </is>
      </c>
      <c r="S387" s="10" t="inlineStr"/>
      <c r="T387" s="11" t="inlineStr"/>
      <c r="U387" s="3" t="inlineStr">
        <is>
          <t>reports/S36/SL-S36-01.md</t>
        </is>
      </c>
      <c r="V387" s="10" t="inlineStr"/>
      <c r="W387" s="10" t="inlineStr"/>
      <c r="X387" s="3">
        <f>IF(N387="Concluído",IF(AND(S387&lt;&gt;"",ISNUMBER(T387),T387&gt;0,V387&lt;&gt;"",AND(OR(X331="OK",X331="DISPENSADO"),OR(X353="OK",X353="DISPENSADO"),OR(X364="OK",X364="DISPENSADO"),OR(X386="OK",X386="DISPENSADO"))),"OK","REVISAR"),IF(N387="Dispensado (ADR)",IF(AND(LEFT(Q387,11)="Condicional",W387&lt;&gt;"",S387&lt;&gt;"",ISNUMBER(T387),T387&gt;0,V387&lt;&gt;""),"DISPENSADO","REVISAR"),"PENDENTE"))</f>
        <v/>
      </c>
      <c r="Y387" s="10" t="inlineStr"/>
    </row>
    <row r="388" ht="112" customHeight="1">
      <c r="A388" s="3" t="n">
        <v>387</v>
      </c>
      <c r="B388" s="3" t="inlineStr">
        <is>
          <t>SL-S36-02</t>
        </is>
      </c>
      <c r="C388" s="9" t="inlineStr">
        <is>
          <t>v0.6.0</t>
        </is>
      </c>
      <c r="D388" s="9" t="inlineStr">
        <is>
          <t>S36</t>
        </is>
      </c>
      <c r="E388" s="3" t="inlineStr">
        <is>
          <t>Transcrição / Ingest integrado</t>
        </is>
      </c>
      <c r="F388" s="3" t="inlineStr">
        <is>
          <t>Integração</t>
        </is>
      </c>
      <c r="G388" s="3" t="inlineStr">
        <is>
          <t>Contrato</t>
        </is>
      </c>
      <c r="H388" s="3" t="inlineStr">
        <is>
          <t>Definir transcript e timestamps</t>
        </is>
      </c>
      <c r="I388" s="3" t="inlineStr">
        <is>
          <t>Modelar segmentos, idioma, revisão da fonte e cobertura parcial.</t>
        </is>
      </c>
      <c r="J388" s="3" t="inlineStr">
        <is>
          <t>schemas/transcript-v0.json</t>
        </is>
      </c>
      <c r="K388" s="3" t="inlineStr">
        <is>
          <t>Segmento cita tempo e arquivo/hash corretos; diarização não é prometida sem implementação.</t>
        </is>
      </c>
      <c r="L388" s="3" t="inlineStr">
        <is>
          <t>SL-S36-01</t>
        </is>
      </c>
      <c r="M388" s="3" t="inlineStr">
        <is>
          <t>R09; R14; R16; R18; R19; R27</t>
        </is>
      </c>
      <c r="N388" s="10" t="inlineStr">
        <is>
          <t>Não iniciado</t>
        </is>
      </c>
      <c r="O388" s="3" t="inlineStr">
        <is>
          <t>P0</t>
        </is>
      </c>
      <c r="P388" s="3" t="inlineStr">
        <is>
          <t>Alto</t>
        </is>
      </c>
      <c r="Q388" s="3" t="inlineStr">
        <is>
          <t>Obrigatória no escopo da versão</t>
        </is>
      </c>
      <c r="R388" s="10" t="inlineStr">
        <is>
          <t>Autor + agente de IA</t>
        </is>
      </c>
      <c r="S388" s="10" t="inlineStr"/>
      <c r="T388" s="11" t="inlineStr"/>
      <c r="U388" s="3" t="inlineStr">
        <is>
          <t>reports/S36/SL-S36-02.md</t>
        </is>
      </c>
      <c r="V388" s="10" t="inlineStr"/>
      <c r="W388" s="10" t="inlineStr"/>
      <c r="X388" s="3">
        <f>IF(N388="Concluído",IF(AND(S388&lt;&gt;"",ISNUMBER(T388),T388&gt;0,V388&lt;&gt;"",AND(OR(X387="OK",X387="DISPENSADO"))),"OK","REVISAR"),IF(N388="Dispensado (ADR)",IF(AND(LEFT(Q388,11)="Condicional",W388&lt;&gt;"",S388&lt;&gt;"",ISNUMBER(T388),T388&gt;0,V388&lt;&gt;""),"DISPENSADO","REVISAR"),"PENDENTE"))</f>
        <v/>
      </c>
      <c r="Y388" s="10" t="inlineStr"/>
    </row>
    <row r="389" ht="112" customHeight="1">
      <c r="A389" s="3" t="n">
        <v>388</v>
      </c>
      <c r="B389" s="3" t="inlineStr">
        <is>
          <t>SL-S36-03</t>
        </is>
      </c>
      <c r="C389" s="9" t="inlineStr">
        <is>
          <t>v0.6.0</t>
        </is>
      </c>
      <c r="D389" s="9" t="inlineStr">
        <is>
          <t>S36</t>
        </is>
      </c>
      <c r="E389" s="3" t="inlineStr">
        <is>
          <t>Transcrição / Ingest integrado</t>
        </is>
      </c>
      <c r="F389" s="3" t="inlineStr">
        <is>
          <t>Integração</t>
        </is>
      </c>
      <c r="G389" s="3" t="inlineStr">
        <is>
          <t>Implementação</t>
        </is>
      </c>
      <c r="H389" s="3" t="inlineStr">
        <is>
          <t>Preparar áudio com limites</t>
        </is>
      </c>
      <c r="I389" s="3" t="inlineStr">
        <is>
          <t>Decodificar/normalizar em worker autorizado e controlar arquivos temporários.</t>
        </is>
      </c>
      <c r="J389" s="3" t="inlineStr">
        <is>
          <t>workers/transcription/input/</t>
        </is>
      </c>
      <c r="K389" s="3" t="inlineStr">
        <is>
          <t>Arquivo corrompido ou excessivo não trava Core nem executa comando montado com entrada não confiável.</t>
        </is>
      </c>
      <c r="L389" s="3" t="inlineStr">
        <is>
          <t>SL-S36-02</t>
        </is>
      </c>
      <c r="M389" s="3" t="inlineStr">
        <is>
          <t>R09; R14; R16; R18; R19; R27</t>
        </is>
      </c>
      <c r="N389" s="10" t="inlineStr">
        <is>
          <t>Não iniciado</t>
        </is>
      </c>
      <c r="O389" s="3" t="inlineStr">
        <is>
          <t>P1</t>
        </is>
      </c>
      <c r="P389" s="3" t="inlineStr">
        <is>
          <t>Alto</t>
        </is>
      </c>
      <c r="Q389" s="3" t="inlineStr">
        <is>
          <t>Obrigatória no escopo da versão</t>
        </is>
      </c>
      <c r="R389" s="10" t="inlineStr">
        <is>
          <t>Autor + agente de IA</t>
        </is>
      </c>
      <c r="S389" s="10" t="inlineStr"/>
      <c r="T389" s="11" t="inlineStr"/>
      <c r="U389" s="3" t="inlineStr">
        <is>
          <t>reports/S36/SL-S36-03.md</t>
        </is>
      </c>
      <c r="V389" s="10" t="inlineStr"/>
      <c r="W389" s="10" t="inlineStr"/>
      <c r="X389" s="3">
        <f>IF(N389="Concluído",IF(AND(S389&lt;&gt;"",ISNUMBER(T389),T389&gt;0,V389&lt;&gt;"",AND(OR(X388="OK",X388="DISPENSADO"))),"OK","REVISAR"),IF(N389="Dispensado (ADR)",IF(AND(LEFT(Q389,11)="Condicional",W389&lt;&gt;"",S389&lt;&gt;"",ISNUMBER(T389),T389&gt;0,V389&lt;&gt;""),"DISPENSADO","REVISAR"),"PENDENTE"))</f>
        <v/>
      </c>
      <c r="Y389" s="10" t="inlineStr"/>
    </row>
    <row r="390" ht="112" customHeight="1">
      <c r="A390" s="3" t="n">
        <v>389</v>
      </c>
      <c r="B390" s="3" t="inlineStr">
        <is>
          <t>SL-S36-04</t>
        </is>
      </c>
      <c r="C390" s="9" t="inlineStr">
        <is>
          <t>v0.6.0</t>
        </is>
      </c>
      <c r="D390" s="9" t="inlineStr">
        <is>
          <t>S36</t>
        </is>
      </c>
      <c r="E390" s="3" t="inlineStr">
        <is>
          <t>Transcrição / Ingest integrado</t>
        </is>
      </c>
      <c r="F390" s="3" t="inlineStr">
        <is>
          <t>Integração</t>
        </is>
      </c>
      <c r="G390" s="3" t="inlineStr">
        <is>
          <t>Implementação</t>
        </is>
      </c>
      <c r="H390" s="3" t="inlineStr">
        <is>
          <t>Executar transcrição</t>
        </is>
      </c>
      <c r="I390" s="3" t="inlineStr">
        <is>
          <t>Integrar backend por jobs e orçamento, com cancelamento real.</t>
        </is>
      </c>
      <c r="J390" s="3" t="inlineStr">
        <is>
          <t>workers/transcription/adapter/</t>
        </is>
      </c>
      <c r="K390" s="3" t="inlineStr">
        <is>
          <t>Tarefa interrompida libera recursos e conserva original/segmentos aproveitáveis conforme contrato.</t>
        </is>
      </c>
      <c r="L390" s="3" t="inlineStr">
        <is>
          <t>SL-S36-03</t>
        </is>
      </c>
      <c r="M390" s="3" t="inlineStr">
        <is>
          <t>R09; R14; R16; R18; R19; R27</t>
        </is>
      </c>
      <c r="N390" s="10" t="inlineStr">
        <is>
          <t>Não iniciado</t>
        </is>
      </c>
      <c r="O390" s="3" t="inlineStr">
        <is>
          <t>P1</t>
        </is>
      </c>
      <c r="P390" s="3" t="inlineStr">
        <is>
          <t>Alto</t>
        </is>
      </c>
      <c r="Q390" s="3" t="inlineStr">
        <is>
          <t>Obrigatória no escopo da versão</t>
        </is>
      </c>
      <c r="R390" s="10" t="inlineStr">
        <is>
          <t>Autor + agente de IA</t>
        </is>
      </c>
      <c r="S390" s="10" t="inlineStr"/>
      <c r="T390" s="11" t="inlineStr"/>
      <c r="U390" s="3" t="inlineStr">
        <is>
          <t>reports/S36/SL-S36-04.md</t>
        </is>
      </c>
      <c r="V390" s="10" t="inlineStr"/>
      <c r="W390" s="10" t="inlineStr"/>
      <c r="X390" s="3">
        <f>IF(N390="Concluído",IF(AND(S390&lt;&gt;"",ISNUMBER(T390),T390&gt;0,V390&lt;&gt;"",AND(OR(X389="OK",X389="DISPENSADO"))),"OK","REVISAR"),IF(N390="Dispensado (ADR)",IF(AND(LEFT(Q390,11)="Condicional",W390&lt;&gt;"",S390&lt;&gt;"",ISNUMBER(T390),T390&gt;0,V390&lt;&gt;""),"DISPENSADO","REVISAR"),"PENDENTE"))</f>
        <v/>
      </c>
      <c r="Y390" s="10" t="inlineStr"/>
    </row>
    <row r="391" ht="112" customHeight="1">
      <c r="A391" s="3" t="n">
        <v>390</v>
      </c>
      <c r="B391" s="3" t="inlineStr">
        <is>
          <t>SL-S36-05</t>
        </is>
      </c>
      <c r="C391" s="9" t="inlineStr">
        <is>
          <t>v0.6.0</t>
        </is>
      </c>
      <c r="D391" s="9" t="inlineStr">
        <is>
          <t>S36</t>
        </is>
      </c>
      <c r="E391" s="3" t="inlineStr">
        <is>
          <t>Transcrição / Ingest integrado</t>
        </is>
      </c>
      <c r="F391" s="3" t="inlineStr">
        <is>
          <t>Integração</t>
        </is>
      </c>
      <c r="G391" s="3" t="inlineStr">
        <is>
          <t>Implementação</t>
        </is>
      </c>
      <c r="H391" s="3" t="inlineStr">
        <is>
          <t>Persistir texto corrigível</t>
        </is>
      </c>
      <c r="I391" s="3" t="inlineStr">
        <is>
          <t>Manter transcrição gerada e revisão humana separadas.</t>
        </is>
      </c>
      <c r="J391" s="3" t="inlineStr">
        <is>
          <t>crates/ingest/src/transcripts.rs</t>
        </is>
      </c>
      <c r="K391" s="3" t="inlineStr">
        <is>
          <t>Reprocessamento não apaga correções manuais nem perde timestamps originais.</t>
        </is>
      </c>
      <c r="L391" s="3" t="inlineStr">
        <is>
          <t>SL-S36-04</t>
        </is>
      </c>
      <c r="M391" s="3" t="inlineStr">
        <is>
          <t>R09; R14; R16; R18; R19; R27</t>
        </is>
      </c>
      <c r="N391" s="10" t="inlineStr">
        <is>
          <t>Não iniciado</t>
        </is>
      </c>
      <c r="O391" s="3" t="inlineStr">
        <is>
          <t>P1</t>
        </is>
      </c>
      <c r="P391" s="3" t="inlineStr">
        <is>
          <t>Alto</t>
        </is>
      </c>
      <c r="Q391" s="3" t="inlineStr">
        <is>
          <t>Obrigatória no escopo da versão</t>
        </is>
      </c>
      <c r="R391" s="10" t="inlineStr">
        <is>
          <t>Autor + agente de IA</t>
        </is>
      </c>
      <c r="S391" s="10" t="inlineStr"/>
      <c r="T391" s="11" t="inlineStr"/>
      <c r="U391" s="3" t="inlineStr">
        <is>
          <t>reports/S36/SL-S36-05.md</t>
        </is>
      </c>
      <c r="V391" s="10" t="inlineStr"/>
      <c r="W391" s="10" t="inlineStr"/>
      <c r="X391" s="3">
        <f>IF(N391="Concluído",IF(AND(S391&lt;&gt;"",ISNUMBER(T391),T391&gt;0,V391&lt;&gt;"",AND(OR(X390="OK",X390="DISPENSADO"))),"OK","REVISAR"),IF(N391="Dispensado (ADR)",IF(AND(LEFT(Q391,11)="Condicional",W391&lt;&gt;"",S391&lt;&gt;"",ISNUMBER(T391),T391&gt;0,V391&lt;&gt;""),"DISPENSADO","REVISAR"),"PENDENTE"))</f>
        <v/>
      </c>
      <c r="Y391" s="10" t="inlineStr"/>
    </row>
    <row r="392" ht="112" customHeight="1">
      <c r="A392" s="3" t="n">
        <v>391</v>
      </c>
      <c r="B392" s="3" t="inlineStr">
        <is>
          <t>SL-S36-06</t>
        </is>
      </c>
      <c r="C392" s="9" t="inlineStr">
        <is>
          <t>v0.6.0</t>
        </is>
      </c>
      <c r="D392" s="9" t="inlineStr">
        <is>
          <t>S36</t>
        </is>
      </c>
      <c r="E392" s="3" t="inlineStr">
        <is>
          <t>Transcrição / Ingest integrado</t>
        </is>
      </c>
      <c r="F392" s="3" t="inlineStr">
        <is>
          <t>Integração</t>
        </is>
      </c>
      <c r="G392" s="3" t="inlineStr">
        <is>
          <t>Implementação</t>
        </is>
      </c>
      <c r="H392" s="3" t="inlineStr">
        <is>
          <t>Unificar estados de enriquecimento</t>
        </is>
      </c>
      <c r="I392" s="3" t="inlineStr">
        <is>
          <t>Acompanhar extração, resumo, classificação e embeddings independentemente.</t>
        </is>
      </c>
      <c r="J392" s="3" t="inlineStr">
        <is>
          <t>crates/ingest/src/enrichment_state.rs</t>
        </is>
      </c>
      <c r="K392" s="3" t="inlineStr">
        <is>
          <t>Falha em uma etapa não falsifica sucesso das demais ou bloqueia leitura do item.</t>
        </is>
      </c>
      <c r="L392" s="3" t="inlineStr">
        <is>
          <t>SL-S36-05</t>
        </is>
      </c>
      <c r="M392" s="3" t="inlineStr">
        <is>
          <t>R09; R14; R16; R18; R19; R27</t>
        </is>
      </c>
      <c r="N392" s="10" t="inlineStr">
        <is>
          <t>Não iniciado</t>
        </is>
      </c>
      <c r="O392" s="3" t="inlineStr">
        <is>
          <t>P1</t>
        </is>
      </c>
      <c r="P392" s="3" t="inlineStr">
        <is>
          <t>Alto</t>
        </is>
      </c>
      <c r="Q392" s="3" t="inlineStr">
        <is>
          <t>Obrigatória no escopo da versão</t>
        </is>
      </c>
      <c r="R392" s="10" t="inlineStr">
        <is>
          <t>Autor + agente de IA</t>
        </is>
      </c>
      <c r="S392" s="10" t="inlineStr"/>
      <c r="T392" s="11" t="inlineStr"/>
      <c r="U392" s="3" t="inlineStr">
        <is>
          <t>reports/S36/SL-S36-06.md</t>
        </is>
      </c>
      <c r="V392" s="10" t="inlineStr"/>
      <c r="W392" s="10" t="inlineStr"/>
      <c r="X392" s="3">
        <f>IF(N392="Concluído",IF(AND(S392&lt;&gt;"",ISNUMBER(T392),T392&gt;0,V392&lt;&gt;"",AND(OR(X391="OK",X391="DISPENSADO"))),"OK","REVISAR"),IF(N392="Dispensado (ADR)",IF(AND(LEFT(Q392,11)="Condicional",W392&lt;&gt;"",S392&lt;&gt;"",ISNUMBER(T392),T392&gt;0,V392&lt;&gt;""),"DISPENSADO","REVISAR"),"PENDENTE"))</f>
        <v/>
      </c>
      <c r="Y392" s="10" t="inlineStr"/>
    </row>
    <row r="393" ht="112" customHeight="1">
      <c r="A393" s="3" t="n">
        <v>392</v>
      </c>
      <c r="B393" s="3" t="inlineStr">
        <is>
          <t>SL-S36-07</t>
        </is>
      </c>
      <c r="C393" s="9" t="inlineStr">
        <is>
          <t>v0.6.0</t>
        </is>
      </c>
      <c r="D393" s="9" t="inlineStr">
        <is>
          <t>S36</t>
        </is>
      </c>
      <c r="E393" s="3" t="inlineStr">
        <is>
          <t>Transcrição / Ingest integrado</t>
        </is>
      </c>
      <c r="F393" s="3" t="inlineStr">
        <is>
          <t>Integração</t>
        </is>
      </c>
      <c r="G393" s="3" t="inlineStr">
        <is>
          <t>Implementação</t>
        </is>
      </c>
      <c r="H393" s="3" t="inlineStr">
        <is>
          <t>Evitar competição de modelos</t>
        </is>
      </c>
      <c r="I393" s="3" t="inlineStr">
        <is>
          <t>Priorizar UI e reagendar OCR/STT/geração conforme perfil.</t>
        </is>
      </c>
      <c r="J393" s="3" t="inlineStr">
        <is>
          <t>crates/jobs/src/model_scheduling.rs</t>
        </is>
      </c>
      <c r="K393" s="3" t="inlineStr">
        <is>
          <t>Workloads simultâneos não ultrapassam política aprovada por serem jobs independentes.</t>
        </is>
      </c>
      <c r="L393" s="3" t="inlineStr">
        <is>
          <t>SL-S36-06</t>
        </is>
      </c>
      <c r="M393" s="3" t="inlineStr">
        <is>
          <t>R09; R14; R16; R18; R19; R27</t>
        </is>
      </c>
      <c r="N393" s="10" t="inlineStr">
        <is>
          <t>Não iniciado</t>
        </is>
      </c>
      <c r="O393" s="3" t="inlineStr">
        <is>
          <t>P1</t>
        </is>
      </c>
      <c r="P393" s="3" t="inlineStr">
        <is>
          <t>Alto</t>
        </is>
      </c>
      <c r="Q393" s="3" t="inlineStr">
        <is>
          <t>Obrigatória no escopo da versão</t>
        </is>
      </c>
      <c r="R393" s="10" t="inlineStr">
        <is>
          <t>Autor + agente de IA</t>
        </is>
      </c>
      <c r="S393" s="10" t="inlineStr"/>
      <c r="T393" s="11" t="inlineStr"/>
      <c r="U393" s="3" t="inlineStr">
        <is>
          <t>reports/S36/SL-S36-07.md</t>
        </is>
      </c>
      <c r="V393" s="10" t="inlineStr"/>
      <c r="W393" s="10" t="inlineStr"/>
      <c r="X393" s="3">
        <f>IF(N393="Concluído",IF(AND(S393&lt;&gt;"",ISNUMBER(T393),T393&gt;0,V393&lt;&gt;"",AND(OR(X392="OK",X392="DISPENSADO"))),"OK","REVISAR"),IF(N393="Dispensado (ADR)",IF(AND(LEFT(Q393,11)="Condicional",W393&lt;&gt;"",S393&lt;&gt;"",ISNUMBER(T393),T393&gt;0,V393&lt;&gt;""),"DISPENSADO","REVISAR"),"PENDENTE"))</f>
        <v/>
      </c>
      <c r="Y393" s="10" t="inlineStr"/>
    </row>
    <row r="394" ht="112" customHeight="1">
      <c r="A394" s="3" t="n">
        <v>393</v>
      </c>
      <c r="B394" s="3" t="inlineStr">
        <is>
          <t>SL-S36-08</t>
        </is>
      </c>
      <c r="C394" s="9" t="inlineStr">
        <is>
          <t>v0.6.0</t>
        </is>
      </c>
      <c r="D394" s="9" t="inlineStr">
        <is>
          <t>S36</t>
        </is>
      </c>
      <c r="E394" s="3" t="inlineStr">
        <is>
          <t>Transcrição / Ingest integrado</t>
        </is>
      </c>
      <c r="F394" s="3" t="inlineStr">
        <is>
          <t>Integração</t>
        </is>
      </c>
      <c r="G394" s="3" t="inlineStr">
        <is>
          <t>Teste</t>
        </is>
      </c>
      <c r="H394" s="3" t="inlineStr">
        <is>
          <t>Avaliar transcrição portuguesa</t>
        </is>
      </c>
      <c r="I394" s="3" t="inlineStr">
        <is>
          <t>Medir erros e alinhamento temporal no corpus reservado.</t>
        </is>
      </c>
      <c r="J394" s="3" t="inlineStr">
        <is>
          <t>reports/transcription/qualification.json</t>
        </is>
      </c>
      <c r="K394" s="3" t="inlineStr">
        <is>
          <t>Limitações de idioma/ruído são expostas; transcrição não é tratada como citação perfeita sem revisão.</t>
        </is>
      </c>
      <c r="L394" s="3" t="inlineStr">
        <is>
          <t>SL-S36-07</t>
        </is>
      </c>
      <c r="M394" s="3" t="inlineStr">
        <is>
          <t>R09; R14; R16; R18; R19; R27</t>
        </is>
      </c>
      <c r="N394" s="10" t="inlineStr">
        <is>
          <t>Não iniciado</t>
        </is>
      </c>
      <c r="O394" s="3" t="inlineStr">
        <is>
          <t>P1</t>
        </is>
      </c>
      <c r="P394" s="3" t="inlineStr">
        <is>
          <t>Alto</t>
        </is>
      </c>
      <c r="Q394" s="3" t="inlineStr">
        <is>
          <t>Obrigatória no escopo da versão</t>
        </is>
      </c>
      <c r="R394" s="10" t="inlineStr">
        <is>
          <t>Autor + agente de IA</t>
        </is>
      </c>
      <c r="S394" s="10" t="inlineStr"/>
      <c r="T394" s="11" t="inlineStr"/>
      <c r="U394" s="3" t="inlineStr">
        <is>
          <t>reports/S36/SL-S36-08.md</t>
        </is>
      </c>
      <c r="V394" s="10" t="inlineStr"/>
      <c r="W394" s="10" t="inlineStr"/>
      <c r="X394" s="3">
        <f>IF(N394="Concluído",IF(AND(S394&lt;&gt;"",ISNUMBER(T394),T394&gt;0,V394&lt;&gt;"",AND(OR(X393="OK",X393="DISPENSADO"))),"OK","REVISAR"),IF(N394="Dispensado (ADR)",IF(AND(LEFT(Q394,11)="Condicional",W394&lt;&gt;"",S394&lt;&gt;"",ISNUMBER(T394),T394&gt;0,V394&lt;&gt;""),"DISPENSADO","REVISAR"),"PENDENTE"))</f>
        <v/>
      </c>
      <c r="Y394" s="10" t="inlineStr"/>
    </row>
    <row r="395" ht="112" customHeight="1">
      <c r="A395" s="3" t="n">
        <v>394</v>
      </c>
      <c r="B395" s="3" t="inlineStr">
        <is>
          <t>SL-S36-09</t>
        </is>
      </c>
      <c r="C395" s="9" t="inlineStr">
        <is>
          <t>v0.6.0</t>
        </is>
      </c>
      <c r="D395" s="9" t="inlineStr">
        <is>
          <t>S36</t>
        </is>
      </c>
      <c r="E395" s="3" t="inlineStr">
        <is>
          <t>Transcrição / Ingest integrado</t>
        </is>
      </c>
      <c r="F395" s="3" t="inlineStr">
        <is>
          <t>Integração</t>
        </is>
      </c>
      <c r="G395" s="3" t="inlineStr">
        <is>
          <t>Teste</t>
        </is>
      </c>
      <c r="H395" s="3" t="inlineStr">
        <is>
          <t>Executar jornada sem chave/rede</t>
        </is>
      </c>
      <c r="I395" s="3" t="inlineStr">
        <is>
          <t>Classificar por fallback, resumir localmente e transcrever com artefatos instalados.</t>
        </is>
      </c>
      <c r="J395" s="3" t="inlineStr">
        <is>
          <t>reports/v0.6/offline-enrichment.md</t>
        </is>
      </c>
      <c r="K395" s="3" t="inlineStr">
        <is>
          <t>Ausência Jev/BYOK não provoca requisição escondida ou perda de captura.</t>
        </is>
      </c>
      <c r="L395" s="3" t="inlineStr">
        <is>
          <t>SL-S36-08</t>
        </is>
      </c>
      <c r="M395" s="3" t="inlineStr">
        <is>
          <t>R09; R14; R16; R18; R19; R27</t>
        </is>
      </c>
      <c r="N395" s="10" t="inlineStr">
        <is>
          <t>Não iniciado</t>
        </is>
      </c>
      <c r="O395" s="3" t="inlineStr">
        <is>
          <t>P1</t>
        </is>
      </c>
      <c r="P395" s="3" t="inlineStr">
        <is>
          <t>Alto</t>
        </is>
      </c>
      <c r="Q395" s="3" t="inlineStr">
        <is>
          <t>Obrigatória no escopo da versão</t>
        </is>
      </c>
      <c r="R395" s="10" t="inlineStr">
        <is>
          <t>Autor + agente de IA</t>
        </is>
      </c>
      <c r="S395" s="10" t="inlineStr"/>
      <c r="T395" s="11" t="inlineStr"/>
      <c r="U395" s="3" t="inlineStr">
        <is>
          <t>reports/S36/SL-S36-09.md</t>
        </is>
      </c>
      <c r="V395" s="10" t="inlineStr"/>
      <c r="W395" s="10" t="inlineStr"/>
      <c r="X395" s="3">
        <f>IF(N395="Concluído",IF(AND(S395&lt;&gt;"",ISNUMBER(T395),T395&gt;0,V395&lt;&gt;"",AND(OR(X394="OK",X394="DISPENSADO"))),"OK","REVISAR"),IF(N395="Dispensado (ADR)",IF(AND(LEFT(Q395,11)="Condicional",W395&lt;&gt;"",S395&lt;&gt;"",ISNUMBER(T395),T395&gt;0,V395&lt;&gt;""),"DISPENSADO","REVISAR"),"PENDENTE"))</f>
        <v/>
      </c>
      <c r="Y395" s="10" t="inlineStr"/>
    </row>
    <row r="396" ht="112" customHeight="1">
      <c r="A396" s="3" t="n">
        <v>395</v>
      </c>
      <c r="B396" s="3" t="inlineStr">
        <is>
          <t>SL-S36-10</t>
        </is>
      </c>
      <c r="C396" s="9" t="inlineStr">
        <is>
          <t>v0.6.0</t>
        </is>
      </c>
      <c r="D396" s="9" t="inlineStr">
        <is>
          <t>S36</t>
        </is>
      </c>
      <c r="E396" s="3" t="inlineStr">
        <is>
          <t>Transcrição / Ingest integrado</t>
        </is>
      </c>
      <c r="F396" s="3" t="inlineStr">
        <is>
          <t>Integração</t>
        </is>
      </c>
      <c r="G396" s="3" t="inlineStr">
        <is>
          <t>Release</t>
        </is>
      </c>
      <c r="H396" s="3" t="inlineStr">
        <is>
          <t>Publicar alpha assistida</t>
        </is>
      </c>
      <c r="I396" s="3" t="inlineStr">
        <is>
          <t>Empacotar perfis aprovados, diagnóstico de modelo e documentação de consentimento.</t>
        </is>
      </c>
      <c r="J396" s="3" t="inlineStr">
        <is>
          <t>release/v0.6.0/</t>
        </is>
      </c>
      <c r="K396" s="3" t="inlineStr">
        <is>
          <t>Capacidade só é anunciada nos alvos/perfis em que foi testada.</t>
        </is>
      </c>
      <c r="L396" s="3" t="inlineStr">
        <is>
          <t>SL-S36-09</t>
        </is>
      </c>
      <c r="M396" s="3" t="inlineStr">
        <is>
          <t>R09; R14; R16; R18; R19; R27</t>
        </is>
      </c>
      <c r="N396" s="10" t="inlineStr">
        <is>
          <t>Não iniciado</t>
        </is>
      </c>
      <c r="O396" s="3" t="inlineStr">
        <is>
          <t>P1</t>
        </is>
      </c>
      <c r="P396" s="3" t="inlineStr">
        <is>
          <t>Alto</t>
        </is>
      </c>
      <c r="Q396" s="3" t="inlineStr">
        <is>
          <t>Obrigatória no escopo da versão</t>
        </is>
      </c>
      <c r="R396" s="10" t="inlineStr">
        <is>
          <t>Autor</t>
        </is>
      </c>
      <c r="S396" s="10" t="inlineStr"/>
      <c r="T396" s="11" t="inlineStr"/>
      <c r="U396" s="3" t="inlineStr">
        <is>
          <t>reports/S36/SL-S36-10.md</t>
        </is>
      </c>
      <c r="V396" s="10" t="inlineStr"/>
      <c r="W396" s="10" t="inlineStr"/>
      <c r="X396" s="3">
        <f>IF(N396="Concluído",IF(AND(S396&lt;&gt;"",ISNUMBER(T396),T396&gt;0,V396&lt;&gt;"",AND(OR(X395="OK",X395="DISPENSADO"))),"OK","REVISAR"),IF(N396="Dispensado (ADR)",IF(AND(LEFT(Q396,11)="Condicional",W396&lt;&gt;"",S396&lt;&gt;"",ISNUMBER(T396),T396&gt;0,V396&lt;&gt;""),"DISPENSADO","REVISAR"),"PENDENTE"))</f>
        <v/>
      </c>
      <c r="Y396" s="10" t="inlineStr"/>
    </row>
    <row r="397" ht="98" customHeight="1">
      <c r="A397" s="3" t="n">
        <v>396</v>
      </c>
      <c r="B397" s="12" t="inlineStr">
        <is>
          <t>SL-S36-GATE</t>
        </is>
      </c>
      <c r="C397" s="9" t="inlineStr">
        <is>
          <t>v0.6.0</t>
        </is>
      </c>
      <c r="D397" s="9" t="inlineStr">
        <is>
          <t>S36</t>
        </is>
      </c>
      <c r="E397" s="3" t="inlineStr">
        <is>
          <t>Transcrição / Ingest integrado</t>
        </is>
      </c>
      <c r="F397" s="3" t="inlineStr">
        <is>
          <t>Aceite humano</t>
        </is>
      </c>
      <c r="G397" s="12" t="inlineStr">
        <is>
          <t>Gate</t>
        </is>
      </c>
      <c r="H397" s="12" t="inlineStr">
        <is>
          <t>Aceitar S36 — Transcrever mídia e concluir enriquecimento do Ingest</t>
        </is>
      </c>
      <c r="I397" s="3" t="inlineStr">
        <is>
          <t>Revisar as dez tarefas, executar a demonstração do sprint, confrontar critérios e registrar decisão go/no-go.</t>
        </is>
      </c>
      <c r="J397" s="3" t="inlineStr">
        <is>
          <t>reports/S36/acceptance.md</t>
        </is>
      </c>
      <c r="K397" s="3" t="inlineStr">
        <is>
          <t>Importar áudio e documento, continuar editando e acompanhar cada resultado separadamente. Todas as dependências aceitas; evidências vinculadas a revisão/ambiente; nenhum blocker de integridade/segurança.</t>
        </is>
      </c>
      <c r="L397" s="3" t="inlineStr">
        <is>
          <t>SL-S36-01; SL-S36-02; SL-S36-03; SL-S36-04; SL-S36-05; SL-S36-06; SL-S36-07; SL-S36-08; SL-S36-09; SL-S36-10</t>
        </is>
      </c>
      <c r="M397" s="3" t="inlineStr">
        <is>
          <t>R09; R14; R16; R18; R19; R27</t>
        </is>
      </c>
      <c r="N397" s="10" t="inlineStr">
        <is>
          <t>Não iniciado</t>
        </is>
      </c>
      <c r="O397" s="3" t="inlineStr">
        <is>
          <t>P0</t>
        </is>
      </c>
      <c r="P397" s="3" t="inlineStr">
        <is>
          <t>Alto</t>
        </is>
      </c>
      <c r="Q397" s="3" t="inlineStr">
        <is>
          <t>Obrigatória para fechar a versão aprovada</t>
        </is>
      </c>
      <c r="R397" s="10" t="inlineStr">
        <is>
          <t>Autor</t>
        </is>
      </c>
      <c r="S397" s="10" t="inlineStr"/>
      <c r="T397" s="11" t="inlineStr"/>
      <c r="U397" s="3" t="inlineStr">
        <is>
          <t>reports/S36/acceptance.md</t>
        </is>
      </c>
      <c r="V397" s="10" t="inlineStr"/>
      <c r="W397" s="10" t="inlineStr"/>
      <c r="X397" s="3">
        <f>IF(N397="Concluído",IF(AND(S397&lt;&gt;"",ISNUMBER(T397),T397&gt;0,V397&lt;&gt;"",AND(OR(X387="OK",X387="DISPENSADO"),OR(X388="OK",X388="DISPENSADO"),OR(X389="OK",X389="DISPENSADO"),OR(X390="OK",X390="DISPENSADO"),OR(X391="OK",X391="DISPENSADO"),OR(X392="OK",X392="DISPENSADO"),OR(X393="OK",X393="DISPENSADO"),OR(X394="OK",X394="DISPENSADO"),OR(X395="OK",X395="DISPENSADO"),OR(X396="OK",X396="DISPENSADO"))),"OK","REVISAR"),IF(N397="Dispensado (ADR)",IF(AND(LEFT(Q397,11)="Condicional",W397&lt;&gt;"",S397&lt;&gt;"",ISNUMBER(T397),T397&gt;0,V397&lt;&gt;""),"DISPENSADO","REVISAR"),"PENDENTE"))</f>
        <v/>
      </c>
      <c r="Y397" s="10" t="inlineStr"/>
    </row>
    <row r="398" ht="112" customHeight="1">
      <c r="A398" s="3" t="n">
        <v>397</v>
      </c>
      <c r="B398" s="3" t="inlineStr">
        <is>
          <t>SL-S37-01</t>
        </is>
      </c>
      <c r="C398" s="9" t="inlineStr">
        <is>
          <t>v0.7.0</t>
        </is>
      </c>
      <c r="D398" s="9" t="inlineStr">
        <is>
          <t>S37</t>
        </is>
      </c>
      <c r="E398" s="3" t="inlineStr">
        <is>
          <t>SearchService / avaliação</t>
        </is>
      </c>
      <c r="F398" s="3" t="inlineStr">
        <is>
          <t>Próprio</t>
        </is>
      </c>
      <c r="G398" s="3" t="inlineStr">
        <is>
          <t>Contrato</t>
        </is>
      </c>
      <c r="H398" s="3" t="inlineStr">
        <is>
          <t>Definir SearchDocument</t>
        </is>
      </c>
      <c r="I398" s="3" t="inlineStr">
        <is>
          <t>Identificar item, tipo, escopo, revisão, bloco, localizador e estado editorial.</t>
        </is>
      </c>
      <c r="J398" s="3" t="inlineStr">
        <is>
          <t>schemas/search-document-v0.json</t>
        </is>
      </c>
      <c r="K398" s="3" t="inlineStr">
        <is>
          <t>Peça derivada e fonte externa podem ser filtradas separadamente.</t>
        </is>
      </c>
      <c r="L398" s="3" t="inlineStr">
        <is>
          <t>SL-S05-GATE; SL-S10-GATE; SL-S22-GATE; SL-S32-GATE; SL-S36-GATE</t>
        </is>
      </c>
      <c r="M398" s="3" t="inlineStr">
        <is>
          <t>R02; R20; R21; R34</t>
        </is>
      </c>
      <c r="N398" s="10" t="inlineStr">
        <is>
          <t>Não iniciado</t>
        </is>
      </c>
      <c r="O398" s="3" t="inlineStr">
        <is>
          <t>P0</t>
        </is>
      </c>
      <c r="P398" s="3" t="inlineStr">
        <is>
          <t>Médio</t>
        </is>
      </c>
      <c r="Q398" s="3" t="inlineStr">
        <is>
          <t>Obrigatória no escopo da versão</t>
        </is>
      </c>
      <c r="R398" s="10" t="inlineStr">
        <is>
          <t>Autor + agente de IA</t>
        </is>
      </c>
      <c r="S398" s="10" t="inlineStr"/>
      <c r="T398" s="11" t="inlineStr"/>
      <c r="U398" s="3" t="inlineStr">
        <is>
          <t>reports/S37/SL-S37-01.md</t>
        </is>
      </c>
      <c r="V398" s="10" t="inlineStr"/>
      <c r="W398" s="10" t="inlineStr"/>
      <c r="X398" s="3">
        <f>IF(N398="Concluído",IF(AND(S398&lt;&gt;"",ISNUMBER(T398),T398&gt;0,V398&lt;&gt;"",AND(OR(X56="OK",X56="DISPENSADO"),OR(X111="OK",X111="DISPENSADO"),OR(X243="OK",X243="DISPENSADO"),OR(X353="OK",X353="DISPENSADO"),OR(X397="OK",X397="DISPENSADO"))),"OK","REVISAR"),IF(N398="Dispensado (ADR)",IF(AND(LEFT(Q398,11)="Condicional",W398&lt;&gt;"",S398&lt;&gt;"",ISNUMBER(T398),T398&gt;0,V398&lt;&gt;""),"DISPENSADO","REVISAR"),"PENDENTE"))</f>
        <v/>
      </c>
      <c r="Y398" s="10" t="inlineStr"/>
    </row>
    <row r="399" ht="112" customHeight="1">
      <c r="A399" s="3" t="n">
        <v>398</v>
      </c>
      <c r="B399" s="3" t="inlineStr">
        <is>
          <t>SL-S37-02</t>
        </is>
      </c>
      <c r="C399" s="9" t="inlineStr">
        <is>
          <t>v0.7.0</t>
        </is>
      </c>
      <c r="D399" s="9" t="inlineStr">
        <is>
          <t>S37</t>
        </is>
      </c>
      <c r="E399" s="3" t="inlineStr">
        <is>
          <t>SearchService / avaliação</t>
        </is>
      </c>
      <c r="F399" s="3" t="inlineStr">
        <is>
          <t>Próprio</t>
        </is>
      </c>
      <c r="G399" s="3" t="inlineStr">
        <is>
          <t>Contrato</t>
        </is>
      </c>
      <c r="H399" s="3" t="inlineStr">
        <is>
          <t>Definir SearchQuery/Hit</t>
        </is>
      </c>
      <c r="I399" s="3" t="inlineStr">
        <is>
          <t>Incluir filtros, top-k, budget, score/origem e referência de evidência.</t>
        </is>
      </c>
      <c r="J399" s="3" t="inlineStr">
        <is>
          <t>schemas/search-query-v0.json</t>
        </is>
      </c>
      <c r="K399" s="3" t="inlineStr">
        <is>
          <t>Resultado não entrega path arbitrário para ferramenta abrir.</t>
        </is>
      </c>
      <c r="L399" s="3" t="inlineStr">
        <is>
          <t>SL-S37-01</t>
        </is>
      </c>
      <c r="M399" s="3" t="inlineStr">
        <is>
          <t>R02; R20; R21; R34</t>
        </is>
      </c>
      <c r="N399" s="10" t="inlineStr">
        <is>
          <t>Não iniciado</t>
        </is>
      </c>
      <c r="O399" s="3" t="inlineStr">
        <is>
          <t>P0</t>
        </is>
      </c>
      <c r="P399" s="3" t="inlineStr">
        <is>
          <t>Médio</t>
        </is>
      </c>
      <c r="Q399" s="3" t="inlineStr">
        <is>
          <t>Obrigatória no escopo da versão</t>
        </is>
      </c>
      <c r="R399" s="10" t="inlineStr">
        <is>
          <t>Autor + agente de IA</t>
        </is>
      </c>
      <c r="S399" s="10" t="inlineStr"/>
      <c r="T399" s="11" t="inlineStr"/>
      <c r="U399" s="3" t="inlineStr">
        <is>
          <t>reports/S37/SL-S37-02.md</t>
        </is>
      </c>
      <c r="V399" s="10" t="inlineStr"/>
      <c r="W399" s="10" t="inlineStr"/>
      <c r="X399" s="3">
        <f>IF(N399="Concluído",IF(AND(S399&lt;&gt;"",ISNUMBER(T399),T399&gt;0,V399&lt;&gt;"",AND(OR(X398="OK",X398="DISPENSADO"))),"OK","REVISAR"),IF(N399="Dispensado (ADR)",IF(AND(LEFT(Q399,11)="Condicional",W399&lt;&gt;"",S399&lt;&gt;"",ISNUMBER(T399),T399&gt;0,V399&lt;&gt;""),"DISPENSADO","REVISAR"),"PENDENTE"))</f>
        <v/>
      </c>
      <c r="Y399" s="10" t="inlineStr"/>
    </row>
    <row r="400" ht="112" customHeight="1">
      <c r="A400" s="3" t="n">
        <v>399</v>
      </c>
      <c r="B400" s="3" t="inlineStr">
        <is>
          <t>SL-S37-03</t>
        </is>
      </c>
      <c r="C400" s="9" t="inlineStr">
        <is>
          <t>v0.7.0</t>
        </is>
      </c>
      <c r="D400" s="9" t="inlineStr">
        <is>
          <t>S37</t>
        </is>
      </c>
      <c r="E400" s="3" t="inlineStr">
        <is>
          <t>SearchService / avaliação</t>
        </is>
      </c>
      <c r="F400" s="3" t="inlineStr">
        <is>
          <t>Próprio</t>
        </is>
      </c>
      <c r="G400" s="3" t="inlineStr">
        <is>
          <t>Implementação</t>
        </is>
      </c>
      <c r="H400" s="3" t="inlineStr">
        <is>
          <t>Criar interface SearchProvider</t>
        </is>
      </c>
      <c r="I400" s="3" t="inlineStr">
        <is>
          <t>Delimitar upsert, delete, query, health, rebuild e capabilities.</t>
        </is>
      </c>
      <c r="J400" s="3" t="inlineStr">
        <is>
          <t>crates/search/src/provider.rs</t>
        </is>
      </c>
      <c r="K400" s="3" t="inlineStr">
        <is>
          <t>Domínio compila contra interface sem SDK privado de Qdrant/Helix espalhado.</t>
        </is>
      </c>
      <c r="L400" s="3" t="inlineStr">
        <is>
          <t>SL-S37-02</t>
        </is>
      </c>
      <c r="M400" s="3" t="inlineStr">
        <is>
          <t>R02; R20; R21; R34</t>
        </is>
      </c>
      <c r="N400" s="10" t="inlineStr">
        <is>
          <t>Não iniciado</t>
        </is>
      </c>
      <c r="O400" s="3" t="inlineStr">
        <is>
          <t>P1</t>
        </is>
      </c>
      <c r="P400" s="3" t="inlineStr">
        <is>
          <t>Médio</t>
        </is>
      </c>
      <c r="Q400" s="3" t="inlineStr">
        <is>
          <t>Obrigatória no escopo da versão</t>
        </is>
      </c>
      <c r="R400" s="10" t="inlineStr">
        <is>
          <t>Autor + agente de IA</t>
        </is>
      </c>
      <c r="S400" s="10" t="inlineStr"/>
      <c r="T400" s="11" t="inlineStr"/>
      <c r="U400" s="3" t="inlineStr">
        <is>
          <t>reports/S37/SL-S37-03.md</t>
        </is>
      </c>
      <c r="V400" s="10" t="inlineStr"/>
      <c r="W400" s="10" t="inlineStr"/>
      <c r="X400" s="3">
        <f>IF(N400="Concluído",IF(AND(S400&lt;&gt;"",ISNUMBER(T400),T400&gt;0,V400&lt;&gt;"",AND(OR(X399="OK",X399="DISPENSADO"))),"OK","REVISAR"),IF(N400="Dispensado (ADR)",IF(AND(LEFT(Q400,11)="Condicional",W400&lt;&gt;"",S400&lt;&gt;"",ISNUMBER(T400),T400&gt;0,V400&lt;&gt;""),"DISPENSADO","REVISAR"),"PENDENTE"))</f>
        <v/>
      </c>
      <c r="Y400" s="10" t="inlineStr"/>
    </row>
    <row r="401" ht="112" customHeight="1">
      <c r="A401" s="3" t="n">
        <v>400</v>
      </c>
      <c r="B401" s="3" t="inlineStr">
        <is>
          <t>SL-S37-04</t>
        </is>
      </c>
      <c r="C401" s="9" t="inlineStr">
        <is>
          <t>v0.7.0</t>
        </is>
      </c>
      <c r="D401" s="9" t="inlineStr">
        <is>
          <t>S37</t>
        </is>
      </c>
      <c r="E401" s="3" t="inlineStr">
        <is>
          <t>SearchService / avaliação</t>
        </is>
      </c>
      <c r="F401" s="3" t="inlineStr">
        <is>
          <t>Próprio</t>
        </is>
      </c>
      <c r="G401" s="3" t="inlineStr">
        <is>
          <t>Implementação</t>
        </is>
      </c>
      <c r="H401" s="3" t="inlineStr">
        <is>
          <t>Definir unidades de indexação</t>
        </is>
      </c>
      <c r="I401" s="3" t="inlineStr">
        <is>
          <t>Usar seções/blocos com vínculo ao item; resumo é representação adicional.</t>
        </is>
      </c>
      <c r="J401" s="3" t="inlineStr">
        <is>
          <t>crates/search/src/units.rs</t>
        </is>
      </c>
      <c r="K401" s="3" t="inlineStr">
        <is>
          <t>Recuperação não depende só do resumo de 2–5 frases nem trata canvas como chunks cegos.</t>
        </is>
      </c>
      <c r="L401" s="3" t="inlineStr">
        <is>
          <t>SL-S37-03</t>
        </is>
      </c>
      <c r="M401" s="3" t="inlineStr">
        <is>
          <t>R02; R20; R21; R34</t>
        </is>
      </c>
      <c r="N401" s="10" t="inlineStr">
        <is>
          <t>Não iniciado</t>
        </is>
      </c>
      <c r="O401" s="3" t="inlineStr">
        <is>
          <t>P1</t>
        </is>
      </c>
      <c r="P401" s="3" t="inlineStr">
        <is>
          <t>Médio</t>
        </is>
      </c>
      <c r="Q401" s="3" t="inlineStr">
        <is>
          <t>Obrigatória no escopo da versão</t>
        </is>
      </c>
      <c r="R401" s="10" t="inlineStr">
        <is>
          <t>Autor + agente de IA</t>
        </is>
      </c>
      <c r="S401" s="10" t="inlineStr"/>
      <c r="T401" s="11" t="inlineStr"/>
      <c r="U401" s="3" t="inlineStr">
        <is>
          <t>reports/S37/SL-S37-04.md</t>
        </is>
      </c>
      <c r="V401" s="10" t="inlineStr"/>
      <c r="W401" s="10" t="inlineStr"/>
      <c r="X401" s="3">
        <f>IF(N401="Concluído",IF(AND(S401&lt;&gt;"",ISNUMBER(T401),T401&gt;0,V401&lt;&gt;"",AND(OR(X400="OK",X400="DISPENSADO"))),"OK","REVISAR"),IF(N401="Dispensado (ADR)",IF(AND(LEFT(Q401,11)="Condicional",W401&lt;&gt;"",S401&lt;&gt;"",ISNUMBER(T401),T401&gt;0,V401&lt;&gt;""),"DISPENSADO","REVISAR"),"PENDENTE"))</f>
        <v/>
      </c>
      <c r="Y401" s="10" t="inlineStr"/>
    </row>
    <row r="402" ht="112" customHeight="1">
      <c r="A402" s="3" t="n">
        <v>401</v>
      </c>
      <c r="B402" s="3" t="inlineStr">
        <is>
          <t>SL-S37-05</t>
        </is>
      </c>
      <c r="C402" s="9" t="inlineStr">
        <is>
          <t>v0.7.0</t>
        </is>
      </c>
      <c r="D402" s="9" t="inlineStr">
        <is>
          <t>S37</t>
        </is>
      </c>
      <c r="E402" s="3" t="inlineStr">
        <is>
          <t>SearchService / avaliação</t>
        </is>
      </c>
      <c r="F402" s="3" t="inlineStr">
        <is>
          <t>Próprio</t>
        </is>
      </c>
      <c r="G402" s="3" t="inlineStr">
        <is>
          <t>Implementação</t>
        </is>
      </c>
      <c r="H402" s="3" t="inlineStr">
        <is>
          <t>Integrar embeddings versionados</t>
        </is>
      </c>
      <c r="I402" s="3" t="inlineStr">
        <is>
          <t>Associar manifesto e rejeitar dimensão/espaço divergente.</t>
        </is>
      </c>
      <c r="J402" s="3" t="inlineStr">
        <is>
          <t>crates/search/src/vector_manifest.rs</t>
        </is>
      </c>
      <c r="K402" s="3" t="inlineStr">
        <is>
          <t>Troca de modelo exige reindexação ou coleção distinta, sem mesclar vetores.</t>
        </is>
      </c>
      <c r="L402" s="3" t="inlineStr">
        <is>
          <t>SL-S37-04</t>
        </is>
      </c>
      <c r="M402" s="3" t="inlineStr">
        <is>
          <t>R02; R20; R21; R34</t>
        </is>
      </c>
      <c r="N402" s="10" t="inlineStr">
        <is>
          <t>Não iniciado</t>
        </is>
      </c>
      <c r="O402" s="3" t="inlineStr">
        <is>
          <t>P1</t>
        </is>
      </c>
      <c r="P402" s="3" t="inlineStr">
        <is>
          <t>Médio</t>
        </is>
      </c>
      <c r="Q402" s="3" t="inlineStr">
        <is>
          <t>Obrigatória no escopo da versão</t>
        </is>
      </c>
      <c r="R402" s="10" t="inlineStr">
        <is>
          <t>Autor + agente de IA</t>
        </is>
      </c>
      <c r="S402" s="10" t="inlineStr"/>
      <c r="T402" s="11" t="inlineStr"/>
      <c r="U402" s="3" t="inlineStr">
        <is>
          <t>reports/S37/SL-S37-05.md</t>
        </is>
      </c>
      <c r="V402" s="10" t="inlineStr"/>
      <c r="W402" s="10" t="inlineStr"/>
      <c r="X402" s="3">
        <f>IF(N402="Concluído",IF(AND(S402&lt;&gt;"",ISNUMBER(T402),T402&gt;0,V402&lt;&gt;"",AND(OR(X401="OK",X401="DISPENSADO"))),"OK","REVISAR"),IF(N402="Dispensado (ADR)",IF(AND(LEFT(Q402,11)="Condicional",W402&lt;&gt;"",S402&lt;&gt;"",ISNUMBER(T402),T402&gt;0,V402&lt;&gt;""),"DISPENSADO","REVISAR"),"PENDENTE"))</f>
        <v/>
      </c>
      <c r="Y402" s="10" t="inlineStr"/>
    </row>
    <row r="403" ht="112" customHeight="1">
      <c r="A403" s="3" t="n">
        <v>402</v>
      </c>
      <c r="B403" s="3" t="inlineStr">
        <is>
          <t>SL-S37-06</t>
        </is>
      </c>
      <c r="C403" s="9" t="inlineStr">
        <is>
          <t>v0.7.0</t>
        </is>
      </c>
      <c r="D403" s="9" t="inlineStr">
        <is>
          <t>S37</t>
        </is>
      </c>
      <c r="E403" s="3" t="inlineStr">
        <is>
          <t>SearchService / avaliação</t>
        </is>
      </c>
      <c r="F403" s="3" t="inlineStr">
        <is>
          <t>Próprio</t>
        </is>
      </c>
      <c r="G403" s="3" t="inlineStr">
        <is>
          <t>Implementação</t>
        </is>
      </c>
      <c r="H403" s="3" t="inlineStr">
        <is>
          <t>Construir baseline léxico</t>
        </is>
      </c>
      <c r="I403" s="3" t="inlineStr">
        <is>
          <t>Usar FTS5 ou baseline equivalente para comparar ganhos reais.</t>
        </is>
      </c>
      <c r="J403" s="3" t="inlineStr">
        <is>
          <t>experiments/search/lexical-baseline/</t>
        </is>
      </c>
      <c r="K403" s="3" t="inlineStr">
        <is>
          <t>Busca semântica não é declarada superior sem comparação com léxico.</t>
        </is>
      </c>
      <c r="L403" s="3" t="inlineStr">
        <is>
          <t>SL-S37-05</t>
        </is>
      </c>
      <c r="M403" s="3" t="inlineStr">
        <is>
          <t>R02; R20; R21; R34</t>
        </is>
      </c>
      <c r="N403" s="10" t="inlineStr">
        <is>
          <t>Não iniciado</t>
        </is>
      </c>
      <c r="O403" s="3" t="inlineStr">
        <is>
          <t>P1</t>
        </is>
      </c>
      <c r="P403" s="3" t="inlineStr">
        <is>
          <t>Médio</t>
        </is>
      </c>
      <c r="Q403" s="3" t="inlineStr">
        <is>
          <t>Obrigatória no escopo da versão</t>
        </is>
      </c>
      <c r="R403" s="10" t="inlineStr">
        <is>
          <t>Autor + agente de IA</t>
        </is>
      </c>
      <c r="S403" s="10" t="inlineStr"/>
      <c r="T403" s="11" t="inlineStr"/>
      <c r="U403" s="3" t="inlineStr">
        <is>
          <t>reports/S37/SL-S37-06.md</t>
        </is>
      </c>
      <c r="V403" s="10" t="inlineStr"/>
      <c r="W403" s="10" t="inlineStr"/>
      <c r="X403" s="3">
        <f>IF(N403="Concluído",IF(AND(S403&lt;&gt;"",ISNUMBER(T403),T403&gt;0,V403&lt;&gt;"",AND(OR(X402="OK",X402="DISPENSADO"))),"OK","REVISAR"),IF(N403="Dispensado (ADR)",IF(AND(LEFT(Q403,11)="Condicional",W403&lt;&gt;"",S403&lt;&gt;"",ISNUMBER(T403),T403&gt;0,V403&lt;&gt;""),"DISPENSADO","REVISAR"),"PENDENTE"))</f>
        <v/>
      </c>
      <c r="Y403" s="10" t="inlineStr"/>
    </row>
    <row r="404" ht="112" customHeight="1">
      <c r="A404" s="3" t="n">
        <v>403</v>
      </c>
      <c r="B404" s="3" t="inlineStr">
        <is>
          <t>SL-S37-07</t>
        </is>
      </c>
      <c r="C404" s="9" t="inlineStr">
        <is>
          <t>v0.7.0</t>
        </is>
      </c>
      <c r="D404" s="9" t="inlineStr">
        <is>
          <t>S37</t>
        </is>
      </c>
      <c r="E404" s="3" t="inlineStr">
        <is>
          <t>SearchService / avaliação</t>
        </is>
      </c>
      <c r="F404" s="3" t="inlineStr">
        <is>
          <t>Próprio</t>
        </is>
      </c>
      <c r="G404" s="3" t="inlineStr">
        <is>
          <t>Teste</t>
        </is>
      </c>
      <c r="H404" s="3" t="inlineStr">
        <is>
          <t>Fixar protocolo de avaliação</t>
        </is>
      </c>
      <c r="I404" s="3" t="inlineStr">
        <is>
          <t>Definir recall/ranking, filtros, exclusão, latência, memória e cold start.</t>
        </is>
      </c>
      <c r="J404" s="3" t="inlineStr">
        <is>
          <t>experiments/search/protocol.md</t>
        </is>
      </c>
      <c r="K404" s="3" t="inlineStr">
        <is>
          <t>Métricas, corpus reservado e método são idênticos para os dois candidatos.</t>
        </is>
      </c>
      <c r="L404" s="3" t="inlineStr">
        <is>
          <t>SL-S37-06</t>
        </is>
      </c>
      <c r="M404" s="3" t="inlineStr">
        <is>
          <t>R02; R20; R21; R34</t>
        </is>
      </c>
      <c r="N404" s="10" t="inlineStr">
        <is>
          <t>Não iniciado</t>
        </is>
      </c>
      <c r="O404" s="3" t="inlineStr">
        <is>
          <t>P1</t>
        </is>
      </c>
      <c r="P404" s="3" t="inlineStr">
        <is>
          <t>Médio</t>
        </is>
      </c>
      <c r="Q404" s="3" t="inlineStr">
        <is>
          <t>Obrigatória no escopo da versão</t>
        </is>
      </c>
      <c r="R404" s="10" t="inlineStr">
        <is>
          <t>Autor + agente de IA</t>
        </is>
      </c>
      <c r="S404" s="10" t="inlineStr"/>
      <c r="T404" s="11" t="inlineStr"/>
      <c r="U404" s="3" t="inlineStr">
        <is>
          <t>reports/S37/SL-S37-07.md</t>
        </is>
      </c>
      <c r="V404" s="10" t="inlineStr"/>
      <c r="W404" s="10" t="inlineStr"/>
      <c r="X404" s="3">
        <f>IF(N404="Concluído",IF(AND(S404&lt;&gt;"",ISNUMBER(T404),T404&gt;0,V404&lt;&gt;"",AND(OR(X403="OK",X403="DISPENSADO"))),"OK","REVISAR"),IF(N404="Dispensado (ADR)",IF(AND(LEFT(Q404,11)="Condicional",W404&lt;&gt;"",S404&lt;&gt;"",ISNUMBER(T404),T404&gt;0,V404&lt;&gt;""),"DISPENSADO","REVISAR"),"PENDENTE"))</f>
        <v/>
      </c>
      <c r="Y404" s="10" t="inlineStr"/>
    </row>
    <row r="405" ht="112" customHeight="1">
      <c r="A405" s="3" t="n">
        <v>404</v>
      </c>
      <c r="B405" s="3" t="inlineStr">
        <is>
          <t>SL-S37-08</t>
        </is>
      </c>
      <c r="C405" s="9" t="inlineStr">
        <is>
          <t>v0.7.0</t>
        </is>
      </c>
      <c r="D405" s="9" t="inlineStr">
        <is>
          <t>S37</t>
        </is>
      </c>
      <c r="E405" s="3" t="inlineStr">
        <is>
          <t>SearchService / avaliação</t>
        </is>
      </c>
      <c r="F405" s="3" t="inlineStr">
        <is>
          <t>Próprio</t>
        </is>
      </c>
      <c r="G405" s="3" t="inlineStr">
        <is>
          <t>Teste</t>
        </is>
      </c>
      <c r="H405" s="3" t="inlineStr">
        <is>
          <t>Criar suíte de conformidade</t>
        </is>
      </c>
      <c r="I405" s="3" t="inlineStr">
        <is>
          <t>Testar IDs, revision update, tombstone, filtros e reconstrução.</t>
        </is>
      </c>
      <c r="J405" s="3" t="inlineStr">
        <is>
          <t>tests/contracts/search-provider/</t>
        </is>
      </c>
      <c r="K405" s="3" t="inlineStr">
        <is>
          <t>Provider fake malicioso falha ao retornar item de outro escopo ou revisão obsoleta.</t>
        </is>
      </c>
      <c r="L405" s="3" t="inlineStr">
        <is>
          <t>SL-S37-07</t>
        </is>
      </c>
      <c r="M405" s="3" t="inlineStr">
        <is>
          <t>R02; R20; R21; R34</t>
        </is>
      </c>
      <c r="N405" s="10" t="inlineStr">
        <is>
          <t>Não iniciado</t>
        </is>
      </c>
      <c r="O405" s="3" t="inlineStr">
        <is>
          <t>P1</t>
        </is>
      </c>
      <c r="P405" s="3" t="inlineStr">
        <is>
          <t>Médio</t>
        </is>
      </c>
      <c r="Q405" s="3" t="inlineStr">
        <is>
          <t>Obrigatória no escopo da versão</t>
        </is>
      </c>
      <c r="R405" s="10" t="inlineStr">
        <is>
          <t>Autor + agente de IA</t>
        </is>
      </c>
      <c r="S405" s="10" t="inlineStr"/>
      <c r="T405" s="11" t="inlineStr"/>
      <c r="U405" s="3" t="inlineStr">
        <is>
          <t>reports/S37/SL-S37-08.md</t>
        </is>
      </c>
      <c r="V405" s="10" t="inlineStr"/>
      <c r="W405" s="10" t="inlineStr"/>
      <c r="X405" s="3">
        <f>IF(N405="Concluído",IF(AND(S405&lt;&gt;"",ISNUMBER(T405),T405&gt;0,V405&lt;&gt;"",AND(OR(X404="OK",X404="DISPENSADO"))),"OK","REVISAR"),IF(N405="Dispensado (ADR)",IF(AND(LEFT(Q405,11)="Condicional",W405&lt;&gt;"",S405&lt;&gt;"",ISNUMBER(T405),T405&gt;0,V405&lt;&gt;""),"DISPENSADO","REVISAR"),"PENDENTE"))</f>
        <v/>
      </c>
      <c r="Y405" s="10" t="inlineStr"/>
    </row>
    <row r="406" ht="112" customHeight="1">
      <c r="A406" s="3" t="n">
        <v>405</v>
      </c>
      <c r="B406" s="3" t="inlineStr">
        <is>
          <t>SL-S37-09</t>
        </is>
      </c>
      <c r="C406" s="9" t="inlineStr">
        <is>
          <t>v0.7.0</t>
        </is>
      </c>
      <c r="D406" s="9" t="inlineStr">
        <is>
          <t>S37</t>
        </is>
      </c>
      <c r="E406" s="3" t="inlineStr">
        <is>
          <t>SearchService / avaliação</t>
        </is>
      </c>
      <c r="F406" s="3" t="inlineStr">
        <is>
          <t>Próprio</t>
        </is>
      </c>
      <c r="G406" s="3" t="inlineStr">
        <is>
          <t>Teste</t>
        </is>
      </c>
      <c r="H406" s="3" t="inlineStr">
        <is>
          <t>Preparar escalas de corpus</t>
        </is>
      </c>
      <c r="I406" s="3" t="inlineStr">
        <is>
          <t>Medir conjuntos pequeno/médio/grande escolhidos antes dos resultados.</t>
        </is>
      </c>
      <c r="J406" s="3" t="inlineStr">
        <is>
          <t>experiments/search/datasets.yaml</t>
        </is>
      </c>
      <c r="K406" s="3" t="inlineStr">
        <is>
          <t>Tamanho/semântica não mudam para favorecer um candidato depois da medição.</t>
        </is>
      </c>
      <c r="L406" s="3" t="inlineStr">
        <is>
          <t>SL-S37-08</t>
        </is>
      </c>
      <c r="M406" s="3" t="inlineStr">
        <is>
          <t>R02; R20; R21; R34</t>
        </is>
      </c>
      <c r="N406" s="10" t="inlineStr">
        <is>
          <t>Não iniciado</t>
        </is>
      </c>
      <c r="O406" s="3" t="inlineStr">
        <is>
          <t>P1</t>
        </is>
      </c>
      <c r="P406" s="3" t="inlineStr">
        <is>
          <t>Médio</t>
        </is>
      </c>
      <c r="Q406" s="3" t="inlineStr">
        <is>
          <t>Obrigatória no escopo da versão</t>
        </is>
      </c>
      <c r="R406" s="10" t="inlineStr">
        <is>
          <t>Autor + agente de IA</t>
        </is>
      </c>
      <c r="S406" s="10" t="inlineStr"/>
      <c r="T406" s="11" t="inlineStr"/>
      <c r="U406" s="3" t="inlineStr">
        <is>
          <t>reports/S37/SL-S37-09.md</t>
        </is>
      </c>
      <c r="V406" s="10" t="inlineStr"/>
      <c r="W406" s="10" t="inlineStr"/>
      <c r="X406" s="3">
        <f>IF(N406="Concluído",IF(AND(S406&lt;&gt;"",ISNUMBER(T406),T406&gt;0,V406&lt;&gt;"",AND(OR(X405="OK",X405="DISPENSADO"))),"OK","REVISAR"),IF(N406="Dispensado (ADR)",IF(AND(LEFT(Q406,11)="Condicional",W406&lt;&gt;"",S406&lt;&gt;"",ISNUMBER(T406),T406&gt;0,V406&lt;&gt;""),"DISPENSADO","REVISAR"),"PENDENTE"))</f>
        <v/>
      </c>
      <c r="Y406" s="10" t="inlineStr"/>
    </row>
    <row r="407" ht="112" customHeight="1">
      <c r="A407" s="3" t="n">
        <v>406</v>
      </c>
      <c r="B407" s="3" t="inlineStr">
        <is>
          <t>SL-S37-10</t>
        </is>
      </c>
      <c r="C407" s="9" t="inlineStr">
        <is>
          <t>v0.7.0</t>
        </is>
      </c>
      <c r="D407" s="9" t="inlineStr">
        <is>
          <t>S37</t>
        </is>
      </c>
      <c r="E407" s="3" t="inlineStr">
        <is>
          <t>SearchService / avaliação</t>
        </is>
      </c>
      <c r="F407" s="3" t="inlineStr">
        <is>
          <t>Próprio</t>
        </is>
      </c>
      <c r="G407" s="3" t="inlineStr">
        <is>
          <t>Decisão</t>
        </is>
      </c>
      <c r="H407" s="3" t="inlineStr">
        <is>
          <t>Fixar regra de escolha</t>
        </is>
      </c>
      <c r="I407" s="3" t="inlineStr">
        <is>
          <t>Priorizar correção, distribuição/licença, recursos e depois desempenho.</t>
        </is>
      </c>
      <c r="J407" s="3" t="inlineStr">
        <is>
          <t>experiments/search/decision-rubric.md</t>
        </is>
      </c>
      <c r="K407" s="3" t="inlineStr">
        <is>
          <t>Empate ou inviabilidade possui regra de replanejamento, não escolha por preferência não registrada.</t>
        </is>
      </c>
      <c r="L407" s="3" t="inlineStr">
        <is>
          <t>SL-S37-09</t>
        </is>
      </c>
      <c r="M407" s="3" t="inlineStr">
        <is>
          <t>R02; R20; R21; R34</t>
        </is>
      </c>
      <c r="N407" s="10" t="inlineStr">
        <is>
          <t>Não iniciado</t>
        </is>
      </c>
      <c r="O407" s="3" t="inlineStr">
        <is>
          <t>P0</t>
        </is>
      </c>
      <c r="P407" s="3" t="inlineStr">
        <is>
          <t>Médio</t>
        </is>
      </c>
      <c r="Q407" s="3" t="inlineStr">
        <is>
          <t>Obrigatória no escopo da versão</t>
        </is>
      </c>
      <c r="R407" s="10" t="inlineStr">
        <is>
          <t>Autor</t>
        </is>
      </c>
      <c r="S407" s="10" t="inlineStr"/>
      <c r="T407" s="11" t="inlineStr"/>
      <c r="U407" s="3" t="inlineStr">
        <is>
          <t>reports/S37/SL-S37-10.md</t>
        </is>
      </c>
      <c r="V407" s="10" t="inlineStr"/>
      <c r="W407" s="10" t="inlineStr"/>
      <c r="X407" s="3">
        <f>IF(N407="Concluído",IF(AND(S407&lt;&gt;"",ISNUMBER(T407),T407&gt;0,V407&lt;&gt;"",AND(OR(X406="OK",X406="DISPENSADO"))),"OK","REVISAR"),IF(N407="Dispensado (ADR)",IF(AND(LEFT(Q407,11)="Condicional",W407&lt;&gt;"",S407&lt;&gt;"",ISNUMBER(T407),T407&gt;0,V407&lt;&gt;""),"DISPENSADO","REVISAR"),"PENDENTE"))</f>
        <v/>
      </c>
      <c r="Y407" s="10" t="inlineStr"/>
    </row>
    <row r="408" ht="98" customHeight="1">
      <c r="A408" s="3" t="n">
        <v>407</v>
      </c>
      <c r="B408" s="12" t="inlineStr">
        <is>
          <t>SL-S37-GATE</t>
        </is>
      </c>
      <c r="C408" s="9" t="inlineStr">
        <is>
          <t>v0.7.0</t>
        </is>
      </c>
      <c r="D408" s="9" t="inlineStr">
        <is>
          <t>S37</t>
        </is>
      </c>
      <c r="E408" s="3" t="inlineStr">
        <is>
          <t>SearchService / avaliação</t>
        </is>
      </c>
      <c r="F408" s="3" t="inlineStr">
        <is>
          <t>Aceite humano</t>
        </is>
      </c>
      <c r="G408" s="12" t="inlineStr">
        <is>
          <t>Gate</t>
        </is>
      </c>
      <c r="H408" s="12" t="inlineStr">
        <is>
          <t>Aceitar S37 — Definir contrato e bancada de busca híbrida</t>
        </is>
      </c>
      <c r="I408" s="3" t="inlineStr">
        <is>
          <t>Revisar as dez tarefas, executar a demonstração do sprint, confrontar critérios e registrar decisão go/no-go.</t>
        </is>
      </c>
      <c r="J408" s="3" t="inlineStr">
        <is>
          <t>reports/S37/acceptance.md</t>
        </is>
      </c>
      <c r="K408" s="3" t="inlineStr">
        <is>
          <t>Mesma fixture/consulta roda em providers fake e produz ranking/evidências verificáveis. Todas as dependências aceitas; evidências vinculadas a revisão/ambiente; nenhum blocker de integridade/segurança.</t>
        </is>
      </c>
      <c r="L408" s="3" t="inlineStr">
        <is>
          <t>SL-S37-01; SL-S37-02; SL-S37-03; SL-S37-04; SL-S37-05; SL-S37-06; SL-S37-07; SL-S37-08; SL-S37-09; SL-S37-10</t>
        </is>
      </c>
      <c r="M408" s="3" t="inlineStr">
        <is>
          <t>R02; R20; R21; R34</t>
        </is>
      </c>
      <c r="N408" s="10" t="inlineStr">
        <is>
          <t>Não iniciado</t>
        </is>
      </c>
      <c r="O408" s="3" t="inlineStr">
        <is>
          <t>P0</t>
        </is>
      </c>
      <c r="P408" s="3" t="inlineStr">
        <is>
          <t>Médio</t>
        </is>
      </c>
      <c r="Q408" s="3" t="inlineStr">
        <is>
          <t>Obrigatória para fechar a versão aprovada</t>
        </is>
      </c>
      <c r="R408" s="10" t="inlineStr">
        <is>
          <t>Autor</t>
        </is>
      </c>
      <c r="S408" s="10" t="inlineStr"/>
      <c r="T408" s="11" t="inlineStr"/>
      <c r="U408" s="3" t="inlineStr">
        <is>
          <t>reports/S37/acceptance.md</t>
        </is>
      </c>
      <c r="V408" s="10" t="inlineStr"/>
      <c r="W408" s="10" t="inlineStr"/>
      <c r="X408" s="3">
        <f>IF(N408="Concluído",IF(AND(S408&lt;&gt;"",ISNUMBER(T408),T408&gt;0,V408&lt;&gt;"",AND(OR(X398="OK",X398="DISPENSADO"),OR(X399="OK",X399="DISPENSADO"),OR(X400="OK",X400="DISPENSADO"),OR(X401="OK",X401="DISPENSADO"),OR(X402="OK",X402="DISPENSADO"),OR(X403="OK",X403="DISPENSADO"),OR(X404="OK",X404="DISPENSADO"),OR(X405="OK",X405="DISPENSADO"),OR(X406="OK",X406="DISPENSADO"),OR(X407="OK",X407="DISPENSADO"))),"OK","REVISAR"),IF(N408="Dispensado (ADR)",IF(AND(LEFT(Q408,11)="Condicional",W408&lt;&gt;"",S408&lt;&gt;"",ISNUMBER(T408),T408&gt;0,V408&lt;&gt;""),"DISPENSADO","REVISAR"),"PENDENTE"))</f>
        <v/>
      </c>
      <c r="Y408" s="10" t="inlineStr"/>
    </row>
    <row r="409" ht="112" customHeight="1">
      <c r="A409" s="3" t="n">
        <v>408</v>
      </c>
      <c r="B409" s="3" t="inlineStr">
        <is>
          <t>SL-S38-01</t>
        </is>
      </c>
      <c r="C409" s="9" t="inlineStr">
        <is>
          <t>v0.7.0</t>
        </is>
      </c>
      <c r="D409" s="9" t="inlineStr">
        <is>
          <t>S38</t>
        </is>
      </c>
      <c r="E409" s="3" t="inlineStr">
        <is>
          <t>Qdrant / candidato A</t>
        </is>
      </c>
      <c r="F409" s="3" t="inlineStr">
        <is>
          <t>Spike de motor</t>
        </is>
      </c>
      <c r="G409" s="3" t="inlineStr">
        <is>
          <t>Upstream</t>
        </is>
      </c>
      <c r="H409" s="3" t="inlineStr">
        <is>
          <t>Fixar revisão/artefato Qdrant</t>
        </is>
      </c>
      <c r="I409" s="3" t="inlineStr">
        <is>
          <t>Auditar Edge e Server, APIs disponíveis, licença e dependências.</t>
        </is>
      </c>
      <c r="J409" s="3" t="inlineStr">
        <is>
          <t>experiments/search/qdrant/manifest.json</t>
        </is>
      </c>
      <c r="K409" s="3" t="inlineStr">
        <is>
          <t>Não se presume paridade Edge/Server ou licença apenas pela marca.</t>
        </is>
      </c>
      <c r="L409" s="3" t="inlineStr">
        <is>
          <t>SL-S37-GATE</t>
        </is>
      </c>
      <c r="M409" s="3" t="inlineStr">
        <is>
          <t>R01; R20; R21; R30; R33</t>
        </is>
      </c>
      <c r="N409" s="10" t="inlineStr">
        <is>
          <t>Não iniciado</t>
        </is>
      </c>
      <c r="O409" s="3" t="inlineStr">
        <is>
          <t>P0</t>
        </is>
      </c>
      <c r="P409" s="3" t="inlineStr">
        <is>
          <t>Crítico</t>
        </is>
      </c>
      <c r="Q409" s="3" t="inlineStr">
        <is>
          <t>Obrigatória no escopo da versão</t>
        </is>
      </c>
      <c r="R409" s="10" t="inlineStr">
        <is>
          <t>Autor + agente de IA</t>
        </is>
      </c>
      <c r="S409" s="10" t="inlineStr"/>
      <c r="T409" s="11" t="inlineStr"/>
      <c r="U409" s="3" t="inlineStr">
        <is>
          <t>reports/S38/SL-S38-01.md</t>
        </is>
      </c>
      <c r="V409" s="10" t="inlineStr"/>
      <c r="W409" s="10" t="inlineStr"/>
      <c r="X409" s="3">
        <f>IF(N409="Concluído",IF(AND(S409&lt;&gt;"",ISNUMBER(T409),T409&gt;0,V409&lt;&gt;"",AND(OR(X408="OK",X408="DISPENSADO"))),"OK","REVISAR"),IF(N409="Dispensado (ADR)",IF(AND(LEFT(Q409,11)="Condicional",W409&lt;&gt;"",S409&lt;&gt;"",ISNUMBER(T409),T409&gt;0,V409&lt;&gt;""),"DISPENSADO","REVISAR"),"PENDENTE"))</f>
        <v/>
      </c>
      <c r="Y409" s="10" t="inlineStr"/>
    </row>
    <row r="410" ht="112" customHeight="1">
      <c r="A410" s="3" t="n">
        <v>409</v>
      </c>
      <c r="B410" s="3" t="inlineStr">
        <is>
          <t>SL-S38-02</t>
        </is>
      </c>
      <c r="C410" s="9" t="inlineStr">
        <is>
          <t>v0.7.0</t>
        </is>
      </c>
      <c r="D410" s="9" t="inlineStr">
        <is>
          <t>S38</t>
        </is>
      </c>
      <c r="E410" s="3" t="inlineStr">
        <is>
          <t>Qdrant / candidato A</t>
        </is>
      </c>
      <c r="F410" s="3" t="inlineStr">
        <is>
          <t>Spike de motor</t>
        </is>
      </c>
      <c r="G410" s="3" t="inlineStr">
        <is>
          <t>Spike</t>
        </is>
      </c>
      <c r="H410" s="3" t="inlineStr">
        <is>
          <t>Escolher modo de prova</t>
        </is>
      </c>
      <c r="I410" s="3" t="inlineStr">
        <is>
          <t>Comparar exigências embutido versus processo local para o conjunto requerido.</t>
        </is>
      </c>
      <c r="J410" s="3" t="inlineStr">
        <is>
          <t>experiments/search/qdrant/mode.md</t>
        </is>
      </c>
      <c r="K410" s="3" t="inlineStr">
        <is>
          <t>Motivo do modo e recursos indisponíveis ficam explícitos.</t>
        </is>
      </c>
      <c r="L410" s="3" t="inlineStr">
        <is>
          <t>SL-S38-01</t>
        </is>
      </c>
      <c r="M410" s="3" t="inlineStr">
        <is>
          <t>R01; R20; R21; R30; R33</t>
        </is>
      </c>
      <c r="N410" s="10" t="inlineStr">
        <is>
          <t>Não iniciado</t>
        </is>
      </c>
      <c r="O410" s="3" t="inlineStr">
        <is>
          <t>P0</t>
        </is>
      </c>
      <c r="P410" s="3" t="inlineStr">
        <is>
          <t>Crítico</t>
        </is>
      </c>
      <c r="Q410" s="3" t="inlineStr">
        <is>
          <t>Obrigatória no escopo da versão</t>
        </is>
      </c>
      <c r="R410" s="10" t="inlineStr">
        <is>
          <t>Autor + agente de IA</t>
        </is>
      </c>
      <c r="S410" s="10" t="inlineStr"/>
      <c r="T410" s="11" t="inlineStr"/>
      <c r="U410" s="3" t="inlineStr">
        <is>
          <t>reports/S38/SL-S38-02.md</t>
        </is>
      </c>
      <c r="V410" s="10" t="inlineStr"/>
      <c r="W410" s="10" t="inlineStr"/>
      <c r="X410" s="3">
        <f>IF(N410="Concluído",IF(AND(S410&lt;&gt;"",ISNUMBER(T410),T410&gt;0,V410&lt;&gt;"",AND(OR(X409="OK",X409="DISPENSADO"))),"OK","REVISAR"),IF(N410="Dispensado (ADR)",IF(AND(LEFT(Q410,11)="Condicional",W410&lt;&gt;"",S410&lt;&gt;"",ISNUMBER(T410),T410&gt;0,V410&lt;&gt;""),"DISPENSADO","REVISAR"),"PENDENTE"))</f>
        <v/>
      </c>
      <c r="Y410" s="10" t="inlineStr"/>
    </row>
    <row r="411" ht="112" customHeight="1">
      <c r="A411" s="3" t="n">
        <v>410</v>
      </c>
      <c r="B411" s="3" t="inlineStr">
        <is>
          <t>SL-S38-03</t>
        </is>
      </c>
      <c r="C411" s="9" t="inlineStr">
        <is>
          <t>v0.7.0</t>
        </is>
      </c>
      <c r="D411" s="9" t="inlineStr">
        <is>
          <t>S38</t>
        </is>
      </c>
      <c r="E411" s="3" t="inlineStr">
        <is>
          <t>Qdrant / candidato A</t>
        </is>
      </c>
      <c r="F411" s="3" t="inlineStr">
        <is>
          <t>Spike de motor</t>
        </is>
      </c>
      <c r="G411" s="3" t="inlineStr">
        <is>
          <t>Implementação</t>
        </is>
      </c>
      <c r="H411" s="3" t="inlineStr">
        <is>
          <t>Montar harness mínimo</t>
        </is>
      </c>
      <c r="I411" s="3" t="inlineStr">
        <is>
          <t>Abrir engine/serviço em diretório temporário e expor contrato experimental.</t>
        </is>
      </c>
      <c r="J411" s="3" t="inlineStr">
        <is>
          <t>experiments/search/qdrant/adapter/</t>
        </is>
      </c>
      <c r="K411" s="3" t="inlineStr">
        <is>
          <t>Nenhuma UI do produto depende deste candidato antes da decisão.</t>
        </is>
      </c>
      <c r="L411" s="3" t="inlineStr">
        <is>
          <t>SL-S38-02</t>
        </is>
      </c>
      <c r="M411" s="3" t="inlineStr">
        <is>
          <t>R01; R20; R21; R30; R33</t>
        </is>
      </c>
      <c r="N411" s="10" t="inlineStr">
        <is>
          <t>Não iniciado</t>
        </is>
      </c>
      <c r="O411" s="3" t="inlineStr">
        <is>
          <t>P0</t>
        </is>
      </c>
      <c r="P411" s="3" t="inlineStr">
        <is>
          <t>Crítico</t>
        </is>
      </c>
      <c r="Q411" s="3" t="inlineStr">
        <is>
          <t>Obrigatória no escopo da versão</t>
        </is>
      </c>
      <c r="R411" s="10" t="inlineStr">
        <is>
          <t>Autor + agente de IA</t>
        </is>
      </c>
      <c r="S411" s="10" t="inlineStr"/>
      <c r="T411" s="11" t="inlineStr"/>
      <c r="U411" s="3" t="inlineStr">
        <is>
          <t>reports/S38/SL-S38-03.md</t>
        </is>
      </c>
      <c r="V411" s="10" t="inlineStr"/>
      <c r="W411" s="10" t="inlineStr"/>
      <c r="X411" s="3">
        <f>IF(N411="Concluído",IF(AND(S411&lt;&gt;"",ISNUMBER(T411),T411&gt;0,V411&lt;&gt;"",AND(OR(X410="OK",X410="DISPENSADO"))),"OK","REVISAR"),IF(N411="Dispensado (ADR)",IF(AND(LEFT(Q411,11)="Condicional",W411&lt;&gt;"",S411&lt;&gt;"",ISNUMBER(T411),T411&gt;0,V411&lt;&gt;""),"DISPENSADO","REVISAR"),"PENDENTE"))</f>
        <v/>
      </c>
      <c r="Y411" s="10" t="inlineStr"/>
    </row>
    <row r="412" ht="112" customHeight="1">
      <c r="A412" s="3" t="n">
        <v>411</v>
      </c>
      <c r="B412" s="3" t="inlineStr">
        <is>
          <t>SL-S38-04</t>
        </is>
      </c>
      <c r="C412" s="9" t="inlineStr">
        <is>
          <t>v0.7.0</t>
        </is>
      </c>
      <c r="D412" s="9" t="inlineStr">
        <is>
          <t>S38</t>
        </is>
      </c>
      <c r="E412" s="3" t="inlineStr">
        <is>
          <t>Qdrant / candidato A</t>
        </is>
      </c>
      <c r="F412" s="3" t="inlineStr">
        <is>
          <t>Spike de motor</t>
        </is>
      </c>
      <c r="G412" s="3" t="inlineStr">
        <is>
          <t>Teste</t>
        </is>
      </c>
      <c r="H412" s="3" t="inlineStr">
        <is>
          <t>Exercitar CRUD e revisões</t>
        </is>
      </c>
      <c r="I412" s="3" t="inlineStr">
        <is>
          <t>Inserir, atualizar, excluir e reiniciar com IDs do contrato.</t>
        </is>
      </c>
      <c r="J412" s="3" t="inlineStr">
        <is>
          <t>reports/search/qdrant/crud.json</t>
        </is>
      </c>
      <c r="K412" s="3" t="inlineStr">
        <is>
          <t>Evidência registra resultado de cada caso; falha funcional torna candidato rejeitado, não teste omitido.</t>
        </is>
      </c>
      <c r="L412" s="3" t="inlineStr">
        <is>
          <t>SL-S38-03</t>
        </is>
      </c>
      <c r="M412" s="3" t="inlineStr">
        <is>
          <t>R01; R20; R21; R30; R33</t>
        </is>
      </c>
      <c r="N412" s="10" t="inlineStr">
        <is>
          <t>Não iniciado</t>
        </is>
      </c>
      <c r="O412" s="3" t="inlineStr">
        <is>
          <t>P0</t>
        </is>
      </c>
      <c r="P412" s="3" t="inlineStr">
        <is>
          <t>Crítico</t>
        </is>
      </c>
      <c r="Q412" s="3" t="inlineStr">
        <is>
          <t>Obrigatória no escopo da versão</t>
        </is>
      </c>
      <c r="R412" s="10" t="inlineStr">
        <is>
          <t>Autor + agente de IA</t>
        </is>
      </c>
      <c r="S412" s="10" t="inlineStr"/>
      <c r="T412" s="11" t="inlineStr"/>
      <c r="U412" s="3" t="inlineStr">
        <is>
          <t>reports/S38/SL-S38-04.md</t>
        </is>
      </c>
      <c r="V412" s="10" t="inlineStr"/>
      <c r="W412" s="10" t="inlineStr"/>
      <c r="X412" s="3">
        <f>IF(N412="Concluído",IF(AND(S412&lt;&gt;"",ISNUMBER(T412),T412&gt;0,V412&lt;&gt;"",AND(OR(X411="OK",X411="DISPENSADO"))),"OK","REVISAR"),IF(N412="Dispensado (ADR)",IF(AND(LEFT(Q412,11)="Condicional",W412&lt;&gt;"",S412&lt;&gt;"",ISNUMBER(T412),T412&gt;0,V412&lt;&gt;""),"DISPENSADO","REVISAR"),"PENDENTE"))</f>
        <v/>
      </c>
      <c r="Y412" s="10" t="inlineStr"/>
    </row>
    <row r="413" ht="112" customHeight="1">
      <c r="A413" s="3" t="n">
        <v>412</v>
      </c>
      <c r="B413" s="3" t="inlineStr">
        <is>
          <t>SL-S38-05</t>
        </is>
      </c>
      <c r="C413" s="9" t="inlineStr">
        <is>
          <t>v0.7.0</t>
        </is>
      </c>
      <c r="D413" s="9" t="inlineStr">
        <is>
          <t>S38</t>
        </is>
      </c>
      <c r="E413" s="3" t="inlineStr">
        <is>
          <t>Qdrant / candidato A</t>
        </is>
      </c>
      <c r="F413" s="3" t="inlineStr">
        <is>
          <t>Spike de motor</t>
        </is>
      </c>
      <c r="G413" s="3" t="inlineStr">
        <is>
          <t>Teste</t>
        </is>
      </c>
      <c r="H413" s="3" t="inlineStr">
        <is>
          <t>Exercitar filtros de escopo</t>
        </is>
      </c>
      <c r="I413" s="3" t="inlineStr">
        <is>
          <t>Consultar tipos, workspaces, revisões e estados editoriais.</t>
        </is>
      </c>
      <c r="J413" s="3" t="inlineStr">
        <is>
          <t>reports/search/qdrant/filters.json</t>
        </is>
      </c>
      <c r="K413" s="3" t="inlineStr">
        <is>
          <t>Não há hits fora do escopo nos casos válidos; incompatibilidade é conclusiva.</t>
        </is>
      </c>
      <c r="L413" s="3" t="inlineStr">
        <is>
          <t>SL-S38-04</t>
        </is>
      </c>
      <c r="M413" s="3" t="inlineStr">
        <is>
          <t>R01; R20; R21; R30; R33</t>
        </is>
      </c>
      <c r="N413" s="10" t="inlineStr">
        <is>
          <t>Não iniciado</t>
        </is>
      </c>
      <c r="O413" s="3" t="inlineStr">
        <is>
          <t>P0</t>
        </is>
      </c>
      <c r="P413" s="3" t="inlineStr">
        <is>
          <t>Crítico</t>
        </is>
      </c>
      <c r="Q413" s="3" t="inlineStr">
        <is>
          <t>Obrigatória no escopo da versão</t>
        </is>
      </c>
      <c r="R413" s="10" t="inlineStr">
        <is>
          <t>Autor + agente de IA</t>
        </is>
      </c>
      <c r="S413" s="10" t="inlineStr"/>
      <c r="T413" s="11" t="inlineStr"/>
      <c r="U413" s="3" t="inlineStr">
        <is>
          <t>reports/S38/SL-S38-05.md</t>
        </is>
      </c>
      <c r="V413" s="10" t="inlineStr"/>
      <c r="W413" s="10" t="inlineStr"/>
      <c r="X413" s="3">
        <f>IF(N413="Concluído",IF(AND(S413&lt;&gt;"",ISNUMBER(T413),T413&gt;0,V413&lt;&gt;"",AND(OR(X412="OK",X412="DISPENSADO"))),"OK","REVISAR"),IF(N413="Dispensado (ADR)",IF(AND(LEFT(Q413,11)="Condicional",W413&lt;&gt;"",S413&lt;&gt;"",ISNUMBER(T413),T413&gt;0,V413&lt;&gt;""),"DISPENSADO","REVISAR"),"PENDENTE"))</f>
        <v/>
      </c>
      <c r="Y413" s="10" t="inlineStr"/>
    </row>
    <row r="414" ht="112" customHeight="1">
      <c r="A414" s="3" t="n">
        <v>413</v>
      </c>
      <c r="B414" s="3" t="inlineStr">
        <is>
          <t>SL-S38-06</t>
        </is>
      </c>
      <c r="C414" s="9" t="inlineStr">
        <is>
          <t>v0.7.0</t>
        </is>
      </c>
      <c r="D414" s="9" t="inlineStr">
        <is>
          <t>S38</t>
        </is>
      </c>
      <c r="E414" s="3" t="inlineStr">
        <is>
          <t>Qdrant / candidato A</t>
        </is>
      </c>
      <c r="F414" s="3" t="inlineStr">
        <is>
          <t>Spike de motor</t>
        </is>
      </c>
      <c r="G414" s="3" t="inlineStr">
        <is>
          <t>Teste</t>
        </is>
      </c>
      <c r="H414" s="3" t="inlineStr">
        <is>
          <t>Exercitar caminho híbrido</t>
        </is>
      </c>
      <c r="I414" s="3" t="inlineStr">
        <is>
          <t>Combinar dense/sparse ou léxico externo conforme capabilities reais.</t>
        </is>
      </c>
      <c r="J414" s="3" t="inlineStr">
        <is>
          <t>reports/search/qdrant/hybrid.json</t>
        </is>
      </c>
      <c r="K414" s="3" t="inlineStr">
        <is>
          <t>Fusões e normalizações são documentadas e comparáveis ao baseline.</t>
        </is>
      </c>
      <c r="L414" s="3" t="inlineStr">
        <is>
          <t>SL-S38-05</t>
        </is>
      </c>
      <c r="M414" s="3" t="inlineStr">
        <is>
          <t>R01; R20; R21; R30; R33</t>
        </is>
      </c>
      <c r="N414" s="10" t="inlineStr">
        <is>
          <t>Não iniciado</t>
        </is>
      </c>
      <c r="O414" s="3" t="inlineStr">
        <is>
          <t>P0</t>
        </is>
      </c>
      <c r="P414" s="3" t="inlineStr">
        <is>
          <t>Crítico</t>
        </is>
      </c>
      <c r="Q414" s="3" t="inlineStr">
        <is>
          <t>Obrigatória no escopo da versão</t>
        </is>
      </c>
      <c r="R414" s="10" t="inlineStr">
        <is>
          <t>Autor + agente de IA</t>
        </is>
      </c>
      <c r="S414" s="10" t="inlineStr"/>
      <c r="T414" s="11" t="inlineStr"/>
      <c r="U414" s="3" t="inlineStr">
        <is>
          <t>reports/S38/SL-S38-06.md</t>
        </is>
      </c>
      <c r="V414" s="10" t="inlineStr"/>
      <c r="W414" s="10" t="inlineStr"/>
      <c r="X414" s="3">
        <f>IF(N414="Concluído",IF(AND(S414&lt;&gt;"",ISNUMBER(T414),T414&gt;0,V414&lt;&gt;"",AND(OR(X413="OK",X413="DISPENSADO"))),"OK","REVISAR"),IF(N414="Dispensado (ADR)",IF(AND(LEFT(Q414,11)="Condicional",W414&lt;&gt;"",S414&lt;&gt;"",ISNUMBER(T414),T414&gt;0,V414&lt;&gt;""),"DISPENSADO","REVISAR"),"PENDENTE"))</f>
        <v/>
      </c>
      <c r="Y414" s="10" t="inlineStr"/>
    </row>
    <row r="415" ht="112" customHeight="1">
      <c r="A415" s="3" t="n">
        <v>414</v>
      </c>
      <c r="B415" s="3" t="inlineStr">
        <is>
          <t>SL-S38-07</t>
        </is>
      </c>
      <c r="C415" s="9" t="inlineStr">
        <is>
          <t>v0.7.0</t>
        </is>
      </c>
      <c r="D415" s="9" t="inlineStr">
        <is>
          <t>S38</t>
        </is>
      </c>
      <c r="E415" s="3" t="inlineStr">
        <is>
          <t>Qdrant / candidato A</t>
        </is>
      </c>
      <c r="F415" s="3" t="inlineStr">
        <is>
          <t>Spike de motor</t>
        </is>
      </c>
      <c r="G415" s="3" t="inlineStr">
        <is>
          <t>Teste</t>
        </is>
      </c>
      <c r="H415" s="3" t="inlineStr">
        <is>
          <t>Medir busca/indexação</t>
        </is>
      </c>
      <c r="I415" s="3" t="inlineStr">
        <is>
          <t>Executar protocolo reservado e guardar resultados brutos.</t>
        </is>
      </c>
      <c r="J415" s="3" t="inlineStr">
        <is>
          <t>reports/search/qdrant/performance.json</t>
        </is>
      </c>
      <c r="K415" s="3" t="inlineStr">
        <is>
          <t>Memória/latência incluem modo de execução usado, não números promocionais.</t>
        </is>
      </c>
      <c r="L415" s="3" t="inlineStr">
        <is>
          <t>SL-S38-06</t>
        </is>
      </c>
      <c r="M415" s="3" t="inlineStr">
        <is>
          <t>R01; R20; R21; R30; R33</t>
        </is>
      </c>
      <c r="N415" s="10" t="inlineStr">
        <is>
          <t>Não iniciado</t>
        </is>
      </c>
      <c r="O415" s="3" t="inlineStr">
        <is>
          <t>P0</t>
        </is>
      </c>
      <c r="P415" s="3" t="inlineStr">
        <is>
          <t>Crítico</t>
        </is>
      </c>
      <c r="Q415" s="3" t="inlineStr">
        <is>
          <t>Obrigatória no escopo da versão</t>
        </is>
      </c>
      <c r="R415" s="10" t="inlineStr">
        <is>
          <t>Autor + agente de IA</t>
        </is>
      </c>
      <c r="S415" s="10" t="inlineStr"/>
      <c r="T415" s="11" t="inlineStr"/>
      <c r="U415" s="3" t="inlineStr">
        <is>
          <t>reports/S38/SL-S38-07.md</t>
        </is>
      </c>
      <c r="V415" s="10" t="inlineStr"/>
      <c r="W415" s="10" t="inlineStr"/>
      <c r="X415" s="3">
        <f>IF(N415="Concluído",IF(AND(S415&lt;&gt;"",ISNUMBER(T415),T415&gt;0,V415&lt;&gt;"",AND(OR(X414="OK",X414="DISPENSADO"))),"OK","REVISAR"),IF(N415="Dispensado (ADR)",IF(AND(LEFT(Q415,11)="Condicional",W415&lt;&gt;"",S415&lt;&gt;"",ISNUMBER(T415),T415&gt;0,V415&lt;&gt;""),"DISPENSADO","REVISAR"),"PENDENTE"))</f>
        <v/>
      </c>
      <c r="Y415" s="10" t="inlineStr"/>
    </row>
    <row r="416" ht="112" customHeight="1">
      <c r="A416" s="3" t="n">
        <v>415</v>
      </c>
      <c r="B416" s="3" t="inlineStr">
        <is>
          <t>SL-S38-08</t>
        </is>
      </c>
      <c r="C416" s="9" t="inlineStr">
        <is>
          <t>v0.7.0</t>
        </is>
      </c>
      <c r="D416" s="9" t="inlineStr">
        <is>
          <t>S38</t>
        </is>
      </c>
      <c r="E416" s="3" t="inlineStr">
        <is>
          <t>Qdrant / candidato A</t>
        </is>
      </c>
      <c r="F416" s="3" t="inlineStr">
        <is>
          <t>Spike de motor</t>
        </is>
      </c>
      <c r="G416" s="3" t="inlineStr">
        <is>
          <t>Teste</t>
        </is>
      </c>
      <c r="H416" s="3" t="inlineStr">
        <is>
          <t>Exercitar falha/rebuild</t>
        </is>
      </c>
      <c r="I416" s="3" t="inlineStr">
        <is>
          <t>Interromper índice, apagar cache e reconstruir do corpus canônico.</t>
        </is>
      </c>
      <c r="J416" s="3" t="inlineStr">
        <is>
          <t>reports/search/qdrant/recovery.json</t>
        </is>
      </c>
      <c r="K416" s="3" t="inlineStr">
        <is>
          <t>Dados autorais não dependem do candidato; recuperação e limitações são observadas.</t>
        </is>
      </c>
      <c r="L416" s="3" t="inlineStr">
        <is>
          <t>SL-S38-07</t>
        </is>
      </c>
      <c r="M416" s="3" t="inlineStr">
        <is>
          <t>R01; R20; R21; R30; R33</t>
        </is>
      </c>
      <c r="N416" s="10" t="inlineStr">
        <is>
          <t>Não iniciado</t>
        </is>
      </c>
      <c r="O416" s="3" t="inlineStr">
        <is>
          <t>P0</t>
        </is>
      </c>
      <c r="P416" s="3" t="inlineStr">
        <is>
          <t>Crítico</t>
        </is>
      </c>
      <c r="Q416" s="3" t="inlineStr">
        <is>
          <t>Obrigatória no escopo da versão</t>
        </is>
      </c>
      <c r="R416" s="10" t="inlineStr">
        <is>
          <t>Autor + agente de IA</t>
        </is>
      </c>
      <c r="S416" s="10" t="inlineStr"/>
      <c r="T416" s="11" t="inlineStr"/>
      <c r="U416" s="3" t="inlineStr">
        <is>
          <t>reports/S38/SL-S38-08.md</t>
        </is>
      </c>
      <c r="V416" s="10" t="inlineStr"/>
      <c r="W416" s="10" t="inlineStr"/>
      <c r="X416" s="3">
        <f>IF(N416="Concluído",IF(AND(S416&lt;&gt;"",ISNUMBER(T416),T416&gt;0,V416&lt;&gt;"",AND(OR(X415="OK",X415="DISPENSADO"))),"OK","REVISAR"),IF(N416="Dispensado (ADR)",IF(AND(LEFT(Q416,11)="Condicional",W416&lt;&gt;"",S416&lt;&gt;"",ISNUMBER(T416),T416&gt;0,V416&lt;&gt;""),"DISPENSADO","REVISAR"),"PENDENTE"))</f>
        <v/>
      </c>
      <c r="Y416" s="10" t="inlineStr"/>
    </row>
    <row r="417" ht="112" customHeight="1">
      <c r="A417" s="3" t="n">
        <v>416</v>
      </c>
      <c r="B417" s="3" t="inlineStr">
        <is>
          <t>SL-S38-09</t>
        </is>
      </c>
      <c r="C417" s="9" t="inlineStr">
        <is>
          <t>v0.7.0</t>
        </is>
      </c>
      <c r="D417" s="9" t="inlineStr">
        <is>
          <t>S38</t>
        </is>
      </c>
      <c r="E417" s="3" t="inlineStr">
        <is>
          <t>Qdrant / candidato A</t>
        </is>
      </c>
      <c r="F417" s="3" t="inlineStr">
        <is>
          <t>Spike de motor</t>
        </is>
      </c>
      <c r="G417" s="3" t="inlineStr">
        <is>
          <t>Spike</t>
        </is>
      </c>
      <c r="H417" s="3" t="inlineStr">
        <is>
          <t>Verificar distribuição</t>
        </is>
      </c>
      <c r="I417" s="3" t="inlineStr">
        <is>
          <t>Testar empacotamento e dependências nos alvos prioritários e mapear pendências dos demais.</t>
        </is>
      </c>
      <c r="J417" s="3" t="inlineStr">
        <is>
          <t>reports/search/qdrant/packaging.md</t>
        </is>
      </c>
      <c r="K417" s="3" t="inlineStr">
        <is>
          <t>Suporte não observado permanece pendente; cenário experimental não vira homologação.</t>
        </is>
      </c>
      <c r="L417" s="3" t="inlineStr">
        <is>
          <t>SL-S38-08</t>
        </is>
      </c>
      <c r="M417" s="3" t="inlineStr">
        <is>
          <t>R01; R20; R21; R30; R33</t>
        </is>
      </c>
      <c r="N417" s="10" t="inlineStr">
        <is>
          <t>Não iniciado</t>
        </is>
      </c>
      <c r="O417" s="3" t="inlineStr">
        <is>
          <t>P0</t>
        </is>
      </c>
      <c r="P417" s="3" t="inlineStr">
        <is>
          <t>Crítico</t>
        </is>
      </c>
      <c r="Q417" s="3" t="inlineStr">
        <is>
          <t>Obrigatória no escopo da versão</t>
        </is>
      </c>
      <c r="R417" s="10" t="inlineStr">
        <is>
          <t>Autor + agente de IA</t>
        </is>
      </c>
      <c r="S417" s="10" t="inlineStr"/>
      <c r="T417" s="11" t="inlineStr"/>
      <c r="U417" s="3" t="inlineStr">
        <is>
          <t>reports/S38/SL-S38-09.md</t>
        </is>
      </c>
      <c r="V417" s="10" t="inlineStr"/>
      <c r="W417" s="10" t="inlineStr"/>
      <c r="X417" s="3">
        <f>IF(N417="Concluído",IF(AND(S417&lt;&gt;"",ISNUMBER(T417),T417&gt;0,V417&lt;&gt;"",AND(OR(X416="OK",X416="DISPENSADO"))),"OK","REVISAR"),IF(N417="Dispensado (ADR)",IF(AND(LEFT(Q417,11)="Condicional",W417&lt;&gt;"",S417&lt;&gt;"",ISNUMBER(T417),T417&gt;0,V417&lt;&gt;""),"DISPENSADO","REVISAR"),"PENDENTE"))</f>
        <v/>
      </c>
      <c r="Y417" s="10" t="inlineStr"/>
    </row>
    <row r="418" ht="112" customHeight="1">
      <c r="A418" s="3" t="n">
        <v>417</v>
      </c>
      <c r="B418" s="3" t="inlineStr">
        <is>
          <t>SL-S38-10</t>
        </is>
      </c>
      <c r="C418" s="9" t="inlineStr">
        <is>
          <t>v0.7.0</t>
        </is>
      </c>
      <c r="D418" s="9" t="inlineStr">
        <is>
          <t>S38</t>
        </is>
      </c>
      <c r="E418" s="3" t="inlineStr">
        <is>
          <t>Qdrant / candidato A</t>
        </is>
      </c>
      <c r="F418" s="3" t="inlineStr">
        <is>
          <t>Spike de motor</t>
        </is>
      </c>
      <c r="G418" s="3" t="inlineStr">
        <is>
          <t>Decisão</t>
        </is>
      </c>
      <c r="H418" s="3" t="inlineStr">
        <is>
          <t>Consolidar conclusão A</t>
        </is>
      </c>
      <c r="I418" s="3" t="inlineStr">
        <is>
          <t>Marcar capabilities aprovadas, rejeitadas e custos de adaptação.</t>
        </is>
      </c>
      <c r="J418" s="3" t="inlineStr">
        <is>
          <t>reports/search/qdrant/conclusion.md</t>
        </is>
      </c>
      <c r="K418" s="3" t="inlineStr">
        <is>
          <t>Relatório pode concluir inviabilidade; deve completar o protocolo em vez de mascarar falhas.</t>
        </is>
      </c>
      <c r="L418" s="3" t="inlineStr">
        <is>
          <t>SL-S38-09</t>
        </is>
      </c>
      <c r="M418" s="3" t="inlineStr">
        <is>
          <t>R01; R20; R21; R30; R33</t>
        </is>
      </c>
      <c r="N418" s="10" t="inlineStr">
        <is>
          <t>Não iniciado</t>
        </is>
      </c>
      <c r="O418" s="3" t="inlineStr">
        <is>
          <t>P0</t>
        </is>
      </c>
      <c r="P418" s="3" t="inlineStr">
        <is>
          <t>Crítico</t>
        </is>
      </c>
      <c r="Q418" s="3" t="inlineStr">
        <is>
          <t>Obrigatória no escopo da versão</t>
        </is>
      </c>
      <c r="R418" s="10" t="inlineStr">
        <is>
          <t>Autor</t>
        </is>
      </c>
      <c r="S418" s="10" t="inlineStr"/>
      <c r="T418" s="11" t="inlineStr"/>
      <c r="U418" s="3" t="inlineStr">
        <is>
          <t>reports/S38/SL-S38-10.md</t>
        </is>
      </c>
      <c r="V418" s="10" t="inlineStr"/>
      <c r="W418" s="10" t="inlineStr"/>
      <c r="X418" s="3">
        <f>IF(N418="Concluído",IF(AND(S418&lt;&gt;"",ISNUMBER(T418),T418&gt;0,V418&lt;&gt;"",AND(OR(X417="OK",X417="DISPENSADO"))),"OK","REVISAR"),IF(N418="Dispensado (ADR)",IF(AND(LEFT(Q418,11)="Condicional",W418&lt;&gt;"",S418&lt;&gt;"",ISNUMBER(T418),T418&gt;0,V418&lt;&gt;""),"DISPENSADO","REVISAR"),"PENDENTE"))</f>
        <v/>
      </c>
      <c r="Y418" s="10" t="inlineStr"/>
    </row>
    <row r="419" ht="98" customHeight="1">
      <c r="A419" s="3" t="n">
        <v>418</v>
      </c>
      <c r="B419" s="12" t="inlineStr">
        <is>
          <t>SL-S38-GATE</t>
        </is>
      </c>
      <c r="C419" s="9" t="inlineStr">
        <is>
          <t>v0.7.0</t>
        </is>
      </c>
      <c r="D419" s="9" t="inlineStr">
        <is>
          <t>S38</t>
        </is>
      </c>
      <c r="E419" s="3" t="inlineStr">
        <is>
          <t>Qdrant / candidato A</t>
        </is>
      </c>
      <c r="F419" s="3" t="inlineStr">
        <is>
          <t>Aceite humano</t>
        </is>
      </c>
      <c r="G419" s="12" t="inlineStr">
        <is>
          <t>Gate</t>
        </is>
      </c>
      <c r="H419" s="12" t="inlineStr">
        <is>
          <t>Aceitar S38 — Avaliar Qdrant sem incorporar servidor completo</t>
        </is>
      </c>
      <c r="I419" s="3" t="inlineStr">
        <is>
          <t>Revisar as dez tarefas, executar a demonstração do sprint, confrontar critérios e registrar decisão go/no-go.</t>
        </is>
      </c>
      <c r="J419" s="3" t="inlineStr">
        <is>
          <t>reports/S38/acceptance.md</t>
        </is>
      </c>
      <c r="K419" s="3" t="inlineStr">
        <is>
          <t>Executar conformidade e benchmarks iguais ao candidato B, com conclusão viável/inviável. Todas as dependências aceitas; evidências vinculadas a revisão/ambiente; nenhum blocker de integridade/segurança.</t>
        </is>
      </c>
      <c r="L419" s="3" t="inlineStr">
        <is>
          <t>SL-S38-01; SL-S38-02; SL-S38-03; SL-S38-04; SL-S38-05; SL-S38-06; SL-S38-07; SL-S38-08; SL-S38-09; SL-S38-10</t>
        </is>
      </c>
      <c r="M419" s="3" t="inlineStr">
        <is>
          <t>R01; R20; R21; R30; R33</t>
        </is>
      </c>
      <c r="N419" s="10" t="inlineStr">
        <is>
          <t>Não iniciado</t>
        </is>
      </c>
      <c r="O419" s="3" t="inlineStr">
        <is>
          <t>P0</t>
        </is>
      </c>
      <c r="P419" s="3" t="inlineStr">
        <is>
          <t>Crítico</t>
        </is>
      </c>
      <c r="Q419" s="3" t="inlineStr">
        <is>
          <t>Obrigatória para fechar a versão aprovada</t>
        </is>
      </c>
      <c r="R419" s="10" t="inlineStr">
        <is>
          <t>Autor</t>
        </is>
      </c>
      <c r="S419" s="10" t="inlineStr"/>
      <c r="T419" s="11" t="inlineStr"/>
      <c r="U419" s="3" t="inlineStr">
        <is>
          <t>reports/S38/acceptance.md</t>
        </is>
      </c>
      <c r="V419" s="10" t="inlineStr"/>
      <c r="W419" s="10" t="inlineStr"/>
      <c r="X419" s="3">
        <f>IF(N419="Concluído",IF(AND(S419&lt;&gt;"",ISNUMBER(T419),T419&gt;0,V419&lt;&gt;"",AND(OR(X409="OK",X409="DISPENSADO"),OR(X410="OK",X410="DISPENSADO"),OR(X411="OK",X411="DISPENSADO"),OR(X412="OK",X412="DISPENSADO"),OR(X413="OK",X413="DISPENSADO"),OR(X414="OK",X414="DISPENSADO"),OR(X415="OK",X415="DISPENSADO"),OR(X416="OK",X416="DISPENSADO"),OR(X417="OK",X417="DISPENSADO"),OR(X418="OK",X418="DISPENSADO"))),"OK","REVISAR"),IF(N419="Dispensado (ADR)",IF(AND(LEFT(Q419,11)="Condicional",W419&lt;&gt;"",S419&lt;&gt;"",ISNUMBER(T419),T419&gt;0,V419&lt;&gt;""),"DISPENSADO","REVISAR"),"PENDENTE"))</f>
        <v/>
      </c>
      <c r="Y419" s="10" t="inlineStr">
        <is>
          <t>Uma conclusão negativa fundamentada pode fechar um spike, mas não aprova o motor rejeitado.</t>
        </is>
      </c>
    </row>
    <row r="420" ht="112" customHeight="1">
      <c r="A420" s="3" t="n">
        <v>419</v>
      </c>
      <c r="B420" s="3" t="inlineStr">
        <is>
          <t>SL-S39-01</t>
        </is>
      </c>
      <c r="C420" s="9" t="inlineStr">
        <is>
          <t>v0.7.0</t>
        </is>
      </c>
      <c r="D420" s="9" t="inlineStr">
        <is>
          <t>S39</t>
        </is>
      </c>
      <c r="E420" s="3" t="inlineStr">
        <is>
          <t>HelixDB / candidato B</t>
        </is>
      </c>
      <c r="F420" s="3" t="inlineStr">
        <is>
          <t>Spike de motor</t>
        </is>
      </c>
      <c r="G420" s="3" t="inlineStr">
        <is>
          <t>Upstream</t>
        </is>
      </c>
      <c r="H420" s="3" t="inlineStr">
        <is>
          <t>Fixar revisão HelixDB</t>
        </is>
      </c>
      <c r="I420" s="3" t="inlineStr">
        <is>
          <t>Auditar SDK/engine embutido, licença e requisitos de storage/cache.</t>
        </is>
      </c>
      <c r="J420" s="3" t="inlineStr">
        <is>
          <t>experiments/search/helix/manifest.json</t>
        </is>
      </c>
      <c r="K420" s="3" t="inlineStr">
        <is>
          <t>Modo local/cloud/embedded e geração de API não são misturados.</t>
        </is>
      </c>
      <c r="L420" s="3" t="inlineStr">
        <is>
          <t>SL-S37-GATE</t>
        </is>
      </c>
      <c r="M420" s="3" t="inlineStr">
        <is>
          <t>R01; R20; R21; R30; R33</t>
        </is>
      </c>
      <c r="N420" s="10" t="inlineStr">
        <is>
          <t>Não iniciado</t>
        </is>
      </c>
      <c r="O420" s="3" t="inlineStr">
        <is>
          <t>P0</t>
        </is>
      </c>
      <c r="P420" s="3" t="inlineStr">
        <is>
          <t>Crítico</t>
        </is>
      </c>
      <c r="Q420" s="3" t="inlineStr">
        <is>
          <t>Obrigatória no escopo da versão</t>
        </is>
      </c>
      <c r="R420" s="10" t="inlineStr">
        <is>
          <t>Autor + agente de IA</t>
        </is>
      </c>
      <c r="S420" s="10" t="inlineStr"/>
      <c r="T420" s="11" t="inlineStr"/>
      <c r="U420" s="3" t="inlineStr">
        <is>
          <t>reports/S39/SL-S39-01.md</t>
        </is>
      </c>
      <c r="V420" s="10" t="inlineStr"/>
      <c r="W420" s="10" t="inlineStr"/>
      <c r="X420" s="3">
        <f>IF(N420="Concluído",IF(AND(S420&lt;&gt;"",ISNUMBER(T420),T420&gt;0,V420&lt;&gt;"",AND(OR(X408="OK",X408="DISPENSADO"))),"OK","REVISAR"),IF(N420="Dispensado (ADR)",IF(AND(LEFT(Q420,11)="Condicional",W420&lt;&gt;"",S420&lt;&gt;"",ISNUMBER(T420),T420&gt;0,V420&lt;&gt;""),"DISPENSADO","REVISAR"),"PENDENTE"))</f>
        <v/>
      </c>
      <c r="Y420" s="10" t="inlineStr"/>
    </row>
    <row r="421" ht="112" customHeight="1">
      <c r="A421" s="3" t="n">
        <v>420</v>
      </c>
      <c r="B421" s="3" t="inlineStr">
        <is>
          <t>SL-S39-02</t>
        </is>
      </c>
      <c r="C421" s="9" t="inlineStr">
        <is>
          <t>v0.7.0</t>
        </is>
      </c>
      <c r="D421" s="9" t="inlineStr">
        <is>
          <t>S39</t>
        </is>
      </c>
      <c r="E421" s="3" t="inlineStr">
        <is>
          <t>HelixDB / candidato B</t>
        </is>
      </c>
      <c r="F421" s="3" t="inlineStr">
        <is>
          <t>Spike de motor</t>
        </is>
      </c>
      <c r="G421" s="3" t="inlineStr">
        <is>
          <t>Spike</t>
        </is>
      </c>
      <c r="H421" s="3" t="inlineStr">
        <is>
          <t>Escolher storage de prova</t>
        </is>
      </c>
      <c r="I421" s="3" t="inlineStr">
        <is>
          <t>Usar disco local e perfil explícito de caches sem exigir object storage remoto.</t>
        </is>
      </c>
      <c r="J421" s="3" t="inlineStr">
        <is>
          <t>experiments/search/helix/mode.md</t>
        </is>
      </c>
      <c r="K421" s="3" t="inlineStr">
        <is>
          <t>Modo atende independência de nuvem ou é classificado incompatível.</t>
        </is>
      </c>
      <c r="L421" s="3" t="inlineStr">
        <is>
          <t>SL-S39-01</t>
        </is>
      </c>
      <c r="M421" s="3" t="inlineStr">
        <is>
          <t>R01; R20; R21; R30; R33</t>
        </is>
      </c>
      <c r="N421" s="10" t="inlineStr">
        <is>
          <t>Não iniciado</t>
        </is>
      </c>
      <c r="O421" s="3" t="inlineStr">
        <is>
          <t>P0</t>
        </is>
      </c>
      <c r="P421" s="3" t="inlineStr">
        <is>
          <t>Crítico</t>
        </is>
      </c>
      <c r="Q421" s="3" t="inlineStr">
        <is>
          <t>Obrigatória no escopo da versão</t>
        </is>
      </c>
      <c r="R421" s="10" t="inlineStr">
        <is>
          <t>Autor + agente de IA</t>
        </is>
      </c>
      <c r="S421" s="10" t="inlineStr"/>
      <c r="T421" s="11" t="inlineStr"/>
      <c r="U421" s="3" t="inlineStr">
        <is>
          <t>reports/S39/SL-S39-02.md</t>
        </is>
      </c>
      <c r="V421" s="10" t="inlineStr"/>
      <c r="W421" s="10" t="inlineStr"/>
      <c r="X421" s="3">
        <f>IF(N421="Concluído",IF(AND(S421&lt;&gt;"",ISNUMBER(T421),T421&gt;0,V421&lt;&gt;"",AND(OR(X420="OK",X420="DISPENSADO"))),"OK","REVISAR"),IF(N421="Dispensado (ADR)",IF(AND(LEFT(Q421,11)="Condicional",W421&lt;&gt;"",S421&lt;&gt;"",ISNUMBER(T421),T421&gt;0,V421&lt;&gt;""),"DISPENSADO","REVISAR"),"PENDENTE"))</f>
        <v/>
      </c>
      <c r="Y421" s="10" t="inlineStr"/>
    </row>
    <row r="422" ht="112" customHeight="1">
      <c r="A422" s="3" t="n">
        <v>421</v>
      </c>
      <c r="B422" s="3" t="inlineStr">
        <is>
          <t>SL-S39-03</t>
        </is>
      </c>
      <c r="C422" s="9" t="inlineStr">
        <is>
          <t>v0.7.0</t>
        </is>
      </c>
      <c r="D422" s="9" t="inlineStr">
        <is>
          <t>S39</t>
        </is>
      </c>
      <c r="E422" s="3" t="inlineStr">
        <is>
          <t>HelixDB / candidato B</t>
        </is>
      </c>
      <c r="F422" s="3" t="inlineStr">
        <is>
          <t>Spike de motor</t>
        </is>
      </c>
      <c r="G422" s="3" t="inlineStr">
        <is>
          <t>Implementação</t>
        </is>
      </c>
      <c r="H422" s="3" t="inlineStr">
        <is>
          <t>Montar harness mínimo</t>
        </is>
      </c>
      <c r="I422" s="3" t="inlineStr">
        <is>
          <t>Traduzir contrato SearchProvider para SDK sem acoplamento da UI.</t>
        </is>
      </c>
      <c r="J422" s="3" t="inlineStr">
        <is>
          <t>experiments/search/helix/adapter/</t>
        </is>
      </c>
      <c r="K422" s="3" t="inlineStr">
        <is>
          <t>Código é experimental e não instala um segundo backend de produção.</t>
        </is>
      </c>
      <c r="L422" s="3" t="inlineStr">
        <is>
          <t>SL-S39-02</t>
        </is>
      </c>
      <c r="M422" s="3" t="inlineStr">
        <is>
          <t>R01; R20; R21; R30; R33</t>
        </is>
      </c>
      <c r="N422" s="10" t="inlineStr">
        <is>
          <t>Não iniciado</t>
        </is>
      </c>
      <c r="O422" s="3" t="inlineStr">
        <is>
          <t>P0</t>
        </is>
      </c>
      <c r="P422" s="3" t="inlineStr">
        <is>
          <t>Crítico</t>
        </is>
      </c>
      <c r="Q422" s="3" t="inlineStr">
        <is>
          <t>Obrigatória no escopo da versão</t>
        </is>
      </c>
      <c r="R422" s="10" t="inlineStr">
        <is>
          <t>Autor + agente de IA</t>
        </is>
      </c>
      <c r="S422" s="10" t="inlineStr"/>
      <c r="T422" s="11" t="inlineStr"/>
      <c r="U422" s="3" t="inlineStr">
        <is>
          <t>reports/S39/SL-S39-03.md</t>
        </is>
      </c>
      <c r="V422" s="10" t="inlineStr"/>
      <c r="W422" s="10" t="inlineStr"/>
      <c r="X422" s="3">
        <f>IF(N422="Concluído",IF(AND(S422&lt;&gt;"",ISNUMBER(T422),T422&gt;0,V422&lt;&gt;"",AND(OR(X421="OK",X421="DISPENSADO"))),"OK","REVISAR"),IF(N422="Dispensado (ADR)",IF(AND(LEFT(Q422,11)="Condicional",W422&lt;&gt;"",S422&lt;&gt;"",ISNUMBER(T422),T422&gt;0,V422&lt;&gt;""),"DISPENSADO","REVISAR"),"PENDENTE"))</f>
        <v/>
      </c>
      <c r="Y422" s="10" t="inlineStr"/>
    </row>
    <row r="423" ht="112" customHeight="1">
      <c r="A423" s="3" t="n">
        <v>422</v>
      </c>
      <c r="B423" s="3" t="inlineStr">
        <is>
          <t>SL-S39-04</t>
        </is>
      </c>
      <c r="C423" s="9" t="inlineStr">
        <is>
          <t>v0.7.0</t>
        </is>
      </c>
      <c r="D423" s="9" t="inlineStr">
        <is>
          <t>S39</t>
        </is>
      </c>
      <c r="E423" s="3" t="inlineStr">
        <is>
          <t>HelixDB / candidato B</t>
        </is>
      </c>
      <c r="F423" s="3" t="inlineStr">
        <is>
          <t>Spike de motor</t>
        </is>
      </c>
      <c r="G423" s="3" t="inlineStr">
        <is>
          <t>Teste</t>
        </is>
      </c>
      <c r="H423" s="3" t="inlineStr">
        <is>
          <t>Exercitar CRUD e revisão</t>
        </is>
      </c>
      <c r="I423" s="3" t="inlineStr">
        <is>
          <t>Repetir inserção, exclusão, atualização e reabertura do protocolo.</t>
        </is>
      </c>
      <c r="J423" s="3" t="inlineStr">
        <is>
          <t>reports/search/helix/crud.json</t>
        </is>
      </c>
      <c r="K423" s="3" t="inlineStr">
        <is>
          <t>Mesmos critérios e IDs do candidato A; falhas preservadas no relatório.</t>
        </is>
      </c>
      <c r="L423" s="3" t="inlineStr">
        <is>
          <t>SL-S39-03</t>
        </is>
      </c>
      <c r="M423" s="3" t="inlineStr">
        <is>
          <t>R01; R20; R21; R30; R33</t>
        </is>
      </c>
      <c r="N423" s="10" t="inlineStr">
        <is>
          <t>Não iniciado</t>
        </is>
      </c>
      <c r="O423" s="3" t="inlineStr">
        <is>
          <t>P0</t>
        </is>
      </c>
      <c r="P423" s="3" t="inlineStr">
        <is>
          <t>Crítico</t>
        </is>
      </c>
      <c r="Q423" s="3" t="inlineStr">
        <is>
          <t>Obrigatória no escopo da versão</t>
        </is>
      </c>
      <c r="R423" s="10" t="inlineStr">
        <is>
          <t>Autor + agente de IA</t>
        </is>
      </c>
      <c r="S423" s="10" t="inlineStr"/>
      <c r="T423" s="11" t="inlineStr"/>
      <c r="U423" s="3" t="inlineStr">
        <is>
          <t>reports/S39/SL-S39-04.md</t>
        </is>
      </c>
      <c r="V423" s="10" t="inlineStr"/>
      <c r="W423" s="10" t="inlineStr"/>
      <c r="X423" s="3">
        <f>IF(N423="Concluído",IF(AND(S423&lt;&gt;"",ISNUMBER(T423),T423&gt;0,V423&lt;&gt;"",AND(OR(X422="OK",X422="DISPENSADO"))),"OK","REVISAR"),IF(N423="Dispensado (ADR)",IF(AND(LEFT(Q423,11)="Condicional",W423&lt;&gt;"",S423&lt;&gt;"",ISNUMBER(T423),T423&gt;0,V423&lt;&gt;""),"DISPENSADO","REVISAR"),"PENDENTE"))</f>
        <v/>
      </c>
      <c r="Y423" s="10" t="inlineStr"/>
    </row>
    <row r="424" ht="112" customHeight="1">
      <c r="A424" s="3" t="n">
        <v>423</v>
      </c>
      <c r="B424" s="3" t="inlineStr">
        <is>
          <t>SL-S39-05</t>
        </is>
      </c>
      <c r="C424" s="9" t="inlineStr">
        <is>
          <t>v0.7.0</t>
        </is>
      </c>
      <c r="D424" s="9" t="inlineStr">
        <is>
          <t>S39</t>
        </is>
      </c>
      <c r="E424" s="3" t="inlineStr">
        <is>
          <t>HelixDB / candidato B</t>
        </is>
      </c>
      <c r="F424" s="3" t="inlineStr">
        <is>
          <t>Spike de motor</t>
        </is>
      </c>
      <c r="G424" s="3" t="inlineStr">
        <is>
          <t>Teste</t>
        </is>
      </c>
      <c r="H424" s="3" t="inlineStr">
        <is>
          <t>Exercitar filtros e BM25</t>
        </is>
      </c>
      <c r="I424" s="3" t="inlineStr">
        <is>
          <t>Verificar busca textual/vetorial e isolamento de escopos.</t>
        </is>
      </c>
      <c r="J424" s="3" t="inlineStr">
        <is>
          <t>reports/search/helix/hybrid.json</t>
        </is>
      </c>
      <c r="K424" s="3" t="inlineStr">
        <is>
          <t>Operação integrada não mistura conteúdo de workspace não autorizado.</t>
        </is>
      </c>
      <c r="L424" s="3" t="inlineStr">
        <is>
          <t>SL-S39-04</t>
        </is>
      </c>
      <c r="M424" s="3" t="inlineStr">
        <is>
          <t>R01; R20; R21; R30; R33</t>
        </is>
      </c>
      <c r="N424" s="10" t="inlineStr">
        <is>
          <t>Não iniciado</t>
        </is>
      </c>
      <c r="O424" s="3" t="inlineStr">
        <is>
          <t>P0</t>
        </is>
      </c>
      <c r="P424" s="3" t="inlineStr">
        <is>
          <t>Crítico</t>
        </is>
      </c>
      <c r="Q424" s="3" t="inlineStr">
        <is>
          <t>Obrigatória no escopo da versão</t>
        </is>
      </c>
      <c r="R424" s="10" t="inlineStr">
        <is>
          <t>Autor + agente de IA</t>
        </is>
      </c>
      <c r="S424" s="10" t="inlineStr"/>
      <c r="T424" s="11" t="inlineStr"/>
      <c r="U424" s="3" t="inlineStr">
        <is>
          <t>reports/S39/SL-S39-05.md</t>
        </is>
      </c>
      <c r="V424" s="10" t="inlineStr"/>
      <c r="W424" s="10" t="inlineStr"/>
      <c r="X424" s="3">
        <f>IF(N424="Concluído",IF(AND(S424&lt;&gt;"",ISNUMBER(T424),T424&gt;0,V424&lt;&gt;"",AND(OR(X423="OK",X423="DISPENSADO"))),"OK","REVISAR"),IF(N424="Dispensado (ADR)",IF(AND(LEFT(Q424,11)="Condicional",W424&lt;&gt;"",S424&lt;&gt;"",ISNUMBER(T424),T424&gt;0,V424&lt;&gt;""),"DISPENSADO","REVISAR"),"PENDENTE"))</f>
        <v/>
      </c>
      <c r="Y424" s="10" t="inlineStr"/>
    </row>
    <row r="425" ht="112" customHeight="1">
      <c r="A425" s="3" t="n">
        <v>424</v>
      </c>
      <c r="B425" s="3" t="inlineStr">
        <is>
          <t>SL-S39-06</t>
        </is>
      </c>
      <c r="C425" s="9" t="inlineStr">
        <is>
          <t>v0.7.0</t>
        </is>
      </c>
      <c r="D425" s="9" t="inlineStr">
        <is>
          <t>S39</t>
        </is>
      </c>
      <c r="E425" s="3" t="inlineStr">
        <is>
          <t>HelixDB / candidato B</t>
        </is>
      </c>
      <c r="F425" s="3" t="inlineStr">
        <is>
          <t>Spike de motor</t>
        </is>
      </c>
      <c r="G425" s="3" t="inlineStr">
        <is>
          <t>Teste</t>
        </is>
      </c>
      <c r="H425" s="3" t="inlineStr">
        <is>
          <t>Exercitar relações derivadas</t>
        </is>
      </c>
      <c r="I425" s="3" t="inlineStr">
        <is>
          <t>Projetar pequeno grafo canônico e executar consultas úteis ao produto.</t>
        </is>
      </c>
      <c r="J425" s="3" t="inlineStr">
        <is>
          <t>reports/search/helix/graph.json</t>
        </is>
      </c>
      <c r="K425" s="3" t="inlineStr">
        <is>
          <t>Ganho relacional demonstrado por caso real; grafo no banco não substitui topologia em arquivos.</t>
        </is>
      </c>
      <c r="L425" s="3" t="inlineStr">
        <is>
          <t>SL-S39-05</t>
        </is>
      </c>
      <c r="M425" s="3" t="inlineStr">
        <is>
          <t>R01; R20; R21; R30; R33</t>
        </is>
      </c>
      <c r="N425" s="10" t="inlineStr">
        <is>
          <t>Não iniciado</t>
        </is>
      </c>
      <c r="O425" s="3" t="inlineStr">
        <is>
          <t>P0</t>
        </is>
      </c>
      <c r="P425" s="3" t="inlineStr">
        <is>
          <t>Crítico</t>
        </is>
      </c>
      <c r="Q425" s="3" t="inlineStr">
        <is>
          <t>Obrigatória no escopo da versão</t>
        </is>
      </c>
      <c r="R425" s="10" t="inlineStr">
        <is>
          <t>Autor + agente de IA</t>
        </is>
      </c>
      <c r="S425" s="10" t="inlineStr"/>
      <c r="T425" s="11" t="inlineStr"/>
      <c r="U425" s="3" t="inlineStr">
        <is>
          <t>reports/S39/SL-S39-06.md</t>
        </is>
      </c>
      <c r="V425" s="10" t="inlineStr"/>
      <c r="W425" s="10" t="inlineStr"/>
      <c r="X425" s="3">
        <f>IF(N425="Concluído",IF(AND(S425&lt;&gt;"",ISNUMBER(T425),T425&gt;0,V425&lt;&gt;"",AND(OR(X424="OK",X424="DISPENSADO"))),"OK","REVISAR"),IF(N425="Dispensado (ADR)",IF(AND(LEFT(Q425,11)="Condicional",W425&lt;&gt;"",S425&lt;&gt;"",ISNUMBER(T425),T425&gt;0,V425&lt;&gt;""),"DISPENSADO","REVISAR"),"PENDENTE"))</f>
        <v/>
      </c>
      <c r="Y425" s="10" t="inlineStr"/>
    </row>
    <row r="426" ht="112" customHeight="1">
      <c r="A426" s="3" t="n">
        <v>425</v>
      </c>
      <c r="B426" s="3" t="inlineStr">
        <is>
          <t>SL-S39-07</t>
        </is>
      </c>
      <c r="C426" s="9" t="inlineStr">
        <is>
          <t>v0.7.0</t>
        </is>
      </c>
      <c r="D426" s="9" t="inlineStr">
        <is>
          <t>S39</t>
        </is>
      </c>
      <c r="E426" s="3" t="inlineStr">
        <is>
          <t>HelixDB / candidato B</t>
        </is>
      </c>
      <c r="F426" s="3" t="inlineStr">
        <is>
          <t>Spike de motor</t>
        </is>
      </c>
      <c r="G426" s="3" t="inlineStr">
        <is>
          <t>Teste</t>
        </is>
      </c>
      <c r="H426" s="3" t="inlineStr">
        <is>
          <t>Medir recursos e consultas</t>
        </is>
      </c>
      <c r="I426" s="3" t="inlineStr">
        <is>
          <t>Aplicar mesmo corpus, warm/cold, filtros e hardware da prova A.</t>
        </is>
      </c>
      <c r="J426" s="3" t="inlineStr">
        <is>
          <t>reports/search/helix/performance.json</t>
        </is>
      </c>
      <c r="K426" s="3" t="inlineStr">
        <is>
          <t>Caches limitados não são apresentados como limite rígido de RSS total.</t>
        </is>
      </c>
      <c r="L426" s="3" t="inlineStr">
        <is>
          <t>SL-S39-06</t>
        </is>
      </c>
      <c r="M426" s="3" t="inlineStr">
        <is>
          <t>R01; R20; R21; R30; R33</t>
        </is>
      </c>
      <c r="N426" s="10" t="inlineStr">
        <is>
          <t>Não iniciado</t>
        </is>
      </c>
      <c r="O426" s="3" t="inlineStr">
        <is>
          <t>P0</t>
        </is>
      </c>
      <c r="P426" s="3" t="inlineStr">
        <is>
          <t>Crítico</t>
        </is>
      </c>
      <c r="Q426" s="3" t="inlineStr">
        <is>
          <t>Obrigatória no escopo da versão</t>
        </is>
      </c>
      <c r="R426" s="10" t="inlineStr">
        <is>
          <t>Autor + agente de IA</t>
        </is>
      </c>
      <c r="S426" s="10" t="inlineStr"/>
      <c r="T426" s="11" t="inlineStr"/>
      <c r="U426" s="3" t="inlineStr">
        <is>
          <t>reports/S39/SL-S39-07.md</t>
        </is>
      </c>
      <c r="V426" s="10" t="inlineStr"/>
      <c r="W426" s="10" t="inlineStr"/>
      <c r="X426" s="3">
        <f>IF(N426="Concluído",IF(AND(S426&lt;&gt;"",ISNUMBER(T426),T426&gt;0,V426&lt;&gt;"",AND(OR(X425="OK",X425="DISPENSADO"))),"OK","REVISAR"),IF(N426="Dispensado (ADR)",IF(AND(LEFT(Q426,11)="Condicional",W426&lt;&gt;"",S426&lt;&gt;"",ISNUMBER(T426),T426&gt;0,V426&lt;&gt;""),"DISPENSADO","REVISAR"),"PENDENTE"))</f>
        <v/>
      </c>
      <c r="Y426" s="10" t="inlineStr"/>
    </row>
    <row r="427" ht="112" customHeight="1">
      <c r="A427" s="3" t="n">
        <v>426</v>
      </c>
      <c r="B427" s="3" t="inlineStr">
        <is>
          <t>SL-S39-08</t>
        </is>
      </c>
      <c r="C427" s="9" t="inlineStr">
        <is>
          <t>v0.7.0</t>
        </is>
      </c>
      <c r="D427" s="9" t="inlineStr">
        <is>
          <t>S39</t>
        </is>
      </c>
      <c r="E427" s="3" t="inlineStr">
        <is>
          <t>HelixDB / candidato B</t>
        </is>
      </c>
      <c r="F427" s="3" t="inlineStr">
        <is>
          <t>Spike de motor</t>
        </is>
      </c>
      <c r="G427" s="3" t="inlineStr">
        <is>
          <t>Teste</t>
        </is>
      </c>
      <c r="H427" s="3" t="inlineStr">
        <is>
          <t>Exercitar falha/reconstrução</t>
        </is>
      </c>
      <c r="I427" s="3" t="inlineStr">
        <is>
          <t>Apagar ou interromper índice e reconstruir a projeção.</t>
        </is>
      </c>
      <c r="J427" s="3" t="inlineStr">
        <is>
          <t>reports/search/helix/recovery.json</t>
        </is>
      </c>
      <c r="K427" s="3" t="inlineStr">
        <is>
          <t>Nenhuma autoria só pode ser recuperada do banco.</t>
        </is>
      </c>
      <c r="L427" s="3" t="inlineStr">
        <is>
          <t>SL-S39-07</t>
        </is>
      </c>
      <c r="M427" s="3" t="inlineStr">
        <is>
          <t>R01; R20; R21; R30; R33</t>
        </is>
      </c>
      <c r="N427" s="10" t="inlineStr">
        <is>
          <t>Não iniciado</t>
        </is>
      </c>
      <c r="O427" s="3" t="inlineStr">
        <is>
          <t>P0</t>
        </is>
      </c>
      <c r="P427" s="3" t="inlineStr">
        <is>
          <t>Crítico</t>
        </is>
      </c>
      <c r="Q427" s="3" t="inlineStr">
        <is>
          <t>Obrigatória no escopo da versão</t>
        </is>
      </c>
      <c r="R427" s="10" t="inlineStr">
        <is>
          <t>Autor + agente de IA</t>
        </is>
      </c>
      <c r="S427" s="10" t="inlineStr"/>
      <c r="T427" s="11" t="inlineStr"/>
      <c r="U427" s="3" t="inlineStr">
        <is>
          <t>reports/S39/SL-S39-08.md</t>
        </is>
      </c>
      <c r="V427" s="10" t="inlineStr"/>
      <c r="W427" s="10" t="inlineStr"/>
      <c r="X427" s="3">
        <f>IF(N427="Concluído",IF(AND(S427&lt;&gt;"",ISNUMBER(T427),T427&gt;0,V427&lt;&gt;"",AND(OR(X426="OK",X426="DISPENSADO"))),"OK","REVISAR"),IF(N427="Dispensado (ADR)",IF(AND(LEFT(Q427,11)="Condicional",W427&lt;&gt;"",S427&lt;&gt;"",ISNUMBER(T427),T427&gt;0,V427&lt;&gt;""),"DISPENSADO","REVISAR"),"PENDENTE"))</f>
        <v/>
      </c>
      <c r="Y427" s="10" t="inlineStr"/>
    </row>
    <row r="428" ht="112" customHeight="1">
      <c r="A428" s="3" t="n">
        <v>427</v>
      </c>
      <c r="B428" s="3" t="inlineStr">
        <is>
          <t>SL-S39-09</t>
        </is>
      </c>
      <c r="C428" s="9" t="inlineStr">
        <is>
          <t>v0.7.0</t>
        </is>
      </c>
      <c r="D428" s="9" t="inlineStr">
        <is>
          <t>S39</t>
        </is>
      </c>
      <c r="E428" s="3" t="inlineStr">
        <is>
          <t>HelixDB / candidato B</t>
        </is>
      </c>
      <c r="F428" s="3" t="inlineStr">
        <is>
          <t>Spike de motor</t>
        </is>
      </c>
      <c r="G428" s="3" t="inlineStr">
        <is>
          <t>Spike</t>
        </is>
      </c>
      <c r="H428" s="3" t="inlineStr">
        <is>
          <t>Verificar distribuição</t>
        </is>
      </c>
      <c r="I428" s="3" t="inlineStr">
        <is>
          <t>Inspecionar SDK/runtime por alvo e dependências nativas.</t>
        </is>
      </c>
      <c r="J428" s="3" t="inlineStr">
        <is>
          <t>reports/search/helix/packaging.md</t>
        </is>
      </c>
      <c r="K428" s="3" t="inlineStr">
        <is>
          <t>Lacunas de plataforma são fator da decisão, não escondidas como detalhe futuro.</t>
        </is>
      </c>
      <c r="L428" s="3" t="inlineStr">
        <is>
          <t>SL-S39-08</t>
        </is>
      </c>
      <c r="M428" s="3" t="inlineStr">
        <is>
          <t>R01; R20; R21; R30; R33</t>
        </is>
      </c>
      <c r="N428" s="10" t="inlineStr">
        <is>
          <t>Não iniciado</t>
        </is>
      </c>
      <c r="O428" s="3" t="inlineStr">
        <is>
          <t>P0</t>
        </is>
      </c>
      <c r="P428" s="3" t="inlineStr">
        <is>
          <t>Crítico</t>
        </is>
      </c>
      <c r="Q428" s="3" t="inlineStr">
        <is>
          <t>Obrigatória no escopo da versão</t>
        </is>
      </c>
      <c r="R428" s="10" t="inlineStr">
        <is>
          <t>Autor + agente de IA</t>
        </is>
      </c>
      <c r="S428" s="10" t="inlineStr"/>
      <c r="T428" s="11" t="inlineStr"/>
      <c r="U428" s="3" t="inlineStr">
        <is>
          <t>reports/S39/SL-S39-09.md</t>
        </is>
      </c>
      <c r="V428" s="10" t="inlineStr"/>
      <c r="W428" s="10" t="inlineStr"/>
      <c r="X428" s="3">
        <f>IF(N428="Concluído",IF(AND(S428&lt;&gt;"",ISNUMBER(T428),T428&gt;0,V428&lt;&gt;"",AND(OR(X427="OK",X427="DISPENSADO"))),"OK","REVISAR"),IF(N428="Dispensado (ADR)",IF(AND(LEFT(Q428,11)="Condicional",W428&lt;&gt;"",S428&lt;&gt;"",ISNUMBER(T428),T428&gt;0,V428&lt;&gt;""),"DISPENSADO","REVISAR"),"PENDENTE"))</f>
        <v/>
      </c>
      <c r="Y428" s="10" t="inlineStr"/>
    </row>
    <row r="429" ht="112" customHeight="1">
      <c r="A429" s="3" t="n">
        <v>428</v>
      </c>
      <c r="B429" s="3" t="inlineStr">
        <is>
          <t>SL-S39-10</t>
        </is>
      </c>
      <c r="C429" s="9" t="inlineStr">
        <is>
          <t>v0.7.0</t>
        </is>
      </c>
      <c r="D429" s="9" t="inlineStr">
        <is>
          <t>S39</t>
        </is>
      </c>
      <c r="E429" s="3" t="inlineStr">
        <is>
          <t>HelixDB / candidato B</t>
        </is>
      </c>
      <c r="F429" s="3" t="inlineStr">
        <is>
          <t>Spike de motor</t>
        </is>
      </c>
      <c r="G429" s="3" t="inlineStr">
        <is>
          <t>Decisão</t>
        </is>
      </c>
      <c r="H429" s="3" t="inlineStr">
        <is>
          <t>Consolidar conclusão B</t>
        </is>
      </c>
      <c r="I429" s="3" t="inlineStr">
        <is>
          <t>Registrar viabilidade, lacunas e custo incremental versus Qdrant.</t>
        </is>
      </c>
      <c r="J429" s="3" t="inlineStr">
        <is>
          <t>reports/search/helix/conclusion.md</t>
        </is>
      </c>
      <c r="K429" s="3" t="inlineStr">
        <is>
          <t>Protocolo termina com evidências comparáveis mesmo quando motor é rejeitado.</t>
        </is>
      </c>
      <c r="L429" s="3" t="inlineStr">
        <is>
          <t>SL-S39-09</t>
        </is>
      </c>
      <c r="M429" s="3" t="inlineStr">
        <is>
          <t>R01; R20; R21; R30; R33</t>
        </is>
      </c>
      <c r="N429" s="10" t="inlineStr">
        <is>
          <t>Não iniciado</t>
        </is>
      </c>
      <c r="O429" s="3" t="inlineStr">
        <is>
          <t>P0</t>
        </is>
      </c>
      <c r="P429" s="3" t="inlineStr">
        <is>
          <t>Crítico</t>
        </is>
      </c>
      <c r="Q429" s="3" t="inlineStr">
        <is>
          <t>Obrigatória no escopo da versão</t>
        </is>
      </c>
      <c r="R429" s="10" t="inlineStr">
        <is>
          <t>Autor</t>
        </is>
      </c>
      <c r="S429" s="10" t="inlineStr"/>
      <c r="T429" s="11" t="inlineStr"/>
      <c r="U429" s="3" t="inlineStr">
        <is>
          <t>reports/S39/SL-S39-10.md</t>
        </is>
      </c>
      <c r="V429" s="10" t="inlineStr"/>
      <c r="W429" s="10" t="inlineStr"/>
      <c r="X429" s="3">
        <f>IF(N429="Concluído",IF(AND(S429&lt;&gt;"",ISNUMBER(T429),T429&gt;0,V429&lt;&gt;"",AND(OR(X428="OK",X428="DISPENSADO"))),"OK","REVISAR"),IF(N429="Dispensado (ADR)",IF(AND(LEFT(Q429,11)="Condicional",W429&lt;&gt;"",S429&lt;&gt;"",ISNUMBER(T429),T429&gt;0,V429&lt;&gt;""),"DISPENSADO","REVISAR"),"PENDENTE"))</f>
        <v/>
      </c>
      <c r="Y429" s="10" t="inlineStr"/>
    </row>
    <row r="430" ht="98" customHeight="1">
      <c r="A430" s="3" t="n">
        <v>429</v>
      </c>
      <c r="B430" s="12" t="inlineStr">
        <is>
          <t>SL-S39-GATE</t>
        </is>
      </c>
      <c r="C430" s="9" t="inlineStr">
        <is>
          <t>v0.7.0</t>
        </is>
      </c>
      <c r="D430" s="9" t="inlineStr">
        <is>
          <t>S39</t>
        </is>
      </c>
      <c r="E430" s="3" t="inlineStr">
        <is>
          <t>HelixDB / candidato B</t>
        </is>
      </c>
      <c r="F430" s="3" t="inlineStr">
        <is>
          <t>Aceite humano</t>
        </is>
      </c>
      <c r="G430" s="12" t="inlineStr">
        <is>
          <t>Gate</t>
        </is>
      </c>
      <c r="H430" s="12" t="inlineStr">
        <is>
          <t>Aceitar S39 — Avaliar HelixDB sob o mesmo contrato</t>
        </is>
      </c>
      <c r="I430" s="3" t="inlineStr">
        <is>
          <t>Revisar as dez tarefas, executar a demonstração do sprint, confrontar critérios e registrar decisão go/no-go.</t>
        </is>
      </c>
      <c r="J430" s="3" t="inlineStr">
        <is>
          <t>reports/S39/acceptance.md</t>
        </is>
      </c>
      <c r="K430" s="3" t="inlineStr">
        <is>
          <t>Rodar o mesmo corpus e confrontar resultados com o candidato A. Todas as dependências aceitas; evidências vinculadas a revisão/ambiente; nenhum blocker de integridade/segurança.</t>
        </is>
      </c>
      <c r="L430" s="3" t="inlineStr">
        <is>
          <t>SL-S39-01; SL-S39-02; SL-S39-03; SL-S39-04; SL-S39-05; SL-S39-06; SL-S39-07; SL-S39-08; SL-S39-09; SL-S39-10</t>
        </is>
      </c>
      <c r="M430" s="3" t="inlineStr">
        <is>
          <t>R01; R20; R21; R30; R33</t>
        </is>
      </c>
      <c r="N430" s="10" t="inlineStr">
        <is>
          <t>Não iniciado</t>
        </is>
      </c>
      <c r="O430" s="3" t="inlineStr">
        <is>
          <t>P0</t>
        </is>
      </c>
      <c r="P430" s="3" t="inlineStr">
        <is>
          <t>Crítico</t>
        </is>
      </c>
      <c r="Q430" s="3" t="inlineStr">
        <is>
          <t>Obrigatória para fechar a versão aprovada</t>
        </is>
      </c>
      <c r="R430" s="10" t="inlineStr">
        <is>
          <t>Autor</t>
        </is>
      </c>
      <c r="S430" s="10" t="inlineStr"/>
      <c r="T430" s="11" t="inlineStr"/>
      <c r="U430" s="3" t="inlineStr">
        <is>
          <t>reports/S39/acceptance.md</t>
        </is>
      </c>
      <c r="V430" s="10" t="inlineStr"/>
      <c r="W430" s="10" t="inlineStr"/>
      <c r="X430" s="3">
        <f>IF(N430="Concluído",IF(AND(S430&lt;&gt;"",ISNUMBER(T430),T430&gt;0,V430&lt;&gt;"",AND(OR(X420="OK",X420="DISPENSADO"),OR(X421="OK",X421="DISPENSADO"),OR(X422="OK",X422="DISPENSADO"),OR(X423="OK",X423="DISPENSADO"),OR(X424="OK",X424="DISPENSADO"),OR(X425="OK",X425="DISPENSADO"),OR(X426="OK",X426="DISPENSADO"),OR(X427="OK",X427="DISPENSADO"),OR(X428="OK",X428="DISPENSADO"),OR(X429="OK",X429="DISPENSADO"))),"OK","REVISAR"),IF(N430="Dispensado (ADR)",IF(AND(LEFT(Q430,11)="Condicional",W430&lt;&gt;"",S430&lt;&gt;"",ISNUMBER(T430),T430&gt;0,V430&lt;&gt;""),"DISPENSADO","REVISAR"),"PENDENTE"))</f>
        <v/>
      </c>
      <c r="Y430" s="10" t="inlineStr">
        <is>
          <t>Uma conclusão negativa fundamentada pode fechar um spike, mas não aprova o motor rejeitado.</t>
        </is>
      </c>
    </row>
    <row r="431" ht="112" customHeight="1">
      <c r="A431" s="3" t="n">
        <v>430</v>
      </c>
      <c r="B431" s="3" t="inlineStr">
        <is>
          <t>SL-S40-01</t>
        </is>
      </c>
      <c r="C431" s="9" t="inlineStr">
        <is>
          <t>v0.7.0</t>
        </is>
      </c>
      <c r="D431" s="9" t="inlineStr">
        <is>
          <t>S40</t>
        </is>
      </c>
      <c r="E431" s="3" t="inlineStr">
        <is>
          <t>Qdrant OU HelixDB / produção</t>
        </is>
      </c>
      <c r="F431" s="3" t="inlineStr">
        <is>
          <t>Integração</t>
        </is>
      </c>
      <c r="G431" s="3" t="inlineStr">
        <is>
          <t>Decisão</t>
        </is>
      </c>
      <c r="H431" s="3" t="inlineStr">
        <is>
          <t>Aprovar seleção</t>
        </is>
      </c>
      <c r="I431" s="3" t="inlineStr">
        <is>
          <t>Confrontar rubrica e relatórios; resolver ADR-013 com veto para requisitos essenciais não atendidos.</t>
        </is>
      </c>
      <c r="J431" s="3" t="inlineStr">
        <is>
          <t>docs/adr/013-search-backend.md</t>
        </is>
      </c>
      <c r="K431" s="3" t="inlineStr">
        <is>
          <t>Um candidato escolhido explicitamente; se ambos falham, sprint bloqueia e plano é revisto.</t>
        </is>
      </c>
      <c r="L431" s="3" t="inlineStr">
        <is>
          <t>SL-S38-GATE; SL-S39-GATE</t>
        </is>
      </c>
      <c r="M431" s="3" t="inlineStr">
        <is>
          <t>R02; R20; R21; R30; R32</t>
        </is>
      </c>
      <c r="N431" s="10" t="inlineStr">
        <is>
          <t>Não iniciado</t>
        </is>
      </c>
      <c r="O431" s="3" t="inlineStr">
        <is>
          <t>P0</t>
        </is>
      </c>
      <c r="P431" s="3" t="inlineStr">
        <is>
          <t>Crítico</t>
        </is>
      </c>
      <c r="Q431" s="3" t="inlineStr">
        <is>
          <t>Obrigatória no escopo da versão</t>
        </is>
      </c>
      <c r="R431" s="10" t="inlineStr">
        <is>
          <t>Autor</t>
        </is>
      </c>
      <c r="S431" s="10" t="inlineStr"/>
      <c r="T431" s="11" t="inlineStr"/>
      <c r="U431" s="3" t="inlineStr">
        <is>
          <t>reports/S40/SL-S40-01.md</t>
        </is>
      </c>
      <c r="V431" s="10" t="inlineStr"/>
      <c r="W431" s="10" t="inlineStr"/>
      <c r="X431" s="3">
        <f>IF(N431="Concluído",IF(AND(S431&lt;&gt;"",ISNUMBER(T431),T431&gt;0,V431&lt;&gt;"",AND(OR(X419="OK",X419="DISPENSADO"),OR(X430="OK",X430="DISPENSADO"))),"OK","REVISAR"),IF(N431="Dispensado (ADR)",IF(AND(LEFT(Q431,11)="Condicional",W431&lt;&gt;"",S431&lt;&gt;"",ISNUMBER(T431),T431&gt;0,V431&lt;&gt;""),"DISPENSADO","REVISAR"),"PENDENTE"))</f>
        <v/>
      </c>
      <c r="Y431" s="10" t="inlineStr"/>
    </row>
    <row r="432" ht="112" customHeight="1">
      <c r="A432" s="3" t="n">
        <v>431</v>
      </c>
      <c r="B432" s="3" t="inlineStr">
        <is>
          <t>SL-S40-02</t>
        </is>
      </c>
      <c r="C432" s="9" t="inlineStr">
        <is>
          <t>v0.7.0</t>
        </is>
      </c>
      <c r="D432" s="9" t="inlineStr">
        <is>
          <t>S40</t>
        </is>
      </c>
      <c r="E432" s="3" t="inlineStr">
        <is>
          <t>Qdrant OU HelixDB / produção</t>
        </is>
      </c>
      <c r="F432" s="3" t="inlineStr">
        <is>
          <t>Integração</t>
        </is>
      </c>
      <c r="G432" s="3" t="inlineStr">
        <is>
          <t>Implementação</t>
        </is>
      </c>
      <c r="H432" s="3" t="inlineStr">
        <is>
          <t>Promover adapter selecionado</t>
        </is>
      </c>
      <c r="I432" s="3" t="inlineStr">
        <is>
          <t>Mover somente código necessário do experimento à camada de produção.</t>
        </is>
      </c>
      <c r="J432" s="3" t="inlineStr">
        <is>
          <t>adapters/search-selected/</t>
        </is>
      </c>
      <c r="K432" s="3" t="inlineStr">
        <is>
          <t>Segundo candidato não é dependência de runtime nem inicia processos.</t>
        </is>
      </c>
      <c r="L432" s="3" t="inlineStr">
        <is>
          <t>SL-S40-01</t>
        </is>
      </c>
      <c r="M432" s="3" t="inlineStr">
        <is>
          <t>R02; R20; R21; R30; R32</t>
        </is>
      </c>
      <c r="N432" s="10" t="inlineStr">
        <is>
          <t>Não iniciado</t>
        </is>
      </c>
      <c r="O432" s="3" t="inlineStr">
        <is>
          <t>P0</t>
        </is>
      </c>
      <c r="P432" s="3" t="inlineStr">
        <is>
          <t>Crítico</t>
        </is>
      </c>
      <c r="Q432" s="3" t="inlineStr">
        <is>
          <t>Obrigatória no escopo da versão</t>
        </is>
      </c>
      <c r="R432" s="10" t="inlineStr">
        <is>
          <t>Autor + agente de IA</t>
        </is>
      </c>
      <c r="S432" s="10" t="inlineStr"/>
      <c r="T432" s="11" t="inlineStr"/>
      <c r="U432" s="3" t="inlineStr">
        <is>
          <t>reports/S40/SL-S40-02.md</t>
        </is>
      </c>
      <c r="V432" s="10" t="inlineStr"/>
      <c r="W432" s="10" t="inlineStr"/>
      <c r="X432" s="3">
        <f>IF(N432="Concluído",IF(AND(S432&lt;&gt;"",ISNUMBER(T432),T432&gt;0,V432&lt;&gt;"",AND(OR(X431="OK",X431="DISPENSADO"))),"OK","REVISAR"),IF(N432="Dispensado (ADR)",IF(AND(LEFT(Q432,11)="Condicional",W432&lt;&gt;"",S432&lt;&gt;"",ISNUMBER(T432),T432&gt;0,V432&lt;&gt;""),"DISPENSADO","REVISAR"),"PENDENTE"))</f>
        <v/>
      </c>
      <c r="Y432" s="10" t="inlineStr"/>
    </row>
    <row r="433" ht="112" customHeight="1">
      <c r="A433" s="3" t="n">
        <v>432</v>
      </c>
      <c r="B433" s="3" t="inlineStr">
        <is>
          <t>SL-S40-03</t>
        </is>
      </c>
      <c r="C433" s="9" t="inlineStr">
        <is>
          <t>v0.7.0</t>
        </is>
      </c>
      <c r="D433" s="9" t="inlineStr">
        <is>
          <t>S40</t>
        </is>
      </c>
      <c r="E433" s="3" t="inlineStr">
        <is>
          <t>Qdrant OU HelixDB / produção</t>
        </is>
      </c>
      <c r="F433" s="3" t="inlineStr">
        <is>
          <t>Integração</t>
        </is>
      </c>
      <c r="G433" s="3" t="inlineStr">
        <is>
          <t>Implementação</t>
        </is>
      </c>
      <c r="H433" s="3" t="inlineStr">
        <is>
          <t>Integrar índice e manifest</t>
        </is>
      </c>
      <c r="I433" s="3" t="inlineStr">
        <is>
          <t>Versionar schema, engine, embeddings e configuração de armazenamento.</t>
        </is>
      </c>
      <c r="J433" s="3" t="inlineStr">
        <is>
          <t>crates/search/src/index_manifest.rs</t>
        </is>
      </c>
      <c r="K433" s="3" t="inlineStr">
        <is>
          <t>Índice incompatível é reconstruído/isolado e não lido como se fosse atual.</t>
        </is>
      </c>
      <c r="L433" s="3" t="inlineStr">
        <is>
          <t>SL-S40-02</t>
        </is>
      </c>
      <c r="M433" s="3" t="inlineStr">
        <is>
          <t>R02; R20; R21; R30; R32</t>
        </is>
      </c>
      <c r="N433" s="10" t="inlineStr">
        <is>
          <t>Não iniciado</t>
        </is>
      </c>
      <c r="O433" s="3" t="inlineStr">
        <is>
          <t>P0</t>
        </is>
      </c>
      <c r="P433" s="3" t="inlineStr">
        <is>
          <t>Crítico</t>
        </is>
      </c>
      <c r="Q433" s="3" t="inlineStr">
        <is>
          <t>Obrigatória no escopo da versão</t>
        </is>
      </c>
      <c r="R433" s="10" t="inlineStr">
        <is>
          <t>Autor + agente de IA</t>
        </is>
      </c>
      <c r="S433" s="10" t="inlineStr"/>
      <c r="T433" s="11" t="inlineStr"/>
      <c r="U433" s="3" t="inlineStr">
        <is>
          <t>reports/S40/SL-S40-03.md</t>
        </is>
      </c>
      <c r="V433" s="10" t="inlineStr"/>
      <c r="W433" s="10" t="inlineStr"/>
      <c r="X433" s="3">
        <f>IF(N433="Concluído",IF(AND(S433&lt;&gt;"",ISNUMBER(T433),T433&gt;0,V433&lt;&gt;"",AND(OR(X432="OK",X432="DISPENSADO"))),"OK","REVISAR"),IF(N433="Dispensado (ADR)",IF(AND(LEFT(Q433,11)="Condicional",W433&lt;&gt;"",S433&lt;&gt;"",ISNUMBER(T433),T433&gt;0,V433&lt;&gt;""),"DISPENSADO","REVISAR"),"PENDENTE"))</f>
        <v/>
      </c>
      <c r="Y433" s="10" t="inlineStr"/>
    </row>
    <row r="434" ht="112" customHeight="1">
      <c r="A434" s="3" t="n">
        <v>433</v>
      </c>
      <c r="B434" s="3" t="inlineStr">
        <is>
          <t>SL-S40-04</t>
        </is>
      </c>
      <c r="C434" s="9" t="inlineStr">
        <is>
          <t>v0.7.0</t>
        </is>
      </c>
      <c r="D434" s="9" t="inlineStr">
        <is>
          <t>S40</t>
        </is>
      </c>
      <c r="E434" s="3" t="inlineStr">
        <is>
          <t>Qdrant OU HelixDB / produção</t>
        </is>
      </c>
      <c r="F434" s="3" t="inlineStr">
        <is>
          <t>Integração</t>
        </is>
      </c>
      <c r="G434" s="3" t="inlineStr">
        <is>
          <t>Implementação</t>
        </is>
      </c>
      <c r="H434" s="3" t="inlineStr">
        <is>
          <t>Integrar backend léxico</t>
        </is>
      </c>
      <c r="I434" s="3" t="inlineStr">
        <is>
          <t>Manter FTS5 ou adotar BM25 do motor conforme ADR, evitando duplicação injustificada.</t>
        </is>
      </c>
      <c r="J434" s="3" t="inlineStr">
        <is>
          <t>crates/search/src/lexical.rs</t>
        </is>
      </c>
      <c r="K434" s="3" t="inlineStr">
        <is>
          <t>Caminho léxico funciona sem gerar embedding e possui contrato equivalente.</t>
        </is>
      </c>
      <c r="L434" s="3" t="inlineStr">
        <is>
          <t>SL-S40-03</t>
        </is>
      </c>
      <c r="M434" s="3" t="inlineStr">
        <is>
          <t>R02; R20; R21; R30; R32</t>
        </is>
      </c>
      <c r="N434" s="10" t="inlineStr">
        <is>
          <t>Não iniciado</t>
        </is>
      </c>
      <c r="O434" s="3" t="inlineStr">
        <is>
          <t>P0</t>
        </is>
      </c>
      <c r="P434" s="3" t="inlineStr">
        <is>
          <t>Crítico</t>
        </is>
      </c>
      <c r="Q434" s="3" t="inlineStr">
        <is>
          <t>Obrigatória no escopo da versão</t>
        </is>
      </c>
      <c r="R434" s="10" t="inlineStr">
        <is>
          <t>Autor + agente de IA</t>
        </is>
      </c>
      <c r="S434" s="10" t="inlineStr"/>
      <c r="T434" s="11" t="inlineStr"/>
      <c r="U434" s="3" t="inlineStr">
        <is>
          <t>reports/S40/SL-S40-04.md</t>
        </is>
      </c>
      <c r="V434" s="10" t="inlineStr"/>
      <c r="W434" s="10" t="inlineStr"/>
      <c r="X434" s="3">
        <f>IF(N434="Concluído",IF(AND(S434&lt;&gt;"",ISNUMBER(T434),T434&gt;0,V434&lt;&gt;"",AND(OR(X433="OK",X433="DISPENSADO"))),"OK","REVISAR"),IF(N434="Dispensado (ADR)",IF(AND(LEFT(Q434,11)="Condicional",W434&lt;&gt;"",S434&lt;&gt;"",ISNUMBER(T434),T434&gt;0,V434&lt;&gt;""),"DISPENSADO","REVISAR"),"PENDENTE"))</f>
        <v/>
      </c>
      <c r="Y434" s="10" t="inlineStr"/>
    </row>
    <row r="435" ht="112" customHeight="1">
      <c r="A435" s="3" t="n">
        <v>434</v>
      </c>
      <c r="B435" s="3" t="inlineStr">
        <is>
          <t>SL-S40-05</t>
        </is>
      </c>
      <c r="C435" s="9" t="inlineStr">
        <is>
          <t>v0.7.0</t>
        </is>
      </c>
      <c r="D435" s="9" t="inlineStr">
        <is>
          <t>S40</t>
        </is>
      </c>
      <c r="E435" s="3" t="inlineStr">
        <is>
          <t>Qdrant OU HelixDB / produção</t>
        </is>
      </c>
      <c r="F435" s="3" t="inlineStr">
        <is>
          <t>Integração</t>
        </is>
      </c>
      <c r="G435" s="3" t="inlineStr">
        <is>
          <t>Implementação</t>
        </is>
      </c>
      <c r="H435" s="3" t="inlineStr">
        <is>
          <t>Implementar fusão RRF</t>
        </is>
      </c>
      <c r="I435" s="3" t="inlineStr">
        <is>
          <t>Combinar rankings no coordenador quando motores forem separados.</t>
        </is>
      </c>
      <c r="J435" s="3" t="inlineStr">
        <is>
          <t>crates/search/src/fusion.rs</t>
        </is>
      </c>
      <c r="K435" s="3" t="inlineStr">
        <is>
          <t>Fórmula/testes não dependem da antiga query SQL única com sqlite-vec.</t>
        </is>
      </c>
      <c r="L435" s="3" t="inlineStr">
        <is>
          <t>SL-S40-04</t>
        </is>
      </c>
      <c r="M435" s="3" t="inlineStr">
        <is>
          <t>R02; R20; R21; R30; R32</t>
        </is>
      </c>
      <c r="N435" s="10" t="inlineStr">
        <is>
          <t>Não iniciado</t>
        </is>
      </c>
      <c r="O435" s="3" t="inlineStr">
        <is>
          <t>P0</t>
        </is>
      </c>
      <c r="P435" s="3" t="inlineStr">
        <is>
          <t>Crítico</t>
        </is>
      </c>
      <c r="Q435" s="3" t="inlineStr">
        <is>
          <t>Obrigatória no escopo da versão</t>
        </is>
      </c>
      <c r="R435" s="10" t="inlineStr">
        <is>
          <t>Autor + agente de IA</t>
        </is>
      </c>
      <c r="S435" s="10" t="inlineStr"/>
      <c r="T435" s="11" t="inlineStr"/>
      <c r="U435" s="3" t="inlineStr">
        <is>
          <t>reports/S40/SL-S40-05.md</t>
        </is>
      </c>
      <c r="V435" s="10" t="inlineStr"/>
      <c r="W435" s="10" t="inlineStr"/>
      <c r="X435" s="3">
        <f>IF(N435="Concluído",IF(AND(S435&lt;&gt;"",ISNUMBER(T435),T435&gt;0,V435&lt;&gt;"",AND(OR(X434="OK",X434="DISPENSADO"))),"OK","REVISAR"),IF(N435="Dispensado (ADR)",IF(AND(LEFT(Q435,11)="Condicional",W435&lt;&gt;"",S435&lt;&gt;"",ISNUMBER(T435),T435&gt;0,V435&lt;&gt;""),"DISPENSADO","REVISAR"),"PENDENTE"))</f>
        <v/>
      </c>
      <c r="Y435" s="10" t="inlineStr"/>
    </row>
    <row r="436" ht="112" customHeight="1">
      <c r="A436" s="3" t="n">
        <v>435</v>
      </c>
      <c r="B436" s="3" t="inlineStr">
        <is>
          <t>SL-S40-06</t>
        </is>
      </c>
      <c r="C436" s="9" t="inlineStr">
        <is>
          <t>v0.7.0</t>
        </is>
      </c>
      <c r="D436" s="9" t="inlineStr">
        <is>
          <t>S40</t>
        </is>
      </c>
      <c r="E436" s="3" t="inlineStr">
        <is>
          <t>Qdrant OU HelixDB / produção</t>
        </is>
      </c>
      <c r="F436" s="3" t="inlineStr">
        <is>
          <t>Integração</t>
        </is>
      </c>
      <c r="G436" s="3" t="inlineStr">
        <is>
          <t>Implementação</t>
        </is>
      </c>
      <c r="H436" s="3" t="inlineStr">
        <is>
          <t>Aplicar autorização a hits</t>
        </is>
      </c>
      <c r="I436" s="3" t="inlineStr">
        <is>
          <t>Filtrar/validar escopo e revisão antes de expor conteúdo.</t>
        </is>
      </c>
      <c r="J436" s="3" t="inlineStr">
        <is>
          <t>crates/search/src/authorization.rs</t>
        </is>
      </c>
      <c r="K436" s="3" t="inlineStr">
        <is>
          <t>Resultado inesperado do backend não contorna o ToolBroker.</t>
        </is>
      </c>
      <c r="L436" s="3" t="inlineStr">
        <is>
          <t>SL-S40-05</t>
        </is>
      </c>
      <c r="M436" s="3" t="inlineStr">
        <is>
          <t>R02; R20; R21; R30; R32</t>
        </is>
      </c>
      <c r="N436" s="10" t="inlineStr">
        <is>
          <t>Não iniciado</t>
        </is>
      </c>
      <c r="O436" s="3" t="inlineStr">
        <is>
          <t>P0</t>
        </is>
      </c>
      <c r="P436" s="3" t="inlineStr">
        <is>
          <t>Crítico</t>
        </is>
      </c>
      <c r="Q436" s="3" t="inlineStr">
        <is>
          <t>Obrigatória no escopo da versão</t>
        </is>
      </c>
      <c r="R436" s="10" t="inlineStr">
        <is>
          <t>Autor + agente de IA</t>
        </is>
      </c>
      <c r="S436" s="10" t="inlineStr"/>
      <c r="T436" s="11" t="inlineStr"/>
      <c r="U436" s="3" t="inlineStr">
        <is>
          <t>reports/S40/SL-S40-06.md</t>
        </is>
      </c>
      <c r="V436" s="10" t="inlineStr"/>
      <c r="W436" s="10" t="inlineStr"/>
      <c r="X436" s="3">
        <f>IF(N436="Concluído",IF(AND(S436&lt;&gt;"",ISNUMBER(T436),T436&gt;0,V436&lt;&gt;"",AND(OR(X435="OK",X435="DISPENSADO"))),"OK","REVISAR"),IF(N436="Dispensado (ADR)",IF(AND(LEFT(Q436,11)="Condicional",W436&lt;&gt;"",S436&lt;&gt;"",ISNUMBER(T436),T436&gt;0,V436&lt;&gt;""),"DISPENSADO","REVISAR"),"PENDENTE"))</f>
        <v/>
      </c>
      <c r="Y436" s="10" t="inlineStr"/>
    </row>
    <row r="437" ht="112" customHeight="1">
      <c r="A437" s="3" t="n">
        <v>436</v>
      </c>
      <c r="B437" s="3" t="inlineStr">
        <is>
          <t>SL-S40-07</t>
        </is>
      </c>
      <c r="C437" s="9" t="inlineStr">
        <is>
          <t>v0.7.0</t>
        </is>
      </c>
      <c r="D437" s="9" t="inlineStr">
        <is>
          <t>S40</t>
        </is>
      </c>
      <c r="E437" s="3" t="inlineStr">
        <is>
          <t>Qdrant OU HelixDB / produção</t>
        </is>
      </c>
      <c r="F437" s="3" t="inlineStr">
        <is>
          <t>Integração</t>
        </is>
      </c>
      <c r="G437" s="3" t="inlineStr">
        <is>
          <t>Implementação</t>
        </is>
      </c>
      <c r="H437" s="3" t="inlineStr">
        <is>
          <t>Integrar geração de consultas vetoriais</t>
        </is>
      </c>
      <c r="I437" s="3" t="inlineStr">
        <is>
          <t>Usar mesmo espaço aprovado e fallback léxico em indisponibilidade.</t>
        </is>
      </c>
      <c r="J437" s="3" t="inlineStr">
        <is>
          <t>crates/search/src/query_vectors.rs</t>
        </is>
      </c>
      <c r="K437" s="3" t="inlineStr">
        <is>
          <t>Modelo descarregado pode causar latência explícita, não envio externo automático.</t>
        </is>
      </c>
      <c r="L437" s="3" t="inlineStr">
        <is>
          <t>SL-S40-06</t>
        </is>
      </c>
      <c r="M437" s="3" t="inlineStr">
        <is>
          <t>R02; R20; R21; R30; R32</t>
        </is>
      </c>
      <c r="N437" s="10" t="inlineStr">
        <is>
          <t>Não iniciado</t>
        </is>
      </c>
      <c r="O437" s="3" t="inlineStr">
        <is>
          <t>P0</t>
        </is>
      </c>
      <c r="P437" s="3" t="inlineStr">
        <is>
          <t>Crítico</t>
        </is>
      </c>
      <c r="Q437" s="3" t="inlineStr">
        <is>
          <t>Obrigatória no escopo da versão</t>
        </is>
      </c>
      <c r="R437" s="10" t="inlineStr">
        <is>
          <t>Autor + agente de IA</t>
        </is>
      </c>
      <c r="S437" s="10" t="inlineStr"/>
      <c r="T437" s="11" t="inlineStr"/>
      <c r="U437" s="3" t="inlineStr">
        <is>
          <t>reports/S40/SL-S40-07.md</t>
        </is>
      </c>
      <c r="V437" s="10" t="inlineStr"/>
      <c r="W437" s="10" t="inlineStr"/>
      <c r="X437" s="3">
        <f>IF(N437="Concluído",IF(AND(S437&lt;&gt;"",ISNUMBER(T437),T437&gt;0,V437&lt;&gt;"",AND(OR(X436="OK",X436="DISPENSADO"))),"OK","REVISAR"),IF(N437="Dispensado (ADR)",IF(AND(LEFT(Q437,11)="Condicional",W437&lt;&gt;"",S437&lt;&gt;"",ISNUMBER(T437),T437&gt;0,V437&lt;&gt;""),"DISPENSADO","REVISAR"),"PENDENTE"))</f>
        <v/>
      </c>
      <c r="Y437" s="10" t="inlineStr"/>
    </row>
    <row r="438" ht="112" customHeight="1">
      <c r="A438" s="3" t="n">
        <v>437</v>
      </c>
      <c r="B438" s="3" t="inlineStr">
        <is>
          <t>SL-S40-08</t>
        </is>
      </c>
      <c r="C438" s="9" t="inlineStr">
        <is>
          <t>v0.7.0</t>
        </is>
      </c>
      <c r="D438" s="9" t="inlineStr">
        <is>
          <t>S40</t>
        </is>
      </c>
      <c r="E438" s="3" t="inlineStr">
        <is>
          <t>Qdrant OU HelixDB / produção</t>
        </is>
      </c>
      <c r="F438" s="3" t="inlineStr">
        <is>
          <t>Integração</t>
        </is>
      </c>
      <c r="G438" s="3" t="inlineStr">
        <is>
          <t>Implementação</t>
        </is>
      </c>
      <c r="H438" s="3" t="inlineStr">
        <is>
          <t>Conectar lifecycle e métricas</t>
        </is>
      </c>
      <c r="I438" s="3" t="inlineStr">
        <is>
          <t>Abrir/fechar engine, gerenciar recursos e expor diagnóstico.</t>
        </is>
      </c>
      <c r="J438" s="3" t="inlineStr">
        <is>
          <t>crates/search/src/lifecycle.rs</t>
        </is>
      </c>
      <c r="K438" s="3" t="inlineStr">
        <is>
          <t>Engine não vira processo órfão e modo offline é observado.</t>
        </is>
      </c>
      <c r="L438" s="3" t="inlineStr">
        <is>
          <t>SL-S40-07</t>
        </is>
      </c>
      <c r="M438" s="3" t="inlineStr">
        <is>
          <t>R02; R20; R21; R30; R32</t>
        </is>
      </c>
      <c r="N438" s="10" t="inlineStr">
        <is>
          <t>Não iniciado</t>
        </is>
      </c>
      <c r="O438" s="3" t="inlineStr">
        <is>
          <t>P0</t>
        </is>
      </c>
      <c r="P438" s="3" t="inlineStr">
        <is>
          <t>Crítico</t>
        </is>
      </c>
      <c r="Q438" s="3" t="inlineStr">
        <is>
          <t>Obrigatória no escopo da versão</t>
        </is>
      </c>
      <c r="R438" s="10" t="inlineStr">
        <is>
          <t>Autor + agente de IA</t>
        </is>
      </c>
      <c r="S438" s="10" t="inlineStr"/>
      <c r="T438" s="11" t="inlineStr"/>
      <c r="U438" s="3" t="inlineStr">
        <is>
          <t>reports/S40/SL-S40-08.md</t>
        </is>
      </c>
      <c r="V438" s="10" t="inlineStr"/>
      <c r="W438" s="10" t="inlineStr"/>
      <c r="X438" s="3">
        <f>IF(N438="Concluído",IF(AND(S438&lt;&gt;"",ISNUMBER(T438),T438&gt;0,V438&lt;&gt;"",AND(OR(X437="OK",X437="DISPENSADO"))),"OK","REVISAR"),IF(N438="Dispensado (ADR)",IF(AND(LEFT(Q438,11)="Condicional",W438&lt;&gt;"",S438&lt;&gt;"",ISNUMBER(T438),T438&gt;0,V438&lt;&gt;""),"DISPENSADO","REVISAR"),"PENDENTE"))</f>
        <v/>
      </c>
      <c r="Y438" s="10" t="inlineStr"/>
    </row>
    <row r="439" ht="112" customHeight="1">
      <c r="A439" s="3" t="n">
        <v>438</v>
      </c>
      <c r="B439" s="3" t="inlineStr">
        <is>
          <t>SL-S40-09</t>
        </is>
      </c>
      <c r="C439" s="9" t="inlineStr">
        <is>
          <t>v0.7.0</t>
        </is>
      </c>
      <c r="D439" s="9" t="inlineStr">
        <is>
          <t>S40</t>
        </is>
      </c>
      <c r="E439" s="3" t="inlineStr">
        <is>
          <t>Qdrant OU HelixDB / produção</t>
        </is>
      </c>
      <c r="F439" s="3" t="inlineStr">
        <is>
          <t>Integração</t>
        </is>
      </c>
      <c r="G439" s="3" t="inlineStr">
        <is>
          <t>Teste</t>
        </is>
      </c>
      <c r="H439" s="3" t="inlineStr">
        <is>
          <t>Executar conformidade de produção</t>
        </is>
      </c>
      <c r="I439" s="3" t="inlineStr">
        <is>
          <t>Rodar suite comum no adapter promovido, não apenas no protótipo.</t>
        </is>
      </c>
      <c r="J439" s="3" t="inlineStr">
        <is>
          <t>reports/search/production-contract.json</t>
        </is>
      </c>
      <c r="K439" s="3" t="inlineStr">
        <is>
          <t>Todos os requisitos essenciais aprovados na decisão continuam satisfeitos após integração.</t>
        </is>
      </c>
      <c r="L439" s="3" t="inlineStr">
        <is>
          <t>SL-S40-08</t>
        </is>
      </c>
      <c r="M439" s="3" t="inlineStr">
        <is>
          <t>R02; R20; R21; R30; R32</t>
        </is>
      </c>
      <c r="N439" s="10" t="inlineStr">
        <is>
          <t>Não iniciado</t>
        </is>
      </c>
      <c r="O439" s="3" t="inlineStr">
        <is>
          <t>P0</t>
        </is>
      </c>
      <c r="P439" s="3" t="inlineStr">
        <is>
          <t>Crítico</t>
        </is>
      </c>
      <c r="Q439" s="3" t="inlineStr">
        <is>
          <t>Obrigatória no escopo da versão</t>
        </is>
      </c>
      <c r="R439" s="10" t="inlineStr">
        <is>
          <t>Autor + agente de IA</t>
        </is>
      </c>
      <c r="S439" s="10" t="inlineStr"/>
      <c r="T439" s="11" t="inlineStr"/>
      <c r="U439" s="3" t="inlineStr">
        <is>
          <t>reports/S40/SL-S40-09.md</t>
        </is>
      </c>
      <c r="V439" s="10" t="inlineStr"/>
      <c r="W439" s="10" t="inlineStr"/>
      <c r="X439" s="3">
        <f>IF(N439="Concluído",IF(AND(S439&lt;&gt;"",ISNUMBER(T439),T439&gt;0,V439&lt;&gt;"",AND(OR(X438="OK",X438="DISPENSADO"))),"OK","REVISAR"),IF(N439="Dispensado (ADR)",IF(AND(LEFT(Q439,11)="Condicional",W439&lt;&gt;"",S439&lt;&gt;"",ISNUMBER(T439),T439&gt;0,V439&lt;&gt;""),"DISPENSADO","REVISAR"),"PENDENTE"))</f>
        <v/>
      </c>
      <c r="Y439" s="10" t="inlineStr"/>
    </row>
    <row r="440" ht="112" customHeight="1">
      <c r="A440" s="3" t="n">
        <v>439</v>
      </c>
      <c r="B440" s="3" t="inlineStr">
        <is>
          <t>SL-S40-10</t>
        </is>
      </c>
      <c r="C440" s="9" t="inlineStr">
        <is>
          <t>v0.7.0</t>
        </is>
      </c>
      <c r="D440" s="9" t="inlineStr">
        <is>
          <t>S40</t>
        </is>
      </c>
      <c r="E440" s="3" t="inlineStr">
        <is>
          <t>Qdrant OU HelixDB / produção</t>
        </is>
      </c>
      <c r="F440" s="3" t="inlineStr">
        <is>
          <t>Integração</t>
        </is>
      </c>
      <c r="G440" s="3" t="inlineStr">
        <is>
          <t>Licença</t>
        </is>
      </c>
      <c r="H440" s="3" t="inlineStr">
        <is>
          <t>Remover dependências não escolhidas</t>
        </is>
      </c>
      <c r="I440" s="3" t="inlineStr">
        <is>
          <t>Atualizar SBOM, pacotes e documentação de instalação.</t>
        </is>
      </c>
      <c r="J440" s="3" t="inlineStr">
        <is>
          <t>compliance/search-runtime.json</t>
        </is>
      </c>
      <c r="K440" s="3" t="inlineStr">
        <is>
          <t>Pacote final contém somente o caminho adotado e suas licenças reais.</t>
        </is>
      </c>
      <c r="L440" s="3" t="inlineStr">
        <is>
          <t>SL-S40-09</t>
        </is>
      </c>
      <c r="M440" s="3" t="inlineStr">
        <is>
          <t>R02; R20; R21; R30; R32</t>
        </is>
      </c>
      <c r="N440" s="10" t="inlineStr">
        <is>
          <t>Não iniciado</t>
        </is>
      </c>
      <c r="O440" s="3" t="inlineStr">
        <is>
          <t>P0</t>
        </is>
      </c>
      <c r="P440" s="3" t="inlineStr">
        <is>
          <t>Crítico</t>
        </is>
      </c>
      <c r="Q440" s="3" t="inlineStr">
        <is>
          <t>Obrigatória no escopo da versão</t>
        </is>
      </c>
      <c r="R440" s="10" t="inlineStr">
        <is>
          <t>Autor</t>
        </is>
      </c>
      <c r="S440" s="10" t="inlineStr"/>
      <c r="T440" s="11" t="inlineStr"/>
      <c r="U440" s="3" t="inlineStr">
        <is>
          <t>reports/S40/SL-S40-10.md</t>
        </is>
      </c>
      <c r="V440" s="10" t="inlineStr"/>
      <c r="W440" s="10" t="inlineStr"/>
      <c r="X440" s="3">
        <f>IF(N440="Concluído",IF(AND(S440&lt;&gt;"",ISNUMBER(T440),T440&gt;0,V440&lt;&gt;"",AND(OR(X439="OK",X439="DISPENSADO"))),"OK","REVISAR"),IF(N440="Dispensado (ADR)",IF(AND(LEFT(Q440,11)="Condicional",W440&lt;&gt;"",S440&lt;&gt;"",ISNUMBER(T440),T440&gt;0,V440&lt;&gt;""),"DISPENSADO","REVISAR"),"PENDENTE"))</f>
        <v/>
      </c>
      <c r="Y440" s="10" t="inlineStr"/>
    </row>
    <row r="441" ht="98" customHeight="1">
      <c r="A441" s="3" t="n">
        <v>440</v>
      </c>
      <c r="B441" s="12" t="inlineStr">
        <is>
          <t>SL-S40-GATE</t>
        </is>
      </c>
      <c r="C441" s="9" t="inlineStr">
        <is>
          <t>v0.7.0</t>
        </is>
      </c>
      <c r="D441" s="9" t="inlineStr">
        <is>
          <t>S40</t>
        </is>
      </c>
      <c r="E441" s="3" t="inlineStr">
        <is>
          <t>Qdrant OU HelixDB / produção</t>
        </is>
      </c>
      <c r="F441" s="3" t="inlineStr">
        <is>
          <t>Aceite humano</t>
        </is>
      </c>
      <c r="G441" s="12" t="inlineStr">
        <is>
          <t>Gate</t>
        </is>
      </c>
      <c r="H441" s="12" t="inlineStr">
        <is>
          <t>Aceitar S40 — Escolher e integrar um backend de busca</t>
        </is>
      </c>
      <c r="I441" s="3" t="inlineStr">
        <is>
          <t>Revisar as dez tarefas, executar a demonstração do sprint, confrontar critérios e registrar decisão go/no-go.</t>
        </is>
      </c>
      <c r="J441" s="3" t="inlineStr">
        <is>
          <t>reports/S40/acceptance.md</t>
        </is>
      </c>
      <c r="K441" s="3" t="inlineStr">
        <is>
          <t>Executar busca híbrida no app com apenas o backend escolhido instalado. Todas as dependências aceitas; evidências vinculadas a revisão/ambiente; nenhum blocker de integridade/segurança.</t>
        </is>
      </c>
      <c r="L441" s="3" t="inlineStr">
        <is>
          <t>SL-S40-01; SL-S40-02; SL-S40-03; SL-S40-04; SL-S40-05; SL-S40-06; SL-S40-07; SL-S40-08; SL-S40-09; SL-S40-10</t>
        </is>
      </c>
      <c r="M441" s="3" t="inlineStr">
        <is>
          <t>R02; R20; R21; R30; R32</t>
        </is>
      </c>
      <c r="N441" s="10" t="inlineStr">
        <is>
          <t>Não iniciado</t>
        </is>
      </c>
      <c r="O441" s="3" t="inlineStr">
        <is>
          <t>P0</t>
        </is>
      </c>
      <c r="P441" s="3" t="inlineStr">
        <is>
          <t>Crítico</t>
        </is>
      </c>
      <c r="Q441" s="3" t="inlineStr">
        <is>
          <t>Obrigatória para fechar a versão aprovada</t>
        </is>
      </c>
      <c r="R441" s="10" t="inlineStr">
        <is>
          <t>Autor</t>
        </is>
      </c>
      <c r="S441" s="10" t="inlineStr"/>
      <c r="T441" s="11" t="inlineStr"/>
      <c r="U441" s="3" t="inlineStr">
        <is>
          <t>reports/S40/acceptance.md</t>
        </is>
      </c>
      <c r="V441" s="10" t="inlineStr"/>
      <c r="W441" s="10" t="inlineStr"/>
      <c r="X441" s="3">
        <f>IF(N441="Concluído",IF(AND(S441&lt;&gt;"",ISNUMBER(T441),T441&gt;0,V441&lt;&gt;"",AND(OR(X431="OK",X431="DISPENSADO"),OR(X432="OK",X432="DISPENSADO"),OR(X433="OK",X433="DISPENSADO"),OR(X434="OK",X434="DISPENSADO"),OR(X435="OK",X435="DISPENSADO"),OR(X436="OK",X436="DISPENSADO"),OR(X437="OK",X437="DISPENSADO"),OR(X438="OK",X438="DISPENSADO"),OR(X439="OK",X439="DISPENSADO"),OR(X440="OK",X440="DISPENSADO"))),"OK","REVISAR"),IF(N441="Dispensado (ADR)",IF(AND(LEFT(Q441,11)="Condicional",W441&lt;&gt;"",S441&lt;&gt;"",ISNUMBER(T441),T441&gt;0,V441&lt;&gt;""),"DISPENSADO","REVISAR"),"PENDENTE"))</f>
        <v/>
      </c>
      <c r="Y441" s="10" t="inlineStr"/>
    </row>
    <row r="442" ht="112" customHeight="1">
      <c r="A442" s="3" t="n">
        <v>441</v>
      </c>
      <c r="B442" s="3" t="inlineStr">
        <is>
          <t>SL-S41-01</t>
        </is>
      </c>
      <c r="C442" s="9" t="inlineStr">
        <is>
          <t>v0.7.0</t>
        </is>
      </c>
      <c r="D442" s="9" t="inlineStr">
        <is>
          <t>S41</t>
        </is>
      </c>
      <c r="E442" s="3" t="inlineStr">
        <is>
          <t>SearchService / UI</t>
        </is>
      </c>
      <c r="F442" s="3" t="inlineStr">
        <is>
          <t>Integração</t>
        </is>
      </c>
      <c r="G442" s="3" t="inlineStr">
        <is>
          <t>Implementação</t>
        </is>
      </c>
      <c r="H442" s="3" t="inlineStr">
        <is>
          <t>Conectar eventos à indexação</t>
        </is>
      </c>
      <c r="I442" s="3" t="inlineStr">
        <is>
          <t>Consumir captura, extração, edição da Peça e tombstones por revisão.</t>
        </is>
      </c>
      <c r="J442" s="3" t="inlineStr">
        <is>
          <t>crates/search/src/index_jobs.rs</t>
        </is>
      </c>
      <c r="K442" s="3" t="inlineStr">
        <is>
          <t>Evento repetido não duplica unidades e edição antiga não substitui a mais nova.</t>
        </is>
      </c>
      <c r="L442" s="3" t="inlineStr">
        <is>
          <t>SL-S35-GATE; SL-S40-GATE</t>
        </is>
      </c>
      <c r="M442" s="3" t="inlineStr">
        <is>
          <t>R02; R05; R13; R20; R21; R31</t>
        </is>
      </c>
      <c r="N442" s="10" t="inlineStr">
        <is>
          <t>Não iniciado</t>
        </is>
      </c>
      <c r="O442" s="3" t="inlineStr">
        <is>
          <t>P0</t>
        </is>
      </c>
      <c r="P442" s="3" t="inlineStr">
        <is>
          <t>Crítico</t>
        </is>
      </c>
      <c r="Q442" s="3" t="inlineStr">
        <is>
          <t>Obrigatória no escopo da versão</t>
        </is>
      </c>
      <c r="R442" s="10" t="inlineStr">
        <is>
          <t>Autor + agente de IA</t>
        </is>
      </c>
      <c r="S442" s="10" t="inlineStr"/>
      <c r="T442" s="11" t="inlineStr"/>
      <c r="U442" s="3" t="inlineStr">
        <is>
          <t>reports/S41/SL-S41-01.md</t>
        </is>
      </c>
      <c r="V442" s="10" t="inlineStr"/>
      <c r="W442" s="10" t="inlineStr"/>
      <c r="X442" s="3">
        <f>IF(N442="Concluído",IF(AND(S442&lt;&gt;"",ISNUMBER(T442),T442&gt;0,V442&lt;&gt;"",AND(OR(X386="OK",X386="DISPENSADO"),OR(X441="OK",X441="DISPENSADO"))),"OK","REVISAR"),IF(N442="Dispensado (ADR)",IF(AND(LEFT(Q442,11)="Condicional",W442&lt;&gt;"",S442&lt;&gt;"",ISNUMBER(T442),T442&gt;0,V442&lt;&gt;""),"DISPENSADO","REVISAR"),"PENDENTE"))</f>
        <v/>
      </c>
      <c r="Y442" s="10" t="inlineStr"/>
    </row>
    <row r="443" ht="112" customHeight="1">
      <c r="A443" s="3" t="n">
        <v>442</v>
      </c>
      <c r="B443" s="3" t="inlineStr">
        <is>
          <t>SL-S41-02</t>
        </is>
      </c>
      <c r="C443" s="9" t="inlineStr">
        <is>
          <t>v0.7.0</t>
        </is>
      </c>
      <c r="D443" s="9" t="inlineStr">
        <is>
          <t>S41</t>
        </is>
      </c>
      <c r="E443" s="3" t="inlineStr">
        <is>
          <t>SearchService / UI</t>
        </is>
      </c>
      <c r="F443" s="3" t="inlineStr">
        <is>
          <t>Integração</t>
        </is>
      </c>
      <c r="G443" s="3" t="inlineStr">
        <is>
          <t>Implementação</t>
        </is>
      </c>
      <c r="H443" s="3" t="inlineStr">
        <is>
          <t>Fazer reindexação incremental</t>
        </is>
      </c>
      <c r="I443" s="3" t="inlineStr">
        <is>
          <t>Reprocessar apenas unidades afetadas e propagar mudanças de manifesto.</t>
        </is>
      </c>
      <c r="J443" s="3" t="inlineStr">
        <is>
          <t>crates/search/src/incremental.rs</t>
        </is>
      </c>
      <c r="K443" s="3" t="inlineStr">
        <is>
          <t>Alteração de layout não dispara indexação textual novamente; troca de embedding inicia rebuild compatível.</t>
        </is>
      </c>
      <c r="L443" s="3" t="inlineStr">
        <is>
          <t>SL-S41-01</t>
        </is>
      </c>
      <c r="M443" s="3" t="inlineStr">
        <is>
          <t>R02; R05; R13; R20; R21; R31</t>
        </is>
      </c>
      <c r="N443" s="10" t="inlineStr">
        <is>
          <t>Não iniciado</t>
        </is>
      </c>
      <c r="O443" s="3" t="inlineStr">
        <is>
          <t>P0</t>
        </is>
      </c>
      <c r="P443" s="3" t="inlineStr">
        <is>
          <t>Crítico</t>
        </is>
      </c>
      <c r="Q443" s="3" t="inlineStr">
        <is>
          <t>Obrigatória no escopo da versão</t>
        </is>
      </c>
      <c r="R443" s="10" t="inlineStr">
        <is>
          <t>Autor + agente de IA</t>
        </is>
      </c>
      <c r="S443" s="10" t="inlineStr"/>
      <c r="T443" s="11" t="inlineStr"/>
      <c r="U443" s="3" t="inlineStr">
        <is>
          <t>reports/S41/SL-S41-02.md</t>
        </is>
      </c>
      <c r="V443" s="10" t="inlineStr"/>
      <c r="W443" s="10" t="inlineStr"/>
      <c r="X443" s="3">
        <f>IF(N443="Concluído",IF(AND(S443&lt;&gt;"",ISNUMBER(T443),T443&gt;0,V443&lt;&gt;"",AND(OR(X442="OK",X442="DISPENSADO"))),"OK","REVISAR"),IF(N443="Dispensado (ADR)",IF(AND(LEFT(Q443,11)="Condicional",W443&lt;&gt;"",S443&lt;&gt;"",ISNUMBER(T443),T443&gt;0,V443&lt;&gt;""),"DISPENSADO","REVISAR"),"PENDENTE"))</f>
        <v/>
      </c>
      <c r="Y443" s="10" t="inlineStr"/>
    </row>
    <row r="444" ht="112" customHeight="1">
      <c r="A444" s="3" t="n">
        <v>443</v>
      </c>
      <c r="B444" s="3" t="inlineStr">
        <is>
          <t>SL-S41-03</t>
        </is>
      </c>
      <c r="C444" s="9" t="inlineStr">
        <is>
          <t>v0.7.0</t>
        </is>
      </c>
      <c r="D444" s="9" t="inlineStr">
        <is>
          <t>S41</t>
        </is>
      </c>
      <c r="E444" s="3" t="inlineStr">
        <is>
          <t>SearchService / UI</t>
        </is>
      </c>
      <c r="F444" s="3" t="inlineStr">
        <is>
          <t>Integração</t>
        </is>
      </c>
      <c r="G444" s="3" t="inlineStr">
        <is>
          <t>Implementação</t>
        </is>
      </c>
      <c r="H444" s="3" t="inlineStr">
        <is>
          <t>Publicar rebuild atomicamente</t>
        </is>
      </c>
      <c r="I444" s="3" t="inlineStr">
        <is>
          <t>Construir nova geração e trocar quando validada.</t>
        </is>
      </c>
      <c r="J444" s="3" t="inlineStr">
        <is>
          <t>crates/search/src/rebuild.rs</t>
        </is>
      </c>
      <c r="K444" s="3" t="inlineStr">
        <is>
          <t>Interrupção mantém busca anterior ou degradação explícita, não índice parcialmente anunciado pronto.</t>
        </is>
      </c>
      <c r="L444" s="3" t="inlineStr">
        <is>
          <t>SL-S41-02</t>
        </is>
      </c>
      <c r="M444" s="3" t="inlineStr">
        <is>
          <t>R02; R05; R13; R20; R21; R31</t>
        </is>
      </c>
      <c r="N444" s="10" t="inlineStr">
        <is>
          <t>Não iniciado</t>
        </is>
      </c>
      <c r="O444" s="3" t="inlineStr">
        <is>
          <t>P0</t>
        </is>
      </c>
      <c r="P444" s="3" t="inlineStr">
        <is>
          <t>Crítico</t>
        </is>
      </c>
      <c r="Q444" s="3" t="inlineStr">
        <is>
          <t>Obrigatória no escopo da versão</t>
        </is>
      </c>
      <c r="R444" s="10" t="inlineStr">
        <is>
          <t>Autor + agente de IA</t>
        </is>
      </c>
      <c r="S444" s="10" t="inlineStr"/>
      <c r="T444" s="11" t="inlineStr"/>
      <c r="U444" s="3" t="inlineStr">
        <is>
          <t>reports/S41/SL-S41-03.md</t>
        </is>
      </c>
      <c r="V444" s="10" t="inlineStr"/>
      <c r="W444" s="10" t="inlineStr"/>
      <c r="X444" s="3">
        <f>IF(N444="Concluído",IF(AND(S444&lt;&gt;"",ISNUMBER(T444),T444&gt;0,V444&lt;&gt;"",AND(OR(X443="OK",X443="DISPENSADO"))),"OK","REVISAR"),IF(N444="Dispensado (ADR)",IF(AND(LEFT(Q444,11)="Condicional",W444&lt;&gt;"",S444&lt;&gt;"",ISNUMBER(T444),T444&gt;0,V444&lt;&gt;""),"DISPENSADO","REVISAR"),"PENDENTE"))</f>
        <v/>
      </c>
      <c r="Y444" s="10" t="inlineStr"/>
    </row>
    <row r="445" ht="112" customHeight="1">
      <c r="A445" s="3" t="n">
        <v>444</v>
      </c>
      <c r="B445" s="3" t="inlineStr">
        <is>
          <t>SL-S41-04</t>
        </is>
      </c>
      <c r="C445" s="9" t="inlineStr">
        <is>
          <t>v0.7.0</t>
        </is>
      </c>
      <c r="D445" s="9" t="inlineStr">
        <is>
          <t>S41</t>
        </is>
      </c>
      <c r="E445" s="3" t="inlineStr">
        <is>
          <t>SearchService / UI</t>
        </is>
      </c>
      <c r="F445" s="3" t="inlineStr">
        <is>
          <t>Integração</t>
        </is>
      </c>
      <c r="G445" s="3" t="inlineStr">
        <is>
          <t>Implementação</t>
        </is>
      </c>
      <c r="H445" s="3" t="inlineStr">
        <is>
          <t>Expor progresso e saúde</t>
        </is>
      </c>
      <c r="I445" s="3" t="inlineStr">
        <is>
          <t>Mostrar pendente, desatualizado, reconstruindo e falha por tipo de índice.</t>
        </is>
      </c>
      <c r="J445" s="3" t="inlineStr">
        <is>
          <t>apps/desktop/src/search/health.ts</t>
        </is>
      </c>
      <c r="K445" s="3" t="inlineStr">
        <is>
          <t>Usuário não confunde ausência de resultado com material não indexado.</t>
        </is>
      </c>
      <c r="L445" s="3" t="inlineStr">
        <is>
          <t>SL-S41-03</t>
        </is>
      </c>
      <c r="M445" s="3" t="inlineStr">
        <is>
          <t>R02; R05; R13; R20; R21; R31</t>
        </is>
      </c>
      <c r="N445" s="10" t="inlineStr">
        <is>
          <t>Não iniciado</t>
        </is>
      </c>
      <c r="O445" s="3" t="inlineStr">
        <is>
          <t>P0</t>
        </is>
      </c>
      <c r="P445" s="3" t="inlineStr">
        <is>
          <t>Crítico</t>
        </is>
      </c>
      <c r="Q445" s="3" t="inlineStr">
        <is>
          <t>Obrigatória no escopo da versão</t>
        </is>
      </c>
      <c r="R445" s="10" t="inlineStr">
        <is>
          <t>Autor + agente de IA</t>
        </is>
      </c>
      <c r="S445" s="10" t="inlineStr"/>
      <c r="T445" s="11" t="inlineStr"/>
      <c r="U445" s="3" t="inlineStr">
        <is>
          <t>reports/S41/SL-S41-04.md</t>
        </is>
      </c>
      <c r="V445" s="10" t="inlineStr"/>
      <c r="W445" s="10" t="inlineStr"/>
      <c r="X445" s="3">
        <f>IF(N445="Concluído",IF(AND(S445&lt;&gt;"",ISNUMBER(T445),T445&gt;0,V445&lt;&gt;"",AND(OR(X444="OK",X444="DISPENSADO"))),"OK","REVISAR"),IF(N445="Dispensado (ADR)",IF(AND(LEFT(Q445,11)="Condicional",W445&lt;&gt;"",S445&lt;&gt;"",ISNUMBER(T445),T445&gt;0,V445&lt;&gt;""),"DISPENSADO","REVISAR"),"PENDENTE"))</f>
        <v/>
      </c>
      <c r="Y445" s="10" t="inlineStr"/>
    </row>
    <row r="446" ht="112" customHeight="1">
      <c r="A446" s="3" t="n">
        <v>445</v>
      </c>
      <c r="B446" s="3" t="inlineStr">
        <is>
          <t>SL-S41-05</t>
        </is>
      </c>
      <c r="C446" s="9" t="inlineStr">
        <is>
          <t>v0.7.0</t>
        </is>
      </c>
      <c r="D446" s="9" t="inlineStr">
        <is>
          <t>S41</t>
        </is>
      </c>
      <c r="E446" s="3" t="inlineStr">
        <is>
          <t>SearchService / UI</t>
        </is>
      </c>
      <c r="F446" s="3" t="inlineStr">
        <is>
          <t>Integração</t>
        </is>
      </c>
      <c r="G446" s="3" t="inlineStr">
        <is>
          <t>Implementação</t>
        </is>
      </c>
      <c r="H446" s="3" t="inlineStr">
        <is>
          <t>Criar UI de busca híbrida</t>
        </is>
      </c>
      <c r="I446" s="3" t="inlineStr">
        <is>
          <t>Incluir filtros de tipo, workspace, origem e estado editorial.</t>
        </is>
      </c>
      <c r="J446" s="3" t="inlineStr">
        <is>
          <t>apps/desktop/src/search/</t>
        </is>
      </c>
      <c r="K446" s="3" t="inlineStr">
        <is>
          <t>Peças próprias podem ser excluídas quando se busca evidência externa.</t>
        </is>
      </c>
      <c r="L446" s="3" t="inlineStr">
        <is>
          <t>SL-S41-04</t>
        </is>
      </c>
      <c r="M446" s="3" t="inlineStr">
        <is>
          <t>R02; R05; R13; R20; R21; R31</t>
        </is>
      </c>
      <c r="N446" s="10" t="inlineStr">
        <is>
          <t>Não iniciado</t>
        </is>
      </c>
      <c r="O446" s="3" t="inlineStr">
        <is>
          <t>P0</t>
        </is>
      </c>
      <c r="P446" s="3" t="inlineStr">
        <is>
          <t>Crítico</t>
        </is>
      </c>
      <c r="Q446" s="3" t="inlineStr">
        <is>
          <t>Obrigatória no escopo da versão</t>
        </is>
      </c>
      <c r="R446" s="10" t="inlineStr">
        <is>
          <t>Autor + agente de IA</t>
        </is>
      </c>
      <c r="S446" s="10" t="inlineStr"/>
      <c r="T446" s="11" t="inlineStr"/>
      <c r="U446" s="3" t="inlineStr">
        <is>
          <t>reports/S41/SL-S41-05.md</t>
        </is>
      </c>
      <c r="V446" s="10" t="inlineStr"/>
      <c r="W446" s="10" t="inlineStr"/>
      <c r="X446" s="3">
        <f>IF(N446="Concluído",IF(AND(S446&lt;&gt;"",ISNUMBER(T446),T446&gt;0,V446&lt;&gt;"",AND(OR(X445="OK",X445="DISPENSADO"))),"OK","REVISAR"),IF(N446="Dispensado (ADR)",IF(AND(LEFT(Q446,11)="Condicional",W446&lt;&gt;"",S446&lt;&gt;"",ISNUMBER(T446),T446&gt;0,V446&lt;&gt;""),"DISPENSADO","REVISAR"),"PENDENTE"))</f>
        <v/>
      </c>
      <c r="Y446" s="10" t="inlineStr"/>
    </row>
    <row r="447" ht="112" customHeight="1">
      <c r="A447" s="3" t="n">
        <v>446</v>
      </c>
      <c r="B447" s="3" t="inlineStr">
        <is>
          <t>SL-S41-06</t>
        </is>
      </c>
      <c r="C447" s="9" t="inlineStr">
        <is>
          <t>v0.7.0</t>
        </is>
      </c>
      <c r="D447" s="9" t="inlineStr">
        <is>
          <t>S41</t>
        </is>
      </c>
      <c r="E447" s="3" t="inlineStr">
        <is>
          <t>SearchService / UI</t>
        </is>
      </c>
      <c r="F447" s="3" t="inlineStr">
        <is>
          <t>Integração</t>
        </is>
      </c>
      <c r="G447" s="3" t="inlineStr">
        <is>
          <t>Implementação</t>
        </is>
      </c>
      <c r="H447" s="3" t="inlineStr">
        <is>
          <t>Navegar ao trecho</t>
        </is>
      </c>
      <c r="I447" s="3" t="inlineStr">
        <is>
          <t>Resolver hit por referência/revisão no leitor e na Peça.</t>
        </is>
      </c>
      <c r="J447" s="3" t="inlineStr">
        <is>
          <t>apps/desktop/src/search/open-hit.ts</t>
        </is>
      </c>
      <c r="K447" s="3" t="inlineStr">
        <is>
          <t>Hit antigo é detectado e não abre o trecho errado da revisão atual.</t>
        </is>
      </c>
      <c r="L447" s="3" t="inlineStr">
        <is>
          <t>SL-S41-05</t>
        </is>
      </c>
      <c r="M447" s="3" t="inlineStr">
        <is>
          <t>R02; R05; R13; R20; R21; R31</t>
        </is>
      </c>
      <c r="N447" s="10" t="inlineStr">
        <is>
          <t>Não iniciado</t>
        </is>
      </c>
      <c r="O447" s="3" t="inlineStr">
        <is>
          <t>P0</t>
        </is>
      </c>
      <c r="P447" s="3" t="inlineStr">
        <is>
          <t>Crítico</t>
        </is>
      </c>
      <c r="Q447" s="3" t="inlineStr">
        <is>
          <t>Obrigatória no escopo da versão</t>
        </is>
      </c>
      <c r="R447" s="10" t="inlineStr">
        <is>
          <t>Autor + agente de IA</t>
        </is>
      </c>
      <c r="S447" s="10" t="inlineStr"/>
      <c r="T447" s="11" t="inlineStr"/>
      <c r="U447" s="3" t="inlineStr">
        <is>
          <t>reports/S41/SL-S41-06.md</t>
        </is>
      </c>
      <c r="V447" s="10" t="inlineStr"/>
      <c r="W447" s="10" t="inlineStr"/>
      <c r="X447" s="3">
        <f>IF(N447="Concluído",IF(AND(S447&lt;&gt;"",ISNUMBER(T447),T447&gt;0,V447&lt;&gt;"",AND(OR(X446="OK",X446="DISPENSADO"))),"OK","REVISAR"),IF(N447="Dispensado (ADR)",IF(AND(LEFT(Q447,11)="Condicional",W447&lt;&gt;"",S447&lt;&gt;"",ISNUMBER(T447),T447&gt;0,V447&lt;&gt;""),"DISPENSADO","REVISAR"),"PENDENTE"))</f>
        <v/>
      </c>
      <c r="Y447" s="10" t="inlineStr"/>
    </row>
    <row r="448" ht="112" customHeight="1">
      <c r="A448" s="3" t="n">
        <v>447</v>
      </c>
      <c r="B448" s="3" t="inlineStr">
        <is>
          <t>SL-S41-07</t>
        </is>
      </c>
      <c r="C448" s="9" t="inlineStr">
        <is>
          <t>v0.7.0</t>
        </is>
      </c>
      <c r="D448" s="9" t="inlineStr">
        <is>
          <t>S41</t>
        </is>
      </c>
      <c r="E448" s="3" t="inlineStr">
        <is>
          <t>SearchService / UI</t>
        </is>
      </c>
      <c r="F448" s="3" t="inlineStr">
        <is>
          <t>Integração</t>
        </is>
      </c>
      <c r="G448" s="3" t="inlineStr">
        <is>
          <t>Implementação</t>
        </is>
      </c>
      <c r="H448" s="3" t="inlineStr">
        <is>
          <t>Integrar taxonomia ao provider</t>
        </is>
      </c>
      <c r="I448" s="3" t="inlineStr">
        <is>
          <t>Substituir lookup experimental de candidatos quando útil sem trocar política de decisão.</t>
        </is>
      </c>
      <c r="J448" s="3" t="inlineStr">
        <is>
          <t>crates/taxonomy/src/search_adapter.rs</t>
        </is>
      </c>
      <c r="K448" s="3" t="inlineStr">
        <is>
          <t>Modelo/índice de termos permanece identificado e não se mistura com embeddings de outro espaço.</t>
        </is>
      </c>
      <c r="L448" s="3" t="inlineStr">
        <is>
          <t>SL-S41-06</t>
        </is>
      </c>
      <c r="M448" s="3" t="inlineStr">
        <is>
          <t>R02; R05; R13; R20; R21; R31</t>
        </is>
      </c>
      <c r="N448" s="10" t="inlineStr">
        <is>
          <t>Não iniciado</t>
        </is>
      </c>
      <c r="O448" s="3" t="inlineStr">
        <is>
          <t>P0</t>
        </is>
      </c>
      <c r="P448" s="3" t="inlineStr">
        <is>
          <t>Crítico</t>
        </is>
      </c>
      <c r="Q448" s="3" t="inlineStr">
        <is>
          <t>Obrigatória no escopo da versão</t>
        </is>
      </c>
      <c r="R448" s="10" t="inlineStr">
        <is>
          <t>Autor + agente de IA</t>
        </is>
      </c>
      <c r="S448" s="10" t="inlineStr"/>
      <c r="T448" s="11" t="inlineStr"/>
      <c r="U448" s="3" t="inlineStr">
        <is>
          <t>reports/S41/SL-S41-07.md</t>
        </is>
      </c>
      <c r="V448" s="10" t="inlineStr"/>
      <c r="W448" s="10" t="inlineStr"/>
      <c r="X448" s="3">
        <f>IF(N448="Concluído",IF(AND(S448&lt;&gt;"",ISNUMBER(T448),T448&gt;0,V448&lt;&gt;"",AND(OR(X447="OK",X447="DISPENSADO"))),"OK","REVISAR"),IF(N448="Dispensado (ADR)",IF(AND(LEFT(Q448,11)="Condicional",W448&lt;&gt;"",S448&lt;&gt;"",ISNUMBER(T448),T448&gt;0,V448&lt;&gt;""),"DISPENSADO","REVISAR"),"PENDENTE"))</f>
        <v/>
      </c>
      <c r="Y448" s="10" t="inlineStr"/>
    </row>
    <row r="449" ht="112" customHeight="1">
      <c r="A449" s="3" t="n">
        <v>448</v>
      </c>
      <c r="B449" s="3" t="inlineStr">
        <is>
          <t>SL-S41-08</t>
        </is>
      </c>
      <c r="C449" s="9" t="inlineStr">
        <is>
          <t>v0.7.0</t>
        </is>
      </c>
      <c r="D449" s="9" t="inlineStr">
        <is>
          <t>S41</t>
        </is>
      </c>
      <c r="E449" s="3" t="inlineStr">
        <is>
          <t>SearchService / UI</t>
        </is>
      </c>
      <c r="F449" s="3" t="inlineStr">
        <is>
          <t>Integração</t>
        </is>
      </c>
      <c r="G449" s="3" t="inlineStr">
        <is>
          <t>Teste</t>
        </is>
      </c>
      <c r="H449" s="3" t="inlineStr">
        <is>
          <t>Validar relevância no corpus reservado</t>
        </is>
      </c>
      <c r="I449" s="3" t="inlineStr">
        <is>
          <t>Medir léxico, semântico e híbrido com rótulos estáveis.</t>
        </is>
      </c>
      <c r="J449" s="3" t="inlineStr">
        <is>
          <t>reports/v0.7/relevance.json</t>
        </is>
      </c>
      <c r="K449" s="3" t="inlineStr">
        <is>
          <t>Ganho/perda por modalidade é registrado, sem declarar vencedor universal.</t>
        </is>
      </c>
      <c r="L449" s="3" t="inlineStr">
        <is>
          <t>SL-S41-07</t>
        </is>
      </c>
      <c r="M449" s="3" t="inlineStr">
        <is>
          <t>R02; R05; R13; R20; R21; R31</t>
        </is>
      </c>
      <c r="N449" s="10" t="inlineStr">
        <is>
          <t>Não iniciado</t>
        </is>
      </c>
      <c r="O449" s="3" t="inlineStr">
        <is>
          <t>P0</t>
        </is>
      </c>
      <c r="P449" s="3" t="inlineStr">
        <is>
          <t>Crítico</t>
        </is>
      </c>
      <c r="Q449" s="3" t="inlineStr">
        <is>
          <t>Obrigatória no escopo da versão</t>
        </is>
      </c>
      <c r="R449" s="10" t="inlineStr">
        <is>
          <t>Autor + agente de IA</t>
        </is>
      </c>
      <c r="S449" s="10" t="inlineStr"/>
      <c r="T449" s="11" t="inlineStr"/>
      <c r="U449" s="3" t="inlineStr">
        <is>
          <t>reports/S41/SL-S41-08.md</t>
        </is>
      </c>
      <c r="V449" s="10" t="inlineStr"/>
      <c r="W449" s="10" t="inlineStr"/>
      <c r="X449" s="3">
        <f>IF(N449="Concluído",IF(AND(S449&lt;&gt;"",ISNUMBER(T449),T449&gt;0,V449&lt;&gt;"",AND(OR(X448="OK",X448="DISPENSADO"))),"OK","REVISAR"),IF(N449="Dispensado (ADR)",IF(AND(LEFT(Q449,11)="Condicional",W449&lt;&gt;"",S449&lt;&gt;"",ISNUMBER(T449),T449&gt;0,V449&lt;&gt;""),"DISPENSADO","REVISAR"),"PENDENTE"))</f>
        <v/>
      </c>
      <c r="Y449" s="10" t="inlineStr"/>
    </row>
    <row r="450" ht="112" customHeight="1">
      <c r="A450" s="3" t="n">
        <v>449</v>
      </c>
      <c r="B450" s="3" t="inlineStr">
        <is>
          <t>SL-S41-09</t>
        </is>
      </c>
      <c r="C450" s="9" t="inlineStr">
        <is>
          <t>v0.7.0</t>
        </is>
      </c>
      <c r="D450" s="9" t="inlineStr">
        <is>
          <t>S41</t>
        </is>
      </c>
      <c r="E450" s="3" t="inlineStr">
        <is>
          <t>SearchService / UI</t>
        </is>
      </c>
      <c r="F450" s="3" t="inlineStr">
        <is>
          <t>Integração</t>
        </is>
      </c>
      <c r="G450" s="3" t="inlineStr">
        <is>
          <t>Teste</t>
        </is>
      </c>
      <c r="H450" s="3" t="inlineStr">
        <is>
          <t>Executar exclusão e isolamento</t>
        </is>
      </c>
      <c r="I450" s="3" t="inlineStr">
        <is>
          <t>Remover material, editar Peça e consultar em outro workspace.</t>
        </is>
      </c>
      <c r="J450" s="3" t="inlineStr">
        <is>
          <t>tests/search/end-to-end/</t>
        </is>
      </c>
      <c r="K450" s="3" t="inlineStr">
        <is>
          <t>Nenhum conteúdo excluído/desautorizado reaparece por cache ou job atrasado.</t>
        </is>
      </c>
      <c r="L450" s="3" t="inlineStr">
        <is>
          <t>SL-S41-08</t>
        </is>
      </c>
      <c r="M450" s="3" t="inlineStr">
        <is>
          <t>R02; R05; R13; R20; R21; R31</t>
        </is>
      </c>
      <c r="N450" s="10" t="inlineStr">
        <is>
          <t>Não iniciado</t>
        </is>
      </c>
      <c r="O450" s="3" t="inlineStr">
        <is>
          <t>P0</t>
        </is>
      </c>
      <c r="P450" s="3" t="inlineStr">
        <is>
          <t>Crítico</t>
        </is>
      </c>
      <c r="Q450" s="3" t="inlineStr">
        <is>
          <t>Obrigatória no escopo da versão</t>
        </is>
      </c>
      <c r="R450" s="10" t="inlineStr">
        <is>
          <t>Autor + agente de IA</t>
        </is>
      </c>
      <c r="S450" s="10" t="inlineStr"/>
      <c r="T450" s="11" t="inlineStr"/>
      <c r="U450" s="3" t="inlineStr">
        <is>
          <t>reports/S41/SL-S41-09.md</t>
        </is>
      </c>
      <c r="V450" s="10" t="inlineStr"/>
      <c r="W450" s="10" t="inlineStr"/>
      <c r="X450" s="3">
        <f>IF(N450="Concluído",IF(AND(S450&lt;&gt;"",ISNUMBER(T450),T450&gt;0,V450&lt;&gt;"",AND(OR(X449="OK",X449="DISPENSADO"))),"OK","REVISAR"),IF(N450="Dispensado (ADR)",IF(AND(LEFT(Q450,11)="Condicional",W450&lt;&gt;"",S450&lt;&gt;"",ISNUMBER(T450),T450&gt;0,V450&lt;&gt;""),"DISPENSADO","REVISAR"),"PENDENTE"))</f>
        <v/>
      </c>
      <c r="Y450" s="10" t="inlineStr"/>
    </row>
    <row r="451" ht="112" customHeight="1">
      <c r="A451" s="3" t="n">
        <v>450</v>
      </c>
      <c r="B451" s="3" t="inlineStr">
        <is>
          <t>SL-S41-10</t>
        </is>
      </c>
      <c r="C451" s="9" t="inlineStr">
        <is>
          <t>v0.7.0</t>
        </is>
      </c>
      <c r="D451" s="9" t="inlineStr">
        <is>
          <t>S41</t>
        </is>
      </c>
      <c r="E451" s="3" t="inlineStr">
        <is>
          <t>SearchService / UI</t>
        </is>
      </c>
      <c r="F451" s="3" t="inlineStr">
        <is>
          <t>Integração</t>
        </is>
      </c>
      <c r="G451" s="3" t="inlineStr">
        <is>
          <t>Release</t>
        </is>
      </c>
      <c r="H451" s="3" t="inlineStr">
        <is>
          <t>Publicar alpha de recuperação</t>
        </is>
      </c>
      <c r="I451" s="3" t="inlineStr">
        <is>
          <t>Documentar backend escolhido, limites e comando de reconstrução.</t>
        </is>
      </c>
      <c r="J451" s="3" t="inlineStr">
        <is>
          <t>release/v0.7.0/</t>
        </is>
      </c>
      <c r="K451" s="3" t="inlineStr">
        <is>
          <t>Apagar índices vetoriais/léxicos não perde materiais ou texto editorial.</t>
        </is>
      </c>
      <c r="L451" s="3" t="inlineStr">
        <is>
          <t>SL-S41-09</t>
        </is>
      </c>
      <c r="M451" s="3" t="inlineStr">
        <is>
          <t>R02; R05; R13; R20; R21; R31</t>
        </is>
      </c>
      <c r="N451" s="10" t="inlineStr">
        <is>
          <t>Não iniciado</t>
        </is>
      </c>
      <c r="O451" s="3" t="inlineStr">
        <is>
          <t>P0</t>
        </is>
      </c>
      <c r="P451" s="3" t="inlineStr">
        <is>
          <t>Crítico</t>
        </is>
      </c>
      <c r="Q451" s="3" t="inlineStr">
        <is>
          <t>Obrigatória no escopo da versão</t>
        </is>
      </c>
      <c r="R451" s="10" t="inlineStr">
        <is>
          <t>Autor</t>
        </is>
      </c>
      <c r="S451" s="10" t="inlineStr"/>
      <c r="T451" s="11" t="inlineStr"/>
      <c r="U451" s="3" t="inlineStr">
        <is>
          <t>reports/S41/SL-S41-10.md</t>
        </is>
      </c>
      <c r="V451" s="10" t="inlineStr"/>
      <c r="W451" s="10" t="inlineStr"/>
      <c r="X451" s="3">
        <f>IF(N451="Concluído",IF(AND(S451&lt;&gt;"",ISNUMBER(T451),T451&gt;0,V451&lt;&gt;"",AND(OR(X450="OK",X450="DISPENSADO"))),"OK","REVISAR"),IF(N451="Dispensado (ADR)",IF(AND(LEFT(Q451,11)="Condicional",W451&lt;&gt;"",S451&lt;&gt;"",ISNUMBER(T451),T451&gt;0,V451&lt;&gt;""),"DISPENSADO","REVISAR"),"PENDENTE"))</f>
        <v/>
      </c>
      <c r="Y451" s="10" t="inlineStr"/>
    </row>
    <row r="452" ht="98" customHeight="1">
      <c r="A452" s="3" t="n">
        <v>451</v>
      </c>
      <c r="B452" s="12" t="inlineStr">
        <is>
          <t>SL-S41-GATE</t>
        </is>
      </c>
      <c r="C452" s="9" t="inlineStr">
        <is>
          <t>v0.7.0</t>
        </is>
      </c>
      <c r="D452" s="9" t="inlineStr">
        <is>
          <t>S41</t>
        </is>
      </c>
      <c r="E452" s="3" t="inlineStr">
        <is>
          <t>SearchService / UI</t>
        </is>
      </c>
      <c r="F452" s="3" t="inlineStr">
        <is>
          <t>Aceite humano</t>
        </is>
      </c>
      <c r="G452" s="12" t="inlineStr">
        <is>
          <t>Gate</t>
        </is>
      </c>
      <c r="H452" s="12" t="inlineStr">
        <is>
          <t>Aceitar S41 — Entregar busca incremental no acervo e nas Peças</t>
        </is>
      </c>
      <c r="I452" s="3" t="inlineStr">
        <is>
          <t>Revisar as dez tarefas, executar a demonstração do sprint, confrontar critérios e registrar decisão go/no-go.</t>
        </is>
      </c>
      <c r="J452" s="3" t="inlineStr">
        <is>
          <t>reports/S41/acceptance.md</t>
        </is>
      </c>
      <c r="K452" s="3" t="inlineStr">
        <is>
          <t>Editar/excluir material e verificar atualização da busca sem perder as fontes canônicas. Todas as dependências aceitas; evidências vinculadas a revisão/ambiente; nenhum blocker de integridade/segurança.</t>
        </is>
      </c>
      <c r="L452" s="3" t="inlineStr">
        <is>
          <t>SL-S41-01; SL-S41-02; SL-S41-03; SL-S41-04; SL-S41-05; SL-S41-06; SL-S41-07; SL-S41-08; SL-S41-09; SL-S41-10</t>
        </is>
      </c>
      <c r="M452" s="3" t="inlineStr">
        <is>
          <t>R02; R05; R13; R20; R21; R31</t>
        </is>
      </c>
      <c r="N452" s="10" t="inlineStr">
        <is>
          <t>Não iniciado</t>
        </is>
      </c>
      <c r="O452" s="3" t="inlineStr">
        <is>
          <t>P0</t>
        </is>
      </c>
      <c r="P452" s="3" t="inlineStr">
        <is>
          <t>Crítico</t>
        </is>
      </c>
      <c r="Q452" s="3" t="inlineStr">
        <is>
          <t>Obrigatória para fechar a versão aprovada</t>
        </is>
      </c>
      <c r="R452" s="10" t="inlineStr">
        <is>
          <t>Autor</t>
        </is>
      </c>
      <c r="S452" s="10" t="inlineStr"/>
      <c r="T452" s="11" t="inlineStr"/>
      <c r="U452" s="3" t="inlineStr">
        <is>
          <t>reports/S41/acceptance.md</t>
        </is>
      </c>
      <c r="V452" s="10" t="inlineStr"/>
      <c r="W452" s="10" t="inlineStr"/>
      <c r="X452" s="3">
        <f>IF(N452="Concluído",IF(AND(S452&lt;&gt;"",ISNUMBER(T452),T452&gt;0,V452&lt;&gt;"",AND(OR(X442="OK",X442="DISPENSADO"),OR(X443="OK",X443="DISPENSADO"),OR(X444="OK",X444="DISPENSADO"),OR(X445="OK",X445="DISPENSADO"),OR(X446="OK",X446="DISPENSADO"),OR(X447="OK",X447="DISPENSADO"),OR(X448="OK",X448="DISPENSADO"),OR(X449="OK",X449="DISPENSADO"),OR(X450="OK",X450="DISPENSADO"),OR(X451="OK",X451="DISPENSADO"))),"OK","REVISAR"),IF(N452="Dispensado (ADR)",IF(AND(LEFT(Q452,11)="Condicional",W452&lt;&gt;"",S452&lt;&gt;"",ISNUMBER(T452),T452&gt;0,V452&lt;&gt;""),"DISPENSADO","REVISAR"),"PENDENTE"))</f>
        <v/>
      </c>
      <c r="Y452" s="10" t="inlineStr"/>
    </row>
    <row r="453" ht="112" customHeight="1">
      <c r="A453" s="3" t="n">
        <v>452</v>
      </c>
      <c r="B453" s="3" t="inlineStr">
        <is>
          <t>SL-S42-01</t>
        </is>
      </c>
      <c r="C453" s="9" t="inlineStr">
        <is>
          <t>v0.8.0</t>
        </is>
      </c>
      <c r="D453" s="9" t="inlineStr">
        <is>
          <t>S42</t>
        </is>
      </c>
      <c r="E453" s="3" t="inlineStr">
        <is>
          <t>PageIndex / upstream</t>
        </is>
      </c>
      <c r="F453" s="3" t="inlineStr">
        <is>
          <t>Desconstrução</t>
        </is>
      </c>
      <c r="G453" s="3" t="inlineStr">
        <is>
          <t>Upstream</t>
        </is>
      </c>
      <c r="H453" s="3" t="inlineStr">
        <is>
          <t>Fixar revisão PageIndex</t>
        </is>
      </c>
      <c r="I453" s="3" t="inlineStr">
        <is>
          <t>Registrar licença, dependências Python, APIs públicas e módulos internos usados.</t>
        </is>
      </c>
      <c r="J453" s="3" t="inlineStr">
        <is>
          <t>upstream/pageindex/manifest.json</t>
        </is>
      </c>
      <c r="K453" s="3" t="inlineStr">
        <is>
          <t>Paths e versões são verificados na revisão escolhida, não assumidos a partir de documentação móvel.</t>
        </is>
      </c>
      <c r="L453" s="3" t="inlineStr">
        <is>
          <t>SL-S03-GATE; SL-S23-GATE; SL-S32-GATE; SL-S41-GATE</t>
        </is>
      </c>
      <c r="M453" s="3" t="inlineStr">
        <is>
          <t>R03; R22; R23; R30; R33</t>
        </is>
      </c>
      <c r="N453" s="10" t="inlineStr">
        <is>
          <t>Não iniciado</t>
        </is>
      </c>
      <c r="O453" s="3" t="inlineStr">
        <is>
          <t>P0</t>
        </is>
      </c>
      <c r="P453" s="3" t="inlineStr">
        <is>
          <t>Crítico</t>
        </is>
      </c>
      <c r="Q453" s="3" t="inlineStr">
        <is>
          <t>Obrigatória no escopo da versão</t>
        </is>
      </c>
      <c r="R453" s="10" t="inlineStr">
        <is>
          <t>Autor + agente de IA</t>
        </is>
      </c>
      <c r="S453" s="10" t="inlineStr"/>
      <c r="T453" s="11" t="inlineStr"/>
      <c r="U453" s="3" t="inlineStr">
        <is>
          <t>reports/S42/SL-S42-01.md</t>
        </is>
      </c>
      <c r="V453" s="10" t="inlineStr"/>
      <c r="W453" s="10" t="inlineStr"/>
      <c r="X453" s="3">
        <f>IF(N453="Concluído",IF(AND(S453&lt;&gt;"",ISNUMBER(T453),T453&gt;0,V453&lt;&gt;"",AND(OR(X34="OK",X34="DISPENSADO"),OR(X254="OK",X254="DISPENSADO"),OR(X353="OK",X353="DISPENSADO"),OR(X452="OK",X452="DISPENSADO"))),"OK","REVISAR"),IF(N453="Dispensado (ADR)",IF(AND(LEFT(Q453,11)="Condicional",W453&lt;&gt;"",S453&lt;&gt;"",ISNUMBER(T453),T453&gt;0,V453&lt;&gt;""),"DISPENSADO","REVISAR"),"PENDENTE"))</f>
        <v/>
      </c>
      <c r="Y453" s="10" t="inlineStr"/>
    </row>
    <row r="454" ht="112" customHeight="1">
      <c r="A454" s="3" t="n">
        <v>453</v>
      </c>
      <c r="B454" s="3" t="inlineStr">
        <is>
          <t>SL-S42-02</t>
        </is>
      </c>
      <c r="C454" s="9" t="inlineStr">
        <is>
          <t>v0.8.0</t>
        </is>
      </c>
      <c r="D454" s="9" t="inlineStr">
        <is>
          <t>S42</t>
        </is>
      </c>
      <c r="E454" s="3" t="inlineStr">
        <is>
          <t>PageIndex / upstream</t>
        </is>
      </c>
      <c r="F454" s="3" t="inlineStr">
        <is>
          <t>Desconstrução</t>
        </is>
      </c>
      <c r="G454" s="3" t="inlineStr">
        <is>
          <t>Upstream</t>
        </is>
      </c>
      <c r="H454" s="3" t="inlineStr">
        <is>
          <t>Reproduzir baseline Markdown</t>
        </is>
      </c>
      <c r="I454" s="3" t="inlineStr">
        <is>
          <t>Exercitar page_index_md ou equivalente real com fixture e modelo controlado.</t>
        </is>
      </c>
      <c r="J454" s="3" t="inlineStr">
        <is>
          <t>reports/pageindex/upstream-baseline.md</t>
        </is>
      </c>
      <c r="K454" s="3" t="inlineStr">
        <is>
          <t>Entrada/saída e comportamento de IDs/headings estão documentados.</t>
        </is>
      </c>
      <c r="L454" s="3" t="inlineStr">
        <is>
          <t>SL-S42-01</t>
        </is>
      </c>
      <c r="M454" s="3" t="inlineStr">
        <is>
          <t>R03; R22; R23; R30; R33</t>
        </is>
      </c>
      <c r="N454" s="10" t="inlineStr">
        <is>
          <t>Não iniciado</t>
        </is>
      </c>
      <c r="O454" s="3" t="inlineStr">
        <is>
          <t>P0</t>
        </is>
      </c>
      <c r="P454" s="3" t="inlineStr">
        <is>
          <t>Crítico</t>
        </is>
      </c>
      <c r="Q454" s="3" t="inlineStr">
        <is>
          <t>Obrigatória no escopo da versão</t>
        </is>
      </c>
      <c r="R454" s="10" t="inlineStr">
        <is>
          <t>Autor + agente de IA</t>
        </is>
      </c>
      <c r="S454" s="10" t="inlineStr"/>
      <c r="T454" s="11" t="inlineStr"/>
      <c r="U454" s="3" t="inlineStr">
        <is>
          <t>reports/S42/SL-S42-02.md</t>
        </is>
      </c>
      <c r="V454" s="10" t="inlineStr"/>
      <c r="W454" s="10" t="inlineStr"/>
      <c r="X454" s="3">
        <f>IF(N454="Concluído",IF(AND(S454&lt;&gt;"",ISNUMBER(T454),T454&gt;0,V454&lt;&gt;"",AND(OR(X453="OK",X453="DISPENSADO"))),"OK","REVISAR"),IF(N454="Dispensado (ADR)",IF(AND(LEFT(Q454,11)="Condicional",W454&lt;&gt;"",S454&lt;&gt;"",ISNUMBER(T454),T454&gt;0,V454&lt;&gt;""),"DISPENSADO","REVISAR"),"PENDENTE"))</f>
        <v/>
      </c>
      <c r="Y454" s="10" t="inlineStr"/>
    </row>
    <row r="455" ht="112" customHeight="1">
      <c r="A455" s="3" t="n">
        <v>454</v>
      </c>
      <c r="B455" s="3" t="inlineStr">
        <is>
          <t>SL-S42-03</t>
        </is>
      </c>
      <c r="C455" s="9" t="inlineStr">
        <is>
          <t>v0.8.0</t>
        </is>
      </c>
      <c r="D455" s="9" t="inlineStr">
        <is>
          <t>S42</t>
        </is>
      </c>
      <c r="E455" s="3" t="inlineStr">
        <is>
          <t>PageIndex / upstream</t>
        </is>
      </c>
      <c r="F455" s="3" t="inlineStr">
        <is>
          <t>Desconstrução</t>
        </is>
      </c>
      <c r="G455" s="3" t="inlineStr">
        <is>
          <t>Upstream</t>
        </is>
      </c>
      <c r="H455" s="3" t="inlineStr">
        <is>
          <t>Mapear acoplamentos</t>
        </is>
      </c>
      <c r="I455" s="3" t="inlineStr">
        <is>
          <t>Identificar store, nomes de documento, páginas, provedores, prompts e frameworks de agentes.</t>
        </is>
      </c>
      <c r="J455" s="3" t="inlineStr">
        <is>
          <t>docs/upstream/pageindex-couplings.md</t>
        </is>
      </c>
      <c r="K455" s="3" t="inlineStr">
        <is>
          <t>Cloud e operações de gestão de biblioteca não entram implicitamente no adapter de células.</t>
        </is>
      </c>
      <c r="L455" s="3" t="inlineStr">
        <is>
          <t>SL-S42-02</t>
        </is>
      </c>
      <c r="M455" s="3" t="inlineStr">
        <is>
          <t>R03; R22; R23; R30; R33</t>
        </is>
      </c>
      <c r="N455" s="10" t="inlineStr">
        <is>
          <t>Não iniciado</t>
        </is>
      </c>
      <c r="O455" s="3" t="inlineStr">
        <is>
          <t>P0</t>
        </is>
      </c>
      <c r="P455" s="3" t="inlineStr">
        <is>
          <t>Crítico</t>
        </is>
      </c>
      <c r="Q455" s="3" t="inlineStr">
        <is>
          <t>Obrigatória no escopo da versão</t>
        </is>
      </c>
      <c r="R455" s="10" t="inlineStr">
        <is>
          <t>Autor + agente de IA</t>
        </is>
      </c>
      <c r="S455" s="10" t="inlineStr"/>
      <c r="T455" s="11" t="inlineStr"/>
      <c r="U455" s="3" t="inlineStr">
        <is>
          <t>reports/S42/SL-S42-03.md</t>
        </is>
      </c>
      <c r="V455" s="10" t="inlineStr"/>
      <c r="W455" s="10" t="inlineStr"/>
      <c r="X455" s="3">
        <f>IF(N455="Concluído",IF(AND(S455&lt;&gt;"",ISNUMBER(T455),T455&gt;0,V455&lt;&gt;"",AND(OR(X454="OK",X454="DISPENSADO"))),"OK","REVISAR"),IF(N455="Dispensado (ADR)",IF(AND(LEFT(Q455,11)="Condicional",W455&lt;&gt;"",S455&lt;&gt;"",ISNUMBER(T455),T455&gt;0,V455&lt;&gt;""),"DISPENSADO","REVISAR"),"PENDENTE"))</f>
        <v/>
      </c>
      <c r="Y455" s="10" t="inlineStr"/>
    </row>
    <row r="456" ht="112" customHeight="1">
      <c r="A456" s="3" t="n">
        <v>455</v>
      </c>
      <c r="B456" s="3" t="inlineStr">
        <is>
          <t>SL-S42-04</t>
        </is>
      </c>
      <c r="C456" s="9" t="inlineStr">
        <is>
          <t>v0.8.0</t>
        </is>
      </c>
      <c r="D456" s="9" t="inlineStr">
        <is>
          <t>S42</t>
        </is>
      </c>
      <c r="E456" s="3" t="inlineStr">
        <is>
          <t>PageIndex / upstream</t>
        </is>
      </c>
      <c r="F456" s="3" t="inlineStr">
        <is>
          <t>Desconstrução</t>
        </is>
      </c>
      <c r="G456" s="3" t="inlineStr">
        <is>
          <t>Upstream</t>
        </is>
      </c>
      <c r="H456" s="3" t="inlineStr">
        <is>
          <t>Delimitar módulos úteis</t>
        </is>
      </c>
      <c r="I456" s="3" t="inlineStr">
        <is>
          <t>Selecionar construção/navegação/resumos e utilitários necessários por grafo de dependências.</t>
        </is>
      </c>
      <c r="J456" s="3" t="inlineStr">
        <is>
          <t>upstream/pageindex/slice.json</t>
        </is>
      </c>
      <c r="K456" s="3" t="inlineStr">
        <is>
          <t>Não se copia função isolada com dependências wildcard desconhecidas.</t>
        </is>
      </c>
      <c r="L456" s="3" t="inlineStr">
        <is>
          <t>SL-S42-03</t>
        </is>
      </c>
      <c r="M456" s="3" t="inlineStr">
        <is>
          <t>R03; R22; R23; R30; R33</t>
        </is>
      </c>
      <c r="N456" s="10" t="inlineStr">
        <is>
          <t>Não iniciado</t>
        </is>
      </c>
      <c r="O456" s="3" t="inlineStr">
        <is>
          <t>P0</t>
        </is>
      </c>
      <c r="P456" s="3" t="inlineStr">
        <is>
          <t>Crítico</t>
        </is>
      </c>
      <c r="Q456" s="3" t="inlineStr">
        <is>
          <t>Obrigatória no escopo da versão</t>
        </is>
      </c>
      <c r="R456" s="10" t="inlineStr">
        <is>
          <t>Autor + agente de IA</t>
        </is>
      </c>
      <c r="S456" s="10" t="inlineStr"/>
      <c r="T456" s="11" t="inlineStr"/>
      <c r="U456" s="3" t="inlineStr">
        <is>
          <t>reports/S42/SL-S42-04.md</t>
        </is>
      </c>
      <c r="V456" s="10" t="inlineStr"/>
      <c r="W456" s="10" t="inlineStr"/>
      <c r="X456" s="3">
        <f>IF(N456="Concluído",IF(AND(S456&lt;&gt;"",ISNUMBER(T456),T456&gt;0,V456&lt;&gt;"",AND(OR(X455="OK",X455="DISPENSADO"))),"OK","REVISAR"),IF(N456="Dispensado (ADR)",IF(AND(LEFT(Q456,11)="Condicional",W456&lt;&gt;"",S456&lt;&gt;"",ISNUMBER(T456),T456&gt;0,V456&lt;&gt;""),"DISPENSADO","REVISAR"),"PENDENTE"))</f>
        <v/>
      </c>
      <c r="Y456" s="10" t="inlineStr"/>
    </row>
    <row r="457" ht="112" customHeight="1">
      <c r="A457" s="3" t="n">
        <v>456</v>
      </c>
      <c r="B457" s="3" t="inlineStr">
        <is>
          <t>SL-S42-05</t>
        </is>
      </c>
      <c r="C457" s="9" t="inlineStr">
        <is>
          <t>v0.8.0</t>
        </is>
      </c>
      <c r="D457" s="9" t="inlineStr">
        <is>
          <t>S42</t>
        </is>
      </c>
      <c r="E457" s="3" t="inlineStr">
        <is>
          <t>PageIndex / upstream</t>
        </is>
      </c>
      <c r="F457" s="3" t="inlineStr">
        <is>
          <t>Desconstrução</t>
        </is>
      </c>
      <c r="G457" s="3" t="inlineStr">
        <is>
          <t>Implementação</t>
        </is>
      </c>
      <c r="H457" s="3" t="inlineStr">
        <is>
          <t>Criar fachada ContextProvider</t>
        </is>
      </c>
      <c r="I457" s="3" t="inlineStr">
        <is>
          <t>Expor contratos Sandland sem vazar nomes de documento/página como identidade.</t>
        </is>
      </c>
      <c r="J457" s="3" t="inlineStr">
        <is>
          <t>adapters/pageindex/</t>
        </is>
      </c>
      <c r="K457" s="3" t="inlineStr">
        <is>
          <t>App não depende de DocStore nem de IDs sequenciais internos para autoria.</t>
        </is>
      </c>
      <c r="L457" s="3" t="inlineStr">
        <is>
          <t>SL-S42-04</t>
        </is>
      </c>
      <c r="M457" s="3" t="inlineStr">
        <is>
          <t>R03; R22; R23; R30; R33</t>
        </is>
      </c>
      <c r="N457" s="10" t="inlineStr">
        <is>
          <t>Não iniciado</t>
        </is>
      </c>
      <c r="O457" s="3" t="inlineStr">
        <is>
          <t>P0</t>
        </is>
      </c>
      <c r="P457" s="3" t="inlineStr">
        <is>
          <t>Crítico</t>
        </is>
      </c>
      <c r="Q457" s="3" t="inlineStr">
        <is>
          <t>Obrigatória no escopo da versão</t>
        </is>
      </c>
      <c r="R457" s="10" t="inlineStr">
        <is>
          <t>Autor + agente de IA</t>
        </is>
      </c>
      <c r="S457" s="10" t="inlineStr"/>
      <c r="T457" s="11" t="inlineStr"/>
      <c r="U457" s="3" t="inlineStr">
        <is>
          <t>reports/S42/SL-S42-05.md</t>
        </is>
      </c>
      <c r="V457" s="10" t="inlineStr"/>
      <c r="W457" s="10" t="inlineStr"/>
      <c r="X457" s="3">
        <f>IF(N457="Concluído",IF(AND(S457&lt;&gt;"",ISNUMBER(T457),T457&gt;0,V457&lt;&gt;"",AND(OR(X456="OK",X456="DISPENSADO"))),"OK","REVISAR"),IF(N457="Dispensado (ADR)",IF(AND(LEFT(Q457,11)="Condicional",W457&lt;&gt;"",S457&lt;&gt;"",ISNUMBER(T457),T457&gt;0,V457&lt;&gt;""),"DISPENSADO","REVISAR"),"PENDENTE"))</f>
        <v/>
      </c>
      <c r="Y457" s="10" t="inlineStr"/>
    </row>
    <row r="458" ht="112" customHeight="1">
      <c r="A458" s="3" t="n">
        <v>457</v>
      </c>
      <c r="B458" s="3" t="inlineStr">
        <is>
          <t>SL-S42-06</t>
        </is>
      </c>
      <c r="C458" s="9" t="inlineStr">
        <is>
          <t>v0.8.0</t>
        </is>
      </c>
      <c r="D458" s="9" t="inlineStr">
        <is>
          <t>S42</t>
        </is>
      </c>
      <c r="E458" s="3" t="inlineStr">
        <is>
          <t>PageIndex / upstream</t>
        </is>
      </c>
      <c r="F458" s="3" t="inlineStr">
        <is>
          <t>Desconstrução</t>
        </is>
      </c>
      <c r="G458" s="3" t="inlineStr">
        <is>
          <t>Implementação</t>
        </is>
      </c>
      <c r="H458" s="3" t="inlineStr">
        <is>
          <t>Criar porta de modelos</t>
        </is>
      </c>
      <c r="I458" s="3" t="inlineStr">
        <is>
          <t>Redirecionar chamadas de resumo/navegação ao ModelGateway autorizado.</t>
        </is>
      </c>
      <c r="J458" s="3" t="inlineStr">
        <is>
          <t>adapters/pageindex/model_port.py</t>
        </is>
      </c>
      <c r="K458" s="3" t="inlineStr">
        <is>
          <t>Configuração padrão não envia células a provedor remoto do upstream.</t>
        </is>
      </c>
      <c r="L458" s="3" t="inlineStr">
        <is>
          <t>SL-S42-05</t>
        </is>
      </c>
      <c r="M458" s="3" t="inlineStr">
        <is>
          <t>R03; R22; R23; R30; R33</t>
        </is>
      </c>
      <c r="N458" s="10" t="inlineStr">
        <is>
          <t>Não iniciado</t>
        </is>
      </c>
      <c r="O458" s="3" t="inlineStr">
        <is>
          <t>P0</t>
        </is>
      </c>
      <c r="P458" s="3" t="inlineStr">
        <is>
          <t>Crítico</t>
        </is>
      </c>
      <c r="Q458" s="3" t="inlineStr">
        <is>
          <t>Obrigatória no escopo da versão</t>
        </is>
      </c>
      <c r="R458" s="10" t="inlineStr">
        <is>
          <t>Autor + agente de IA</t>
        </is>
      </c>
      <c r="S458" s="10" t="inlineStr"/>
      <c r="T458" s="11" t="inlineStr"/>
      <c r="U458" s="3" t="inlineStr">
        <is>
          <t>reports/S42/SL-S42-06.md</t>
        </is>
      </c>
      <c r="V458" s="10" t="inlineStr"/>
      <c r="W458" s="10" t="inlineStr"/>
      <c r="X458" s="3">
        <f>IF(N458="Concluído",IF(AND(S458&lt;&gt;"",ISNUMBER(T458),T458&gt;0,V458&lt;&gt;"",AND(OR(X457="OK",X457="DISPENSADO"))),"OK","REVISAR"),IF(N458="Dispensado (ADR)",IF(AND(LEFT(Q458,11)="Condicional",W458&lt;&gt;"",S458&lt;&gt;"",ISNUMBER(T458),T458&gt;0,V458&lt;&gt;""),"DISPENSADO","REVISAR"),"PENDENTE"))</f>
        <v/>
      </c>
      <c r="Y458" s="10" t="inlineStr"/>
    </row>
    <row r="459" ht="112" customHeight="1">
      <c r="A459" s="3" t="n">
        <v>458</v>
      </c>
      <c r="B459" s="3" t="inlineStr">
        <is>
          <t>SL-S42-07</t>
        </is>
      </c>
      <c r="C459" s="9" t="inlineStr">
        <is>
          <t>v0.8.0</t>
        </is>
      </c>
      <c r="D459" s="9" t="inlineStr">
        <is>
          <t>S42</t>
        </is>
      </c>
      <c r="E459" s="3" t="inlineStr">
        <is>
          <t>PageIndex / upstream</t>
        </is>
      </c>
      <c r="F459" s="3" t="inlineStr">
        <is>
          <t>Desconstrução</t>
        </is>
      </c>
      <c r="G459" s="3" t="inlineStr">
        <is>
          <t>Implementação</t>
        </is>
      </c>
      <c r="H459" s="3" t="inlineStr">
        <is>
          <t>Criar porta de evidências</t>
        </is>
      </c>
      <c r="I459" s="3" t="inlineStr">
        <is>
          <t>Intermediar toda leitura pelo broker e pelas referências autorizadas.</t>
        </is>
      </c>
      <c r="J459" s="3" t="inlineStr">
        <is>
          <t>adapters/pageindex/evidence_port.py</t>
        </is>
      </c>
      <c r="K459" s="3" t="inlineStr">
        <is>
          <t>Prompt de contexto não é a única barreira de acesso à biblioteca.</t>
        </is>
      </c>
      <c r="L459" s="3" t="inlineStr">
        <is>
          <t>SL-S42-06</t>
        </is>
      </c>
      <c r="M459" s="3" t="inlineStr">
        <is>
          <t>R03; R22; R23; R30; R33</t>
        </is>
      </c>
      <c r="N459" s="10" t="inlineStr">
        <is>
          <t>Não iniciado</t>
        </is>
      </c>
      <c r="O459" s="3" t="inlineStr">
        <is>
          <t>P0</t>
        </is>
      </c>
      <c r="P459" s="3" t="inlineStr">
        <is>
          <t>Crítico</t>
        </is>
      </c>
      <c r="Q459" s="3" t="inlineStr">
        <is>
          <t>Obrigatória no escopo da versão</t>
        </is>
      </c>
      <c r="R459" s="10" t="inlineStr">
        <is>
          <t>Autor + agente de IA</t>
        </is>
      </c>
      <c r="S459" s="10" t="inlineStr"/>
      <c r="T459" s="11" t="inlineStr"/>
      <c r="U459" s="3" t="inlineStr">
        <is>
          <t>reports/S42/SL-S42-07.md</t>
        </is>
      </c>
      <c r="V459" s="10" t="inlineStr"/>
      <c r="W459" s="10" t="inlineStr"/>
      <c r="X459" s="3">
        <f>IF(N459="Concluído",IF(AND(S459&lt;&gt;"",ISNUMBER(T459),T459&gt;0,V459&lt;&gt;"",AND(OR(X458="OK",X458="DISPENSADO"))),"OK","REVISAR"),IF(N459="Dispensado (ADR)",IF(AND(LEFT(Q459,11)="Condicional",W459&lt;&gt;"",S459&lt;&gt;"",ISNUMBER(T459),T459&gt;0,V459&lt;&gt;""),"DISPENSADO","REVISAR"),"PENDENTE"))</f>
        <v/>
      </c>
      <c r="Y459" s="10" t="inlineStr"/>
    </row>
    <row r="460" ht="112" customHeight="1">
      <c r="A460" s="3" t="n">
        <v>459</v>
      </c>
      <c r="B460" s="3" t="inlineStr">
        <is>
          <t>SL-S42-08</t>
        </is>
      </c>
      <c r="C460" s="9" t="inlineStr">
        <is>
          <t>v0.8.0</t>
        </is>
      </c>
      <c r="D460" s="9" t="inlineStr">
        <is>
          <t>S42</t>
        </is>
      </c>
      <c r="E460" s="3" t="inlineStr">
        <is>
          <t>PageIndex / upstream</t>
        </is>
      </c>
      <c r="F460" s="3" t="inlineStr">
        <is>
          <t>Desconstrução</t>
        </is>
      </c>
      <c r="G460" s="3" t="inlineStr">
        <is>
          <t>Implementação</t>
        </is>
      </c>
      <c r="H460" s="3" t="inlineStr">
        <is>
          <t>Criar patch set testável</t>
        </is>
      </c>
      <c r="I460" s="3" t="inlineStr">
        <is>
          <t>Isolar mudanças do núcleo e conservar avisos/origem.</t>
        </is>
      </c>
      <c r="J460" s="3" t="inlineStr">
        <is>
          <t>upstream/pageindex/patches/</t>
        </is>
      </c>
      <c r="K460" s="3" t="inlineStr">
        <is>
          <t>Diferenças são reproduzíveis e possuem fixtures; não há fork integral sem necessidade.</t>
        </is>
      </c>
      <c r="L460" s="3" t="inlineStr">
        <is>
          <t>SL-S42-07</t>
        </is>
      </c>
      <c r="M460" s="3" t="inlineStr">
        <is>
          <t>R03; R22; R23; R30; R33</t>
        </is>
      </c>
      <c r="N460" s="10" t="inlineStr">
        <is>
          <t>Não iniciado</t>
        </is>
      </c>
      <c r="O460" s="3" t="inlineStr">
        <is>
          <t>P0</t>
        </is>
      </c>
      <c r="P460" s="3" t="inlineStr">
        <is>
          <t>Crítico</t>
        </is>
      </c>
      <c r="Q460" s="3" t="inlineStr">
        <is>
          <t>Obrigatória no escopo da versão</t>
        </is>
      </c>
      <c r="R460" s="10" t="inlineStr">
        <is>
          <t>Autor + agente de IA</t>
        </is>
      </c>
      <c r="S460" s="10" t="inlineStr"/>
      <c r="T460" s="11" t="inlineStr"/>
      <c r="U460" s="3" t="inlineStr">
        <is>
          <t>reports/S42/SL-S42-08.md</t>
        </is>
      </c>
      <c r="V460" s="10" t="inlineStr"/>
      <c r="W460" s="10" t="inlineStr"/>
      <c r="X460" s="3">
        <f>IF(N460="Concluído",IF(AND(S460&lt;&gt;"",ISNUMBER(T460),T460&gt;0,V460&lt;&gt;"",AND(OR(X459="OK",X459="DISPENSADO"))),"OK","REVISAR"),IF(N460="Dispensado (ADR)",IF(AND(LEFT(Q460,11)="Condicional",W460&lt;&gt;"",S460&lt;&gt;"",ISNUMBER(T460),T460&gt;0,V460&lt;&gt;""),"DISPENSADO","REVISAR"),"PENDENTE"))</f>
        <v/>
      </c>
      <c r="Y460" s="10" t="inlineStr"/>
    </row>
    <row r="461" ht="112" customHeight="1">
      <c r="A461" s="3" t="n">
        <v>460</v>
      </c>
      <c r="B461" s="3" t="inlineStr">
        <is>
          <t>SL-S42-09</t>
        </is>
      </c>
      <c r="C461" s="9" t="inlineStr">
        <is>
          <t>v0.8.0</t>
        </is>
      </c>
      <c r="D461" s="9" t="inlineStr">
        <is>
          <t>S42</t>
        </is>
      </c>
      <c r="E461" s="3" t="inlineStr">
        <is>
          <t>PageIndex / upstream</t>
        </is>
      </c>
      <c r="F461" s="3" t="inlineStr">
        <is>
          <t>Desconstrução</t>
        </is>
      </c>
      <c r="G461" s="3" t="inlineStr">
        <is>
          <t>Decisão</t>
        </is>
      </c>
      <c r="H461" s="3" t="inlineStr">
        <is>
          <t>Ratificar ADR de contexto</t>
        </is>
      </c>
      <c r="I461" s="3" t="inlineStr">
        <is>
          <t>Resolver ADR-014, manter árvore como projeção e escolher responsabilidades do adapter.</t>
        </is>
      </c>
      <c r="J461" s="3" t="inlineStr">
        <is>
          <t>docs/adr/014-context-engine.md</t>
        </is>
      </c>
      <c r="K461" s="3" t="inlineStr">
        <is>
          <t>Grafo completo continua canônico fora da árvore; nome RLM é definido sem ambiguidade.</t>
        </is>
      </c>
      <c r="L461" s="3" t="inlineStr">
        <is>
          <t>SL-S42-08</t>
        </is>
      </c>
      <c r="M461" s="3" t="inlineStr">
        <is>
          <t>R03; R22; R23; R30; R33</t>
        </is>
      </c>
      <c r="N461" s="10" t="inlineStr">
        <is>
          <t>Não iniciado</t>
        </is>
      </c>
      <c r="O461" s="3" t="inlineStr">
        <is>
          <t>P0</t>
        </is>
      </c>
      <c r="P461" s="3" t="inlineStr">
        <is>
          <t>Crítico</t>
        </is>
      </c>
      <c r="Q461" s="3" t="inlineStr">
        <is>
          <t>Obrigatória no escopo da versão</t>
        </is>
      </c>
      <c r="R461" s="10" t="inlineStr">
        <is>
          <t>Autor</t>
        </is>
      </c>
      <c r="S461" s="10" t="inlineStr"/>
      <c r="T461" s="11" t="inlineStr"/>
      <c r="U461" s="3" t="inlineStr">
        <is>
          <t>reports/S42/SL-S42-09.md</t>
        </is>
      </c>
      <c r="V461" s="10" t="inlineStr"/>
      <c r="W461" s="10" t="inlineStr"/>
      <c r="X461" s="3">
        <f>IF(N461="Concluído",IF(AND(S461&lt;&gt;"",ISNUMBER(T461),T461&gt;0,V461&lt;&gt;"",AND(OR(X460="OK",X460="DISPENSADO"))),"OK","REVISAR"),IF(N461="Dispensado (ADR)",IF(AND(LEFT(Q461,11)="Condicional",W461&lt;&gt;"",S461&lt;&gt;"",ISNUMBER(T461),T461&gt;0,V461&lt;&gt;""),"DISPENSADO","REVISAR"),"PENDENTE"))</f>
        <v/>
      </c>
      <c r="Y461" s="10" t="inlineStr"/>
    </row>
    <row r="462" ht="112" customHeight="1">
      <c r="A462" s="3" t="n">
        <v>461</v>
      </c>
      <c r="B462" s="3" t="inlineStr">
        <is>
          <t>SL-S42-10</t>
        </is>
      </c>
      <c r="C462" s="9" t="inlineStr">
        <is>
          <t>v0.8.0</t>
        </is>
      </c>
      <c r="D462" s="9" t="inlineStr">
        <is>
          <t>S42</t>
        </is>
      </c>
      <c r="E462" s="3" t="inlineStr">
        <is>
          <t>PageIndex / upstream</t>
        </is>
      </c>
      <c r="F462" s="3" t="inlineStr">
        <is>
          <t>Desconstrução</t>
        </is>
      </c>
      <c r="G462" s="3" t="inlineStr">
        <is>
          <t>Teste</t>
        </is>
      </c>
      <c r="H462" s="3" t="inlineStr">
        <is>
          <t>Validar isolamento inicial</t>
        </is>
      </c>
      <c r="I462" s="3" t="inlineStr">
        <is>
          <t>Executar contexto fake sem SDK cloud, filesystem geral ou dependências não necessárias.</t>
        </is>
      </c>
      <c r="J462" s="3" t="inlineStr">
        <is>
          <t>reports/pageindex/isolation.json</t>
        </is>
      </c>
      <c r="K462" s="3" t="inlineStr">
        <is>
          <t>Uso offline e perímetro de leitura são demonstrados antes de ligar a UI.</t>
        </is>
      </c>
      <c r="L462" s="3" t="inlineStr">
        <is>
          <t>SL-S42-09</t>
        </is>
      </c>
      <c r="M462" s="3" t="inlineStr">
        <is>
          <t>R03; R22; R23; R30; R33</t>
        </is>
      </c>
      <c r="N462" s="10" t="inlineStr">
        <is>
          <t>Não iniciado</t>
        </is>
      </c>
      <c r="O462" s="3" t="inlineStr">
        <is>
          <t>P0</t>
        </is>
      </c>
      <c r="P462" s="3" t="inlineStr">
        <is>
          <t>Crítico</t>
        </is>
      </c>
      <c r="Q462" s="3" t="inlineStr">
        <is>
          <t>Obrigatória no escopo da versão</t>
        </is>
      </c>
      <c r="R462" s="10" t="inlineStr">
        <is>
          <t>Autor + agente de IA</t>
        </is>
      </c>
      <c r="S462" s="10" t="inlineStr"/>
      <c r="T462" s="11" t="inlineStr"/>
      <c r="U462" s="3" t="inlineStr">
        <is>
          <t>reports/S42/SL-S42-10.md</t>
        </is>
      </c>
      <c r="V462" s="10" t="inlineStr"/>
      <c r="W462" s="10" t="inlineStr"/>
      <c r="X462" s="3">
        <f>IF(N462="Concluído",IF(AND(S462&lt;&gt;"",ISNUMBER(T462),T462&gt;0,V462&lt;&gt;"",AND(OR(X461="OK",X461="DISPENSADO"))),"OK","REVISAR"),IF(N462="Dispensado (ADR)",IF(AND(LEFT(Q462,11)="Condicional",W462&lt;&gt;"",S462&lt;&gt;"",ISNUMBER(T462),T462&gt;0,V462&lt;&gt;""),"DISPENSADO","REVISAR"),"PENDENTE"))</f>
        <v/>
      </c>
      <c r="Y462" s="10" t="inlineStr"/>
    </row>
    <row r="463" ht="98" customHeight="1">
      <c r="A463" s="3" t="n">
        <v>462</v>
      </c>
      <c r="B463" s="12" t="inlineStr">
        <is>
          <t>SL-S42-GATE</t>
        </is>
      </c>
      <c r="C463" s="9" t="inlineStr">
        <is>
          <t>v0.8.0</t>
        </is>
      </c>
      <c r="D463" s="9" t="inlineStr">
        <is>
          <t>S42</t>
        </is>
      </c>
      <c r="E463" s="3" t="inlineStr">
        <is>
          <t>PageIndex / upstream</t>
        </is>
      </c>
      <c r="F463" s="3" t="inlineStr">
        <is>
          <t>Aceite humano</t>
        </is>
      </c>
      <c r="G463" s="12" t="inlineStr">
        <is>
          <t>Gate</t>
        </is>
      </c>
      <c r="H463" s="12" t="inlineStr">
        <is>
          <t>Aceitar S42 — Auditar e recortar PageIndex para células</t>
        </is>
      </c>
      <c r="I463" s="3" t="inlineStr">
        <is>
          <t>Revisar as dez tarefas, executar a demonstração do sprint, confrontar critérios e registrar decisão go/no-go.</t>
        </is>
      </c>
      <c r="J463" s="3" t="inlineStr">
        <is>
          <t>reports/S42/acceptance.md</t>
        </is>
      </c>
      <c r="K463" s="3" t="inlineStr">
        <is>
          <t>Construir índice de Markdown de fixture sem PDF e sem store canônico do SDK. Todas as dependências aceitas; evidências vinculadas a revisão/ambiente; nenhum blocker de integridade/segurança.</t>
        </is>
      </c>
      <c r="L463" s="3" t="inlineStr">
        <is>
          <t>SL-S42-01; SL-S42-02; SL-S42-03; SL-S42-04; SL-S42-05; SL-S42-06; SL-S42-07; SL-S42-08; SL-S42-09; SL-S42-10</t>
        </is>
      </c>
      <c r="M463" s="3" t="inlineStr">
        <is>
          <t>R03; R22; R23; R30; R33</t>
        </is>
      </c>
      <c r="N463" s="10" t="inlineStr">
        <is>
          <t>Não iniciado</t>
        </is>
      </c>
      <c r="O463" s="3" t="inlineStr">
        <is>
          <t>P0</t>
        </is>
      </c>
      <c r="P463" s="3" t="inlineStr">
        <is>
          <t>Crítico</t>
        </is>
      </c>
      <c r="Q463" s="3" t="inlineStr">
        <is>
          <t>Obrigatória para fechar a versão aprovada</t>
        </is>
      </c>
      <c r="R463" s="10" t="inlineStr">
        <is>
          <t>Autor</t>
        </is>
      </c>
      <c r="S463" s="10" t="inlineStr"/>
      <c r="T463" s="11" t="inlineStr"/>
      <c r="U463" s="3" t="inlineStr">
        <is>
          <t>reports/S42/acceptance.md</t>
        </is>
      </c>
      <c r="V463" s="10" t="inlineStr"/>
      <c r="W463" s="10" t="inlineStr"/>
      <c r="X463" s="3">
        <f>IF(N463="Concluído",IF(AND(S463&lt;&gt;"",ISNUMBER(T463),T463&gt;0,V463&lt;&gt;"",AND(OR(X453="OK",X453="DISPENSADO"),OR(X454="OK",X454="DISPENSADO"),OR(X455="OK",X455="DISPENSADO"),OR(X456="OK",X456="DISPENSADO"),OR(X457="OK",X457="DISPENSADO"),OR(X458="OK",X458="DISPENSADO"),OR(X459="OK",X459="DISPENSADO"),OR(X460="OK",X460="DISPENSADO"),OR(X461="OK",X461="DISPENSADO"),OR(X462="OK",X462="DISPENSADO"))),"OK","REVISAR"),IF(N463="Dispensado (ADR)",IF(AND(LEFT(Q463,11)="Condicional",W463&lt;&gt;"",S463&lt;&gt;"",ISNUMBER(T463),T463&gt;0,V463&lt;&gt;""),"DISPENSADO","REVISAR"),"PENDENTE"))</f>
        <v/>
      </c>
      <c r="Y463" s="10" t="inlineStr"/>
    </row>
    <row r="464" ht="112" customHeight="1">
      <c r="A464" s="3" t="n">
        <v>463</v>
      </c>
      <c r="B464" s="3" t="inlineStr">
        <is>
          <t>SL-S43-01</t>
        </is>
      </c>
      <c r="C464" s="9" t="inlineStr">
        <is>
          <t>v0.8.0</t>
        </is>
      </c>
      <c r="D464" s="9" t="inlineStr">
        <is>
          <t>S43</t>
        </is>
      </c>
      <c r="E464" s="3" t="inlineStr">
        <is>
          <t>PageIndex / StructureAdapter</t>
        </is>
      </c>
      <c r="F464" s="3" t="inlineStr">
        <is>
          <t>Adaptação</t>
        </is>
      </c>
      <c r="G464" s="3" t="inlineStr">
        <is>
          <t>Contrato</t>
        </is>
      </c>
      <c r="H464" s="3" t="inlineStr">
        <is>
          <t>Definir WorkspaceSnapshot</t>
        </is>
      </c>
      <c r="I464" s="3" t="inlineStr">
        <is>
          <t>Combinar hierarquia, relações, layout, fontes e revisões com schema explícito.</t>
        </is>
      </c>
      <c r="J464" s="3" t="inlineStr">
        <is>
          <t>schemas/workspace-snapshot-v0.json</t>
        </is>
      </c>
      <c r="K464" s="3" t="inlineStr">
        <is>
          <t>Snapshot representa ciclos/arestas cruzadas fora da árvore de navegação.</t>
        </is>
      </c>
      <c r="L464" s="3" t="inlineStr">
        <is>
          <t>SL-S17-GATE; SL-S42-GATE</t>
        </is>
      </c>
      <c r="M464" s="3" t="inlineStr">
        <is>
          <t>R02; R04; R11; R22; R32</t>
        </is>
      </c>
      <c r="N464" s="10" t="inlineStr">
        <is>
          <t>Não iniciado</t>
        </is>
      </c>
      <c r="O464" s="3" t="inlineStr">
        <is>
          <t>P0</t>
        </is>
      </c>
      <c r="P464" s="3" t="inlineStr">
        <is>
          <t>Alto</t>
        </is>
      </c>
      <c r="Q464" s="3" t="inlineStr">
        <is>
          <t>Obrigatória no escopo da versão</t>
        </is>
      </c>
      <c r="R464" s="10" t="inlineStr">
        <is>
          <t>Autor + agente de IA</t>
        </is>
      </c>
      <c r="S464" s="10" t="inlineStr"/>
      <c r="T464" s="11" t="inlineStr"/>
      <c r="U464" s="3" t="inlineStr">
        <is>
          <t>reports/S43/SL-S43-01.md</t>
        </is>
      </c>
      <c r="V464" s="10" t="inlineStr"/>
      <c r="W464" s="10" t="inlineStr"/>
      <c r="X464" s="3">
        <f>IF(N464="Concluído",IF(AND(S464&lt;&gt;"",ISNUMBER(T464),T464&gt;0,V464&lt;&gt;"",AND(OR(X188="OK",X188="DISPENSADO"),OR(X463="OK",X463="DISPENSADO"))),"OK","REVISAR"),IF(N464="Dispensado (ADR)",IF(AND(LEFT(Q464,11)="Condicional",W464&lt;&gt;"",S464&lt;&gt;"",ISNUMBER(T464),T464&gt;0,V464&lt;&gt;""),"DISPENSADO","REVISAR"),"PENDENTE"))</f>
        <v/>
      </c>
      <c r="Y464" s="10" t="inlineStr"/>
    </row>
    <row r="465" ht="112" customHeight="1">
      <c r="A465" s="3" t="n">
        <v>464</v>
      </c>
      <c r="B465" s="3" t="inlineStr">
        <is>
          <t>SL-S43-02</t>
        </is>
      </c>
      <c r="C465" s="9" t="inlineStr">
        <is>
          <t>v0.8.0</t>
        </is>
      </c>
      <c r="D465" s="9" t="inlineStr">
        <is>
          <t>S43</t>
        </is>
      </c>
      <c r="E465" s="3" t="inlineStr">
        <is>
          <t>PageIndex / StructureAdapter</t>
        </is>
      </c>
      <c r="F465" s="3" t="inlineStr">
        <is>
          <t>Adaptação</t>
        </is>
      </c>
      <c r="G465" s="3" t="inlineStr">
        <is>
          <t>Implementação</t>
        </is>
      </c>
      <c r="H465" s="3" t="inlineStr">
        <is>
          <t>Construir snapshot coerente</t>
        </is>
      </c>
      <c r="I465" s="3" t="inlineStr">
        <is>
          <t>Ler revisão consistente de board e conteúdos pelo Core.</t>
        </is>
      </c>
      <c r="J465" s="3" t="inlineStr">
        <is>
          <t>crates/context/src/snapshot.rs</t>
        </is>
      </c>
      <c r="K465" s="3" t="inlineStr">
        <is>
          <t>Não combina geometria nova com texto antigo sem registrar as revisões usadas.</t>
        </is>
      </c>
      <c r="L465" s="3" t="inlineStr">
        <is>
          <t>SL-S43-01</t>
        </is>
      </c>
      <c r="M465" s="3" t="inlineStr">
        <is>
          <t>R02; R04; R11; R22; R32</t>
        </is>
      </c>
      <c r="N465" s="10" t="inlineStr">
        <is>
          <t>Não iniciado</t>
        </is>
      </c>
      <c r="O465" s="3" t="inlineStr">
        <is>
          <t>P1</t>
        </is>
      </c>
      <c r="P465" s="3" t="inlineStr">
        <is>
          <t>Alto</t>
        </is>
      </c>
      <c r="Q465" s="3" t="inlineStr">
        <is>
          <t>Obrigatória no escopo da versão</t>
        </is>
      </c>
      <c r="R465" s="10" t="inlineStr">
        <is>
          <t>Autor + agente de IA</t>
        </is>
      </c>
      <c r="S465" s="10" t="inlineStr"/>
      <c r="T465" s="11" t="inlineStr"/>
      <c r="U465" s="3" t="inlineStr">
        <is>
          <t>reports/S43/SL-S43-02.md</t>
        </is>
      </c>
      <c r="V465" s="10" t="inlineStr"/>
      <c r="W465" s="10" t="inlineStr"/>
      <c r="X465" s="3">
        <f>IF(N465="Concluído",IF(AND(S465&lt;&gt;"",ISNUMBER(T465),T465&gt;0,V465&lt;&gt;"",AND(OR(X464="OK",X464="DISPENSADO"))),"OK","REVISAR"),IF(N465="Dispensado (ADR)",IF(AND(LEFT(Q465,11)="Condicional",W465&lt;&gt;"",S465&lt;&gt;"",ISNUMBER(T465),T465&gt;0,V465&lt;&gt;""),"DISPENSADO","REVISAR"),"PENDENTE"))</f>
        <v/>
      </c>
      <c r="Y465" s="10" t="inlineStr"/>
    </row>
    <row r="466" ht="112" customHeight="1">
      <c r="A466" s="3" t="n">
        <v>465</v>
      </c>
      <c r="B466" s="3" t="inlineStr">
        <is>
          <t>SL-S43-03</t>
        </is>
      </c>
      <c r="C466" s="9" t="inlineStr">
        <is>
          <t>v0.8.0</t>
        </is>
      </c>
      <c r="D466" s="9" t="inlineStr">
        <is>
          <t>S43</t>
        </is>
      </c>
      <c r="E466" s="3" t="inlineStr">
        <is>
          <t>PageIndex / StructureAdapter</t>
        </is>
      </c>
      <c r="F466" s="3" t="inlineStr">
        <is>
          <t>Adaptação</t>
        </is>
      </c>
      <c r="G466" s="3" t="inlineStr">
        <is>
          <t>Implementação</t>
        </is>
      </c>
      <c r="H466" s="3" t="inlineStr">
        <is>
          <t>Projetar grupos/células/blocos</t>
        </is>
      </c>
      <c r="I466" s="3" t="inlineStr">
        <is>
          <t>Usar estrutura existente do produto em vez de inferi-la novamente por LLM.</t>
        </is>
      </c>
      <c r="J466" s="3" t="inlineStr">
        <is>
          <t>adapters/pageindex/structure_adapter.py</t>
        </is>
      </c>
      <c r="K466" s="3" t="inlineStr">
        <is>
          <t>Célula não é convertida em PDF e grupo manual não é substituído por cluster inventado.</t>
        </is>
      </c>
      <c r="L466" s="3" t="inlineStr">
        <is>
          <t>SL-S43-02</t>
        </is>
      </c>
      <c r="M466" s="3" t="inlineStr">
        <is>
          <t>R02; R04; R11; R22; R32</t>
        </is>
      </c>
      <c r="N466" s="10" t="inlineStr">
        <is>
          <t>Não iniciado</t>
        </is>
      </c>
      <c r="O466" s="3" t="inlineStr">
        <is>
          <t>P1</t>
        </is>
      </c>
      <c r="P466" s="3" t="inlineStr">
        <is>
          <t>Alto</t>
        </is>
      </c>
      <c r="Q466" s="3" t="inlineStr">
        <is>
          <t>Obrigatória no escopo da versão</t>
        </is>
      </c>
      <c r="R466" s="10" t="inlineStr">
        <is>
          <t>Autor + agente de IA</t>
        </is>
      </c>
      <c r="S466" s="10" t="inlineStr"/>
      <c r="T466" s="11" t="inlineStr"/>
      <c r="U466" s="3" t="inlineStr">
        <is>
          <t>reports/S43/SL-S43-03.md</t>
        </is>
      </c>
      <c r="V466" s="10" t="inlineStr"/>
      <c r="W466" s="10" t="inlineStr"/>
      <c r="X466" s="3">
        <f>IF(N466="Concluído",IF(AND(S466&lt;&gt;"",ISNUMBER(T466),T466&gt;0,V466&lt;&gt;"",AND(OR(X465="OK",X465="DISPENSADO"))),"OK","REVISAR"),IF(N466="Dispensado (ADR)",IF(AND(LEFT(Q466,11)="Condicional",W466&lt;&gt;"",S466&lt;&gt;"",ISNUMBER(T466),T466&gt;0,V466&lt;&gt;""),"DISPENSADO","REVISAR"),"PENDENTE"))</f>
        <v/>
      </c>
      <c r="Y466" s="10" t="inlineStr"/>
    </row>
    <row r="467" ht="112" customHeight="1">
      <c r="A467" s="3" t="n">
        <v>466</v>
      </c>
      <c r="B467" s="3" t="inlineStr">
        <is>
          <t>SL-S43-04</t>
        </is>
      </c>
      <c r="C467" s="9" t="inlineStr">
        <is>
          <t>v0.8.0</t>
        </is>
      </c>
      <c r="D467" s="9" t="inlineStr">
        <is>
          <t>S43</t>
        </is>
      </c>
      <c r="E467" s="3" t="inlineStr">
        <is>
          <t>PageIndex / StructureAdapter</t>
        </is>
      </c>
      <c r="F467" s="3" t="inlineStr">
        <is>
          <t>Adaptação</t>
        </is>
      </c>
      <c r="G467" s="3" t="inlineStr">
        <is>
          <t>Implementação</t>
        </is>
      </c>
      <c r="H467" s="3" t="inlineStr">
        <is>
          <t>Mapear IDs estáveis</t>
        </is>
      </c>
      <c r="I467" s="3" t="inlineStr">
        <is>
          <t>Traduzir node_id interno para identidade Sandland com revision key.</t>
        </is>
      </c>
      <c r="J467" s="3" t="inlineStr">
        <is>
          <t>adapters/pageindex/identity.py</t>
        </is>
      </c>
      <c r="K467" s="3" t="inlineStr">
        <is>
          <t>Inserir um nó não renumera todas as evidências existentes.</t>
        </is>
      </c>
      <c r="L467" s="3" t="inlineStr">
        <is>
          <t>SL-S43-03</t>
        </is>
      </c>
      <c r="M467" s="3" t="inlineStr">
        <is>
          <t>R02; R04; R11; R22; R32</t>
        </is>
      </c>
      <c r="N467" s="10" t="inlineStr">
        <is>
          <t>Não iniciado</t>
        </is>
      </c>
      <c r="O467" s="3" t="inlineStr">
        <is>
          <t>P1</t>
        </is>
      </c>
      <c r="P467" s="3" t="inlineStr">
        <is>
          <t>Alto</t>
        </is>
      </c>
      <c r="Q467" s="3" t="inlineStr">
        <is>
          <t>Obrigatória no escopo da versão</t>
        </is>
      </c>
      <c r="R467" s="10" t="inlineStr">
        <is>
          <t>Autor + agente de IA</t>
        </is>
      </c>
      <c r="S467" s="10" t="inlineStr"/>
      <c r="T467" s="11" t="inlineStr"/>
      <c r="U467" s="3" t="inlineStr">
        <is>
          <t>reports/S43/SL-S43-04.md</t>
        </is>
      </c>
      <c r="V467" s="10" t="inlineStr"/>
      <c r="W467" s="10" t="inlineStr"/>
      <c r="X467" s="3">
        <f>IF(N467="Concluído",IF(AND(S467&lt;&gt;"",ISNUMBER(T467),T467&gt;0,V467&lt;&gt;"",AND(OR(X466="OK",X466="DISPENSADO"))),"OK","REVISAR"),IF(N467="Dispensado (ADR)",IF(AND(LEFT(Q467,11)="Condicional",W467&lt;&gt;"",S467&lt;&gt;"",ISNUMBER(T467),T467&gt;0,V467&lt;&gt;""),"DISPENSADO","REVISAR"),"PENDENTE"))</f>
        <v/>
      </c>
      <c r="Y467" s="10" t="inlineStr"/>
    </row>
    <row r="468" ht="112" customHeight="1">
      <c r="A468" s="3" t="n">
        <v>467</v>
      </c>
      <c r="B468" s="3" t="inlineStr">
        <is>
          <t>SL-S43-05</t>
        </is>
      </c>
      <c r="C468" s="9" t="inlineStr">
        <is>
          <t>v0.8.0</t>
        </is>
      </c>
      <c r="D468" s="9" t="inlineStr">
        <is>
          <t>S43</t>
        </is>
      </c>
      <c r="E468" s="3" t="inlineStr">
        <is>
          <t>PageIndex / StructureAdapter</t>
        </is>
      </c>
      <c r="F468" s="3" t="inlineStr">
        <is>
          <t>Adaptação</t>
        </is>
      </c>
      <c r="G468" s="3" t="inlineStr">
        <is>
          <t>Implementação</t>
        </is>
      </c>
      <c r="H468" s="3" t="inlineStr">
        <is>
          <t>Preservar referências cruzadas</t>
        </is>
      </c>
      <c r="I468" s="3" t="inlineStr">
        <is>
          <t>Guardar arestas tipadas/direção e ocorrências múltiplas em estrutura auxiliar.</t>
        </is>
      </c>
      <c r="J468" s="3" t="inlineStr">
        <is>
          <t>crates/context/src/relations.rs</t>
        </is>
      </c>
      <c r="K468" s="3" t="inlineStr">
        <is>
          <t>Tree thinning não elimina células/arestas autorais.</t>
        </is>
      </c>
      <c r="L468" s="3" t="inlineStr">
        <is>
          <t>SL-S43-04</t>
        </is>
      </c>
      <c r="M468" s="3" t="inlineStr">
        <is>
          <t>R02; R04; R11; R22; R32</t>
        </is>
      </c>
      <c r="N468" s="10" t="inlineStr">
        <is>
          <t>Não iniciado</t>
        </is>
      </c>
      <c r="O468" s="3" t="inlineStr">
        <is>
          <t>P1</t>
        </is>
      </c>
      <c r="P468" s="3" t="inlineStr">
        <is>
          <t>Alto</t>
        </is>
      </c>
      <c r="Q468" s="3" t="inlineStr">
        <is>
          <t>Obrigatória no escopo da versão</t>
        </is>
      </c>
      <c r="R468" s="10" t="inlineStr">
        <is>
          <t>Autor + agente de IA</t>
        </is>
      </c>
      <c r="S468" s="10" t="inlineStr"/>
      <c r="T468" s="11" t="inlineStr"/>
      <c r="U468" s="3" t="inlineStr">
        <is>
          <t>reports/S43/SL-S43-05.md</t>
        </is>
      </c>
      <c r="V468" s="10" t="inlineStr"/>
      <c r="W468" s="10" t="inlineStr"/>
      <c r="X468" s="3">
        <f>IF(N468="Concluído",IF(AND(S468&lt;&gt;"",ISNUMBER(T468),T468&gt;0,V468&lt;&gt;"",AND(OR(X467="OK",X467="DISPENSADO"))),"OK","REVISAR"),IF(N468="Dispensado (ADR)",IF(AND(LEFT(Q468,11)="Condicional",W468&lt;&gt;"",S468&lt;&gt;"",ISNUMBER(T468),T468&gt;0,V468&lt;&gt;""),"DISPENSADO","REVISAR"),"PENDENTE"))</f>
        <v/>
      </c>
      <c r="Y468" s="10" t="inlineStr"/>
    </row>
    <row r="469" ht="112" customHeight="1">
      <c r="A469" s="3" t="n">
        <v>468</v>
      </c>
      <c r="B469" s="3" t="inlineStr">
        <is>
          <t>SL-S43-06</t>
        </is>
      </c>
      <c r="C469" s="9" t="inlineStr">
        <is>
          <t>v0.8.0</t>
        </is>
      </c>
      <c r="D469" s="9" t="inlineStr">
        <is>
          <t>S43</t>
        </is>
      </c>
      <c r="E469" s="3" t="inlineStr">
        <is>
          <t>PageIndex / StructureAdapter</t>
        </is>
      </c>
      <c r="F469" s="3" t="inlineStr">
        <is>
          <t>Adaptação</t>
        </is>
      </c>
      <c r="G469" s="3" t="inlineStr">
        <is>
          <t>Implementação</t>
        </is>
      </c>
      <c r="H469" s="3" t="inlineStr">
        <is>
          <t>Representar geometria relevante</t>
        </is>
      </c>
      <c r="I469" s="3" t="inlineStr">
        <is>
          <t>Conservar bounds/grupos e distinguir posição observada de relação semântica.</t>
        </is>
      </c>
      <c r="J469" s="3" t="inlineStr">
        <is>
          <t>crates/context/src/layout.rs</t>
        </is>
      </c>
      <c r="K469" s="3" t="inlineStr">
        <is>
          <t>Proximidade não é convertida automaticamente em apoio causal ou factual.</t>
        </is>
      </c>
      <c r="L469" s="3" t="inlineStr">
        <is>
          <t>SL-S43-05</t>
        </is>
      </c>
      <c r="M469" s="3" t="inlineStr">
        <is>
          <t>R02; R04; R11; R22; R32</t>
        </is>
      </c>
      <c r="N469" s="10" t="inlineStr">
        <is>
          <t>Não iniciado</t>
        </is>
      </c>
      <c r="O469" s="3" t="inlineStr">
        <is>
          <t>P1</t>
        </is>
      </c>
      <c r="P469" s="3" t="inlineStr">
        <is>
          <t>Alto</t>
        </is>
      </c>
      <c r="Q469" s="3" t="inlineStr">
        <is>
          <t>Obrigatória no escopo da versão</t>
        </is>
      </c>
      <c r="R469" s="10" t="inlineStr">
        <is>
          <t>Autor + agente de IA</t>
        </is>
      </c>
      <c r="S469" s="10" t="inlineStr"/>
      <c r="T469" s="11" t="inlineStr"/>
      <c r="U469" s="3" t="inlineStr">
        <is>
          <t>reports/S43/SL-S43-06.md</t>
        </is>
      </c>
      <c r="V469" s="10" t="inlineStr"/>
      <c r="W469" s="10" t="inlineStr"/>
      <c r="X469" s="3">
        <f>IF(N469="Concluído",IF(AND(S469&lt;&gt;"",ISNUMBER(T469),T469&gt;0,V469&lt;&gt;"",AND(OR(X468="OK",X468="DISPENSADO"))),"OK","REVISAR"),IF(N469="Dispensado (ADR)",IF(AND(LEFT(Q469,11)="Condicional",W469&lt;&gt;"",S469&lt;&gt;"",ISNUMBER(T469),T469&gt;0,V469&lt;&gt;""),"DISPENSADO","REVISAR"),"PENDENTE"))</f>
        <v/>
      </c>
      <c r="Y469" s="10" t="inlineStr"/>
    </row>
    <row r="470" ht="112" customHeight="1">
      <c r="A470" s="3" t="n">
        <v>469</v>
      </c>
      <c r="B470" s="3" t="inlineStr">
        <is>
          <t>SL-S43-07</t>
        </is>
      </c>
      <c r="C470" s="9" t="inlineStr">
        <is>
          <t>v0.8.0</t>
        </is>
      </c>
      <c r="D470" s="9" t="inlineStr">
        <is>
          <t>S43</t>
        </is>
      </c>
      <c r="E470" s="3" t="inlineStr">
        <is>
          <t>PageIndex / StructureAdapter</t>
        </is>
      </c>
      <c r="F470" s="3" t="inlineStr">
        <is>
          <t>Adaptação</t>
        </is>
      </c>
      <c r="G470" s="3" t="inlineStr">
        <is>
          <t>Implementação</t>
        </is>
      </c>
      <c r="H470" s="3" t="inlineStr">
        <is>
          <t>Mapear blocos/fontes</t>
        </is>
      </c>
      <c r="I470" s="3" t="inlineStr">
        <is>
          <t>Associar folhas a conteúdo e evidências com localizadores corretos.</t>
        </is>
      </c>
      <c r="J470" s="3" t="inlineStr">
        <is>
          <t>adapters/pageindex/source_mapping.py</t>
        </is>
      </c>
      <c r="K470" s="3" t="inlineStr">
        <is>
          <t>Leitura de folha resolve a revisão exata e não uma página fictícia.</t>
        </is>
      </c>
      <c r="L470" s="3" t="inlineStr">
        <is>
          <t>SL-S43-06</t>
        </is>
      </c>
      <c r="M470" s="3" t="inlineStr">
        <is>
          <t>R02; R04; R11; R22; R32</t>
        </is>
      </c>
      <c r="N470" s="10" t="inlineStr">
        <is>
          <t>Não iniciado</t>
        </is>
      </c>
      <c r="O470" s="3" t="inlineStr">
        <is>
          <t>P1</t>
        </is>
      </c>
      <c r="P470" s="3" t="inlineStr">
        <is>
          <t>Alto</t>
        </is>
      </c>
      <c r="Q470" s="3" t="inlineStr">
        <is>
          <t>Obrigatória no escopo da versão</t>
        </is>
      </c>
      <c r="R470" s="10" t="inlineStr">
        <is>
          <t>Autor + agente de IA</t>
        </is>
      </c>
      <c r="S470" s="10" t="inlineStr"/>
      <c r="T470" s="11" t="inlineStr"/>
      <c r="U470" s="3" t="inlineStr">
        <is>
          <t>reports/S43/SL-S43-07.md</t>
        </is>
      </c>
      <c r="V470" s="10" t="inlineStr"/>
      <c r="W470" s="10" t="inlineStr"/>
      <c r="X470" s="3">
        <f>IF(N470="Concluído",IF(AND(S470&lt;&gt;"",ISNUMBER(T470),T470&gt;0,V470&lt;&gt;"",AND(OR(X469="OK",X469="DISPENSADO"))),"OK","REVISAR"),IF(N470="Dispensado (ADR)",IF(AND(LEFT(Q470,11)="Condicional",W470&lt;&gt;"",S470&lt;&gt;"",ISNUMBER(T470),T470&gt;0,V470&lt;&gt;""),"DISPENSADO","REVISAR"),"PENDENTE"))</f>
        <v/>
      </c>
      <c r="Y470" s="10" t="inlineStr"/>
    </row>
    <row r="471" ht="112" customHeight="1">
      <c r="A471" s="3" t="n">
        <v>470</v>
      </c>
      <c r="B471" s="3" t="inlineStr">
        <is>
          <t>SL-S43-08</t>
        </is>
      </c>
      <c r="C471" s="9" t="inlineStr">
        <is>
          <t>v0.8.0</t>
        </is>
      </c>
      <c r="D471" s="9" t="inlineStr">
        <is>
          <t>S43</t>
        </is>
      </c>
      <c r="E471" s="3" t="inlineStr">
        <is>
          <t>PageIndex / StructureAdapter</t>
        </is>
      </c>
      <c r="F471" s="3" t="inlineStr">
        <is>
          <t>Adaptação</t>
        </is>
      </c>
      <c r="G471" s="3" t="inlineStr">
        <is>
          <t>Implementação</t>
        </is>
      </c>
      <c r="H471" s="3" t="inlineStr">
        <is>
          <t>Persistir cache derivado</t>
        </is>
      </c>
      <c r="I471" s="3" t="inlineStr">
        <is>
          <t>Versionar schema, pipeline e hashes sem duplicar autoridade canônica.</t>
        </is>
      </c>
      <c r="J471" s="3" t="inlineStr">
        <is>
          <t>crates/context/src/cache.rs</t>
        </is>
      </c>
      <c r="K471" s="3" t="inlineStr">
        <is>
          <t>Apagar árvore/summary cache permite reconstrução dos arquivos.</t>
        </is>
      </c>
      <c r="L471" s="3" t="inlineStr">
        <is>
          <t>SL-S43-07</t>
        </is>
      </c>
      <c r="M471" s="3" t="inlineStr">
        <is>
          <t>R02; R04; R11; R22; R32</t>
        </is>
      </c>
      <c r="N471" s="10" t="inlineStr">
        <is>
          <t>Não iniciado</t>
        </is>
      </c>
      <c r="O471" s="3" t="inlineStr">
        <is>
          <t>P1</t>
        </is>
      </c>
      <c r="P471" s="3" t="inlineStr">
        <is>
          <t>Alto</t>
        </is>
      </c>
      <c r="Q471" s="3" t="inlineStr">
        <is>
          <t>Obrigatória no escopo da versão</t>
        </is>
      </c>
      <c r="R471" s="10" t="inlineStr">
        <is>
          <t>Autor + agente de IA</t>
        </is>
      </c>
      <c r="S471" s="10" t="inlineStr"/>
      <c r="T471" s="11" t="inlineStr"/>
      <c r="U471" s="3" t="inlineStr">
        <is>
          <t>reports/S43/SL-S43-08.md</t>
        </is>
      </c>
      <c r="V471" s="10" t="inlineStr"/>
      <c r="W471" s="10" t="inlineStr"/>
      <c r="X471" s="3">
        <f>IF(N471="Concluído",IF(AND(S471&lt;&gt;"",ISNUMBER(T471),T471&gt;0,V471&lt;&gt;"",AND(OR(X470="OK",X470="DISPENSADO"))),"OK","REVISAR"),IF(N471="Dispensado (ADR)",IF(AND(LEFT(Q471,11)="Condicional",W471&lt;&gt;"",S471&lt;&gt;"",ISNUMBER(T471),T471&gt;0,V471&lt;&gt;""),"DISPENSADO","REVISAR"),"PENDENTE"))</f>
        <v/>
      </c>
      <c r="Y471" s="10" t="inlineStr"/>
    </row>
    <row r="472" ht="112" customHeight="1">
      <c r="A472" s="3" t="n">
        <v>471</v>
      </c>
      <c r="B472" s="3" t="inlineStr">
        <is>
          <t>SL-S43-09</t>
        </is>
      </c>
      <c r="C472" s="9" t="inlineStr">
        <is>
          <t>v0.8.0</t>
        </is>
      </c>
      <c r="D472" s="9" t="inlineStr">
        <is>
          <t>S43</t>
        </is>
      </c>
      <c r="E472" s="3" t="inlineStr">
        <is>
          <t>PageIndex / StructureAdapter</t>
        </is>
      </c>
      <c r="F472" s="3" t="inlineStr">
        <is>
          <t>Adaptação</t>
        </is>
      </c>
      <c r="G472" s="3" t="inlineStr">
        <is>
          <t>Teste</t>
        </is>
      </c>
      <c r="H472" s="3" t="inlineStr">
        <is>
          <t>Testar casos topológicos</t>
        </is>
      </c>
      <c r="I472" s="3" t="inlineStr">
        <is>
          <t>Cobrir ciclos, grupos sobrepostos admitidos, notas repetidas e órfãos.</t>
        </is>
      </c>
      <c r="J472" s="3" t="inlineStr">
        <is>
          <t>tests/context/structure/</t>
        </is>
      </c>
      <c r="K472" s="3" t="inlineStr">
        <is>
          <t>Dados não representáveis na árvore continuam recuperáveis pelas relações.</t>
        </is>
      </c>
      <c r="L472" s="3" t="inlineStr">
        <is>
          <t>SL-S43-08</t>
        </is>
      </c>
      <c r="M472" s="3" t="inlineStr">
        <is>
          <t>R02; R04; R11; R22; R32</t>
        </is>
      </c>
      <c r="N472" s="10" t="inlineStr">
        <is>
          <t>Não iniciado</t>
        </is>
      </c>
      <c r="O472" s="3" t="inlineStr">
        <is>
          <t>P1</t>
        </is>
      </c>
      <c r="P472" s="3" t="inlineStr">
        <is>
          <t>Alto</t>
        </is>
      </c>
      <c r="Q472" s="3" t="inlineStr">
        <is>
          <t>Obrigatória no escopo da versão</t>
        </is>
      </c>
      <c r="R472" s="10" t="inlineStr">
        <is>
          <t>Autor + agente de IA</t>
        </is>
      </c>
      <c r="S472" s="10" t="inlineStr"/>
      <c r="T472" s="11" t="inlineStr"/>
      <c r="U472" s="3" t="inlineStr">
        <is>
          <t>reports/S43/SL-S43-09.md</t>
        </is>
      </c>
      <c r="V472" s="10" t="inlineStr"/>
      <c r="W472" s="10" t="inlineStr"/>
      <c r="X472" s="3">
        <f>IF(N472="Concluído",IF(AND(S472&lt;&gt;"",ISNUMBER(T472),T472&gt;0,V472&lt;&gt;"",AND(OR(X471="OK",X471="DISPENSADO"))),"OK","REVISAR"),IF(N472="Dispensado (ADR)",IF(AND(LEFT(Q472,11)="Condicional",W472&lt;&gt;"",S472&lt;&gt;"",ISNUMBER(T472),T472&gt;0,V472&lt;&gt;""),"DISPENSADO","REVISAR"),"PENDENTE"))</f>
        <v/>
      </c>
      <c r="Y472" s="10" t="inlineStr"/>
    </row>
    <row r="473" ht="112" customHeight="1">
      <c r="A473" s="3" t="n">
        <v>472</v>
      </c>
      <c r="B473" s="3" t="inlineStr">
        <is>
          <t>SL-S43-10</t>
        </is>
      </c>
      <c r="C473" s="9" t="inlineStr">
        <is>
          <t>v0.8.0</t>
        </is>
      </c>
      <c r="D473" s="9" t="inlineStr">
        <is>
          <t>S43</t>
        </is>
      </c>
      <c r="E473" s="3" t="inlineStr">
        <is>
          <t>PageIndex / StructureAdapter</t>
        </is>
      </c>
      <c r="F473" s="3" t="inlineStr">
        <is>
          <t>Adaptação</t>
        </is>
      </c>
      <c r="G473" s="3" t="inlineStr">
        <is>
          <t>Teste</t>
        </is>
      </c>
      <c r="H473" s="3" t="inlineStr">
        <is>
          <t>Testar estabilidade incremental</t>
        </is>
      </c>
      <c r="I473" s="3" t="inlineStr">
        <is>
          <t>Reordenar/renomear/mover mantendo conjunto de evidências.</t>
        </is>
      </c>
      <c r="J473" s="3" t="inlineStr">
        <is>
          <t>reports/context/identity-stability.json</t>
        </is>
      </c>
      <c r="K473" s="3" t="inlineStr">
        <is>
          <t>Apenas revisões realmente afetadas mudam; nenhuma referência é redirecionada por índice posicional.</t>
        </is>
      </c>
      <c r="L473" s="3" t="inlineStr">
        <is>
          <t>SL-S43-09</t>
        </is>
      </c>
      <c r="M473" s="3" t="inlineStr">
        <is>
          <t>R02; R04; R11; R22; R32</t>
        </is>
      </c>
      <c r="N473" s="10" t="inlineStr">
        <is>
          <t>Não iniciado</t>
        </is>
      </c>
      <c r="O473" s="3" t="inlineStr">
        <is>
          <t>P1</t>
        </is>
      </c>
      <c r="P473" s="3" t="inlineStr">
        <is>
          <t>Alto</t>
        </is>
      </c>
      <c r="Q473" s="3" t="inlineStr">
        <is>
          <t>Obrigatória no escopo da versão</t>
        </is>
      </c>
      <c r="R473" s="10" t="inlineStr">
        <is>
          <t>Autor + agente de IA</t>
        </is>
      </c>
      <c r="S473" s="10" t="inlineStr"/>
      <c r="T473" s="11" t="inlineStr"/>
      <c r="U473" s="3" t="inlineStr">
        <is>
          <t>reports/S43/SL-S43-10.md</t>
        </is>
      </c>
      <c r="V473" s="10" t="inlineStr"/>
      <c r="W473" s="10" t="inlineStr"/>
      <c r="X473" s="3">
        <f>IF(N473="Concluído",IF(AND(S473&lt;&gt;"",ISNUMBER(T473),T473&gt;0,V473&lt;&gt;"",AND(OR(X472="OK",X472="DISPENSADO"))),"OK","REVISAR"),IF(N473="Dispensado (ADR)",IF(AND(LEFT(Q473,11)="Condicional",W473&lt;&gt;"",S473&lt;&gt;"",ISNUMBER(T473),T473&gt;0,V473&lt;&gt;""),"DISPENSADO","REVISAR"),"PENDENTE"))</f>
        <v/>
      </c>
      <c r="Y473" s="10" t="inlineStr"/>
    </row>
    <row r="474" ht="98" customHeight="1">
      <c r="A474" s="3" t="n">
        <v>473</v>
      </c>
      <c r="B474" s="12" t="inlineStr">
        <is>
          <t>SL-S43-GATE</t>
        </is>
      </c>
      <c r="C474" s="9" t="inlineStr">
        <is>
          <t>v0.8.0</t>
        </is>
      </c>
      <c r="D474" s="9" t="inlineStr">
        <is>
          <t>S43</t>
        </is>
      </c>
      <c r="E474" s="3" t="inlineStr">
        <is>
          <t>PageIndex / StructureAdapter</t>
        </is>
      </c>
      <c r="F474" s="3" t="inlineStr">
        <is>
          <t>Aceite humano</t>
        </is>
      </c>
      <c r="G474" s="12" t="inlineStr">
        <is>
          <t>Gate</t>
        </is>
      </c>
      <c r="H474" s="12" t="inlineStr">
        <is>
          <t>Aceitar S43 — Projetar a topologia em índice estrutural estável</t>
        </is>
      </c>
      <c r="I474" s="3" t="inlineStr">
        <is>
          <t>Revisar as dez tarefas, executar a demonstração do sprint, confrontar critérios e registrar decisão go/no-go.</t>
        </is>
      </c>
      <c r="J474" s="3" t="inlineStr">
        <is>
          <t>reports/S43/acceptance.md</t>
        </is>
      </c>
      <c r="K474" s="3" t="inlineStr">
        <is>
          <t>Renomear notas, mover cartões e reconstruir mantendo IDs e referências. Todas as dependências aceitas; evidências vinculadas a revisão/ambiente; nenhum blocker de integridade/segurança.</t>
        </is>
      </c>
      <c r="L474" s="3" t="inlineStr">
        <is>
          <t>SL-S43-01; SL-S43-02; SL-S43-03; SL-S43-04; SL-S43-05; SL-S43-06; SL-S43-07; SL-S43-08; SL-S43-09; SL-S43-10</t>
        </is>
      </c>
      <c r="M474" s="3" t="inlineStr">
        <is>
          <t>R02; R04; R11; R22; R32</t>
        </is>
      </c>
      <c r="N474" s="10" t="inlineStr">
        <is>
          <t>Não iniciado</t>
        </is>
      </c>
      <c r="O474" s="3" t="inlineStr">
        <is>
          <t>P0</t>
        </is>
      </c>
      <c r="P474" s="3" t="inlineStr">
        <is>
          <t>Alto</t>
        </is>
      </c>
      <c r="Q474" s="3" t="inlineStr">
        <is>
          <t>Obrigatória para fechar a versão aprovada</t>
        </is>
      </c>
      <c r="R474" s="10" t="inlineStr">
        <is>
          <t>Autor</t>
        </is>
      </c>
      <c r="S474" s="10" t="inlineStr"/>
      <c r="T474" s="11" t="inlineStr"/>
      <c r="U474" s="3" t="inlineStr">
        <is>
          <t>reports/S43/acceptance.md</t>
        </is>
      </c>
      <c r="V474" s="10" t="inlineStr"/>
      <c r="W474" s="10" t="inlineStr"/>
      <c r="X474" s="3">
        <f>IF(N474="Concluído",IF(AND(S474&lt;&gt;"",ISNUMBER(T474),T474&gt;0,V474&lt;&gt;"",AND(OR(X464="OK",X464="DISPENSADO"),OR(X465="OK",X465="DISPENSADO"),OR(X466="OK",X466="DISPENSADO"),OR(X467="OK",X467="DISPENSADO"),OR(X468="OK",X468="DISPENSADO"),OR(X469="OK",X469="DISPENSADO"),OR(X470="OK",X470="DISPENSADO"),OR(X471="OK",X471="DISPENSADO"),OR(X472="OK",X472="DISPENSADO"),OR(X473="OK",X473="DISPENSADO"))),"OK","REVISAR"),IF(N474="Dispensado (ADR)",IF(AND(LEFT(Q474,11)="Condicional",W474&lt;&gt;"",S474&lt;&gt;"",ISNUMBER(T474),T474&gt;0,V474&lt;&gt;""),"DISPENSADO","REVISAR"),"PENDENTE"))</f>
        <v/>
      </c>
      <c r="Y474" s="10" t="inlineStr"/>
    </row>
    <row r="475" ht="112" customHeight="1">
      <c r="A475" s="3" t="n">
        <v>474</v>
      </c>
      <c r="B475" s="3" t="inlineStr">
        <is>
          <t>SL-S44-01</t>
        </is>
      </c>
      <c r="C475" s="9" t="inlineStr">
        <is>
          <t>v0.8.0</t>
        </is>
      </c>
      <c r="D475" s="9" t="inlineStr">
        <is>
          <t>S44</t>
        </is>
      </c>
      <c r="E475" s="3" t="inlineStr">
        <is>
          <t>ToolBroker / PageIndex</t>
        </is>
      </c>
      <c r="F475" s="3" t="inlineStr">
        <is>
          <t>Adaptação</t>
        </is>
      </c>
      <c r="G475" s="3" t="inlineStr">
        <is>
          <t>Contrato</t>
        </is>
      </c>
      <c r="H475" s="3" t="inlineStr">
        <is>
          <t>Definir catálogo de ferramentas</t>
        </is>
      </c>
      <c r="I475" s="3" t="inlineStr">
        <is>
          <t>Especificar args, resultados, leitura, limites e erros de cada operação.</t>
        </is>
      </c>
      <c r="J475" s="3" t="inlineStr">
        <is>
          <t>schemas/context-tools-v0.json</t>
        </is>
      </c>
      <c r="K475" s="3" t="inlineStr">
        <is>
          <t>Nenhuma ferramenta aceita path arbitrário como substituto de EvidenceRef.</t>
        </is>
      </c>
      <c r="L475" s="3" t="inlineStr">
        <is>
          <t>SL-S09-GATE; SL-S26-GATE; SL-S43-GATE</t>
        </is>
      </c>
      <c r="M475" s="3" t="inlineStr">
        <is>
          <t>R06; R08; R22; R23</t>
        </is>
      </c>
      <c r="N475" s="10" t="inlineStr">
        <is>
          <t>Não iniciado</t>
        </is>
      </c>
      <c r="O475" s="3" t="inlineStr">
        <is>
          <t>P0</t>
        </is>
      </c>
      <c r="P475" s="3" t="inlineStr">
        <is>
          <t>Crítico</t>
        </is>
      </c>
      <c r="Q475" s="3" t="inlineStr">
        <is>
          <t>Obrigatória no escopo da versão</t>
        </is>
      </c>
      <c r="R475" s="10" t="inlineStr">
        <is>
          <t>Autor + agente de IA</t>
        </is>
      </c>
      <c r="S475" s="10" t="inlineStr"/>
      <c r="T475" s="11" t="inlineStr"/>
      <c r="U475" s="3" t="inlineStr">
        <is>
          <t>reports/S44/SL-S44-01.md</t>
        </is>
      </c>
      <c r="V475" s="10" t="inlineStr"/>
      <c r="W475" s="10" t="inlineStr"/>
      <c r="X475" s="3">
        <f>IF(N475="Concluído",IF(AND(S475&lt;&gt;"",ISNUMBER(T475),T475&gt;0,V475&lt;&gt;"",AND(OR(X100="OK",X100="DISPENSADO"),OR(X287="OK",X287="DISPENSADO"),OR(X474="OK",X474="DISPENSADO"))),"OK","REVISAR"),IF(N475="Dispensado (ADR)",IF(AND(LEFT(Q475,11)="Condicional",W475&lt;&gt;"",S475&lt;&gt;"",ISNUMBER(T475),T475&gt;0,V475&lt;&gt;""),"DISPENSADO","REVISAR"),"PENDENTE"))</f>
        <v/>
      </c>
      <c r="Y475" s="10" t="inlineStr"/>
    </row>
    <row r="476" ht="112" customHeight="1">
      <c r="A476" s="3" t="n">
        <v>475</v>
      </c>
      <c r="B476" s="3" t="inlineStr">
        <is>
          <t>SL-S44-02</t>
        </is>
      </c>
      <c r="C476" s="9" t="inlineStr">
        <is>
          <t>v0.8.0</t>
        </is>
      </c>
      <c r="D476" s="9" t="inlineStr">
        <is>
          <t>S44</t>
        </is>
      </c>
      <c r="E476" s="3" t="inlineStr">
        <is>
          <t>ToolBroker / PageIndex</t>
        </is>
      </c>
      <c r="F476" s="3" t="inlineStr">
        <is>
          <t>Adaptação</t>
        </is>
      </c>
      <c r="G476" s="3" t="inlineStr">
        <is>
          <t>Implementação</t>
        </is>
      </c>
      <c r="H476" s="3" t="inlineStr">
        <is>
          <t>Implementar overview limitado</t>
        </is>
      </c>
      <c r="I476" s="3" t="inlineStr">
        <is>
          <t>Retornar mapa global resumido por orçamento e snapshot.</t>
        </is>
      </c>
      <c r="J476" s="3" t="inlineStr">
        <is>
          <t>crates/context-tools/src/overview.rs</t>
        </is>
      </c>
      <c r="K476" s="3" t="inlineStr">
        <is>
          <t>Board grande não injeta automaticamente todas as células no prompt.</t>
        </is>
      </c>
      <c r="L476" s="3" t="inlineStr">
        <is>
          <t>SL-S44-01</t>
        </is>
      </c>
      <c r="M476" s="3" t="inlineStr">
        <is>
          <t>R06; R08; R22; R23</t>
        </is>
      </c>
      <c r="N476" s="10" t="inlineStr">
        <is>
          <t>Não iniciado</t>
        </is>
      </c>
      <c r="O476" s="3" t="inlineStr">
        <is>
          <t>P0</t>
        </is>
      </c>
      <c r="P476" s="3" t="inlineStr">
        <is>
          <t>Crítico</t>
        </is>
      </c>
      <c r="Q476" s="3" t="inlineStr">
        <is>
          <t>Obrigatória no escopo da versão</t>
        </is>
      </c>
      <c r="R476" s="10" t="inlineStr">
        <is>
          <t>Autor + agente de IA</t>
        </is>
      </c>
      <c r="S476" s="10" t="inlineStr"/>
      <c r="T476" s="11" t="inlineStr"/>
      <c r="U476" s="3" t="inlineStr">
        <is>
          <t>reports/S44/SL-S44-02.md</t>
        </is>
      </c>
      <c r="V476" s="10" t="inlineStr"/>
      <c r="W476" s="10" t="inlineStr"/>
      <c r="X476" s="3">
        <f>IF(N476="Concluído",IF(AND(S476&lt;&gt;"",ISNUMBER(T476),T476&gt;0,V476&lt;&gt;"",AND(OR(X475="OK",X475="DISPENSADO"))),"OK","REVISAR"),IF(N476="Dispensado (ADR)",IF(AND(LEFT(Q476,11)="Condicional",W476&lt;&gt;"",S476&lt;&gt;"",ISNUMBER(T476),T476&gt;0,V476&lt;&gt;""),"DISPENSADO","REVISAR"),"PENDENTE"))</f>
        <v/>
      </c>
      <c r="Y476" s="10" t="inlineStr"/>
    </row>
    <row r="477" ht="112" customHeight="1">
      <c r="A477" s="3" t="n">
        <v>476</v>
      </c>
      <c r="B477" s="3" t="inlineStr">
        <is>
          <t>SL-S44-03</t>
        </is>
      </c>
      <c r="C477" s="9" t="inlineStr">
        <is>
          <t>v0.8.0</t>
        </is>
      </c>
      <c r="D477" s="9" t="inlineStr">
        <is>
          <t>S44</t>
        </is>
      </c>
      <c r="E477" s="3" t="inlineStr">
        <is>
          <t>ToolBroker / PageIndex</t>
        </is>
      </c>
      <c r="F477" s="3" t="inlineStr">
        <is>
          <t>Adaptação</t>
        </is>
      </c>
      <c r="G477" s="3" t="inlineStr">
        <is>
          <t>Implementação</t>
        </is>
      </c>
      <c r="H477" s="3" t="inlineStr">
        <is>
          <t>Implementar leitura de grupo</t>
        </is>
      </c>
      <c r="I477" s="3" t="inlineStr">
        <is>
          <t>Paginar membros/relações e manter revisão coerente.</t>
        </is>
      </c>
      <c r="J477" s="3" t="inlineStr">
        <is>
          <t>crates/context-tools/src/group.rs</t>
        </is>
      </c>
      <c r="K477" s="3" t="inlineStr">
        <is>
          <t>Limites são impostos em código, não dependem de modelo obedecer instrução.</t>
        </is>
      </c>
      <c r="L477" s="3" t="inlineStr">
        <is>
          <t>SL-S44-02</t>
        </is>
      </c>
      <c r="M477" s="3" t="inlineStr">
        <is>
          <t>R06; R08; R22; R23</t>
        </is>
      </c>
      <c r="N477" s="10" t="inlineStr">
        <is>
          <t>Não iniciado</t>
        </is>
      </c>
      <c r="O477" s="3" t="inlineStr">
        <is>
          <t>P0</t>
        </is>
      </c>
      <c r="P477" s="3" t="inlineStr">
        <is>
          <t>Crítico</t>
        </is>
      </c>
      <c r="Q477" s="3" t="inlineStr">
        <is>
          <t>Obrigatória no escopo da versão</t>
        </is>
      </c>
      <c r="R477" s="10" t="inlineStr">
        <is>
          <t>Autor + agente de IA</t>
        </is>
      </c>
      <c r="S477" s="10" t="inlineStr"/>
      <c r="T477" s="11" t="inlineStr"/>
      <c r="U477" s="3" t="inlineStr">
        <is>
          <t>reports/S44/SL-S44-03.md</t>
        </is>
      </c>
      <c r="V477" s="10" t="inlineStr"/>
      <c r="W477" s="10" t="inlineStr"/>
      <c r="X477" s="3">
        <f>IF(N477="Concluído",IF(AND(S477&lt;&gt;"",ISNUMBER(T477),T477&gt;0,V477&lt;&gt;"",AND(OR(X476="OK",X476="DISPENSADO"))),"OK","REVISAR"),IF(N477="Dispensado (ADR)",IF(AND(LEFT(Q477,11)="Condicional",W477&lt;&gt;"",S477&lt;&gt;"",ISNUMBER(T477),T477&gt;0,V477&lt;&gt;""),"DISPENSADO","REVISAR"),"PENDENTE"))</f>
        <v/>
      </c>
      <c r="Y477" s="10" t="inlineStr"/>
    </row>
    <row r="478" ht="112" customHeight="1">
      <c r="A478" s="3" t="n">
        <v>477</v>
      </c>
      <c r="B478" s="3" t="inlineStr">
        <is>
          <t>SL-S44-04</t>
        </is>
      </c>
      <c r="C478" s="9" t="inlineStr">
        <is>
          <t>v0.8.0</t>
        </is>
      </c>
      <c r="D478" s="9" t="inlineStr">
        <is>
          <t>S44</t>
        </is>
      </c>
      <c r="E478" s="3" t="inlineStr">
        <is>
          <t>ToolBroker / PageIndex</t>
        </is>
      </c>
      <c r="F478" s="3" t="inlineStr">
        <is>
          <t>Adaptação</t>
        </is>
      </c>
      <c r="G478" s="3" t="inlineStr">
        <is>
          <t>Implementação</t>
        </is>
      </c>
      <c r="H478" s="3" t="inlineStr">
        <is>
          <t>Implementar leitura de célula</t>
        </is>
      </c>
      <c r="I478" s="3" t="inlineStr">
        <is>
          <t>Permitir ranges/blocos e devolução de referência de origem.</t>
        </is>
      </c>
      <c r="J478" s="3" t="inlineStr">
        <is>
          <t>crates/context-tools/src/cell.rs</t>
        </is>
      </c>
      <c r="K478" s="3" t="inlineStr">
        <is>
          <t>Leitura recusa célula de outro workspace não autorizada.</t>
        </is>
      </c>
      <c r="L478" s="3" t="inlineStr">
        <is>
          <t>SL-S44-03</t>
        </is>
      </c>
      <c r="M478" s="3" t="inlineStr">
        <is>
          <t>R06; R08; R22; R23</t>
        </is>
      </c>
      <c r="N478" s="10" t="inlineStr">
        <is>
          <t>Não iniciado</t>
        </is>
      </c>
      <c r="O478" s="3" t="inlineStr">
        <is>
          <t>P0</t>
        </is>
      </c>
      <c r="P478" s="3" t="inlineStr">
        <is>
          <t>Crítico</t>
        </is>
      </c>
      <c r="Q478" s="3" t="inlineStr">
        <is>
          <t>Obrigatória no escopo da versão</t>
        </is>
      </c>
      <c r="R478" s="10" t="inlineStr">
        <is>
          <t>Autor + agente de IA</t>
        </is>
      </c>
      <c r="S478" s="10" t="inlineStr"/>
      <c r="T478" s="11" t="inlineStr"/>
      <c r="U478" s="3" t="inlineStr">
        <is>
          <t>reports/S44/SL-S44-04.md</t>
        </is>
      </c>
      <c r="V478" s="10" t="inlineStr"/>
      <c r="W478" s="10" t="inlineStr"/>
      <c r="X478" s="3">
        <f>IF(N478="Concluído",IF(AND(S478&lt;&gt;"",ISNUMBER(T478),T478&gt;0,V478&lt;&gt;"",AND(OR(X477="OK",X477="DISPENSADO"))),"OK","REVISAR"),IF(N478="Dispensado (ADR)",IF(AND(LEFT(Q478,11)="Condicional",W478&lt;&gt;"",S478&lt;&gt;"",ISNUMBER(T478),T478&gt;0,V478&lt;&gt;""),"DISPENSADO","REVISAR"),"PENDENTE"))</f>
        <v/>
      </c>
      <c r="Y478" s="10" t="inlineStr"/>
    </row>
    <row r="479" ht="112" customHeight="1">
      <c r="A479" s="3" t="n">
        <v>478</v>
      </c>
      <c r="B479" s="3" t="inlineStr">
        <is>
          <t>SL-S44-05</t>
        </is>
      </c>
      <c r="C479" s="9" t="inlineStr">
        <is>
          <t>v0.8.0</t>
        </is>
      </c>
      <c r="D479" s="9" t="inlineStr">
        <is>
          <t>S44</t>
        </is>
      </c>
      <c r="E479" s="3" t="inlineStr">
        <is>
          <t>ToolBroker / PageIndex</t>
        </is>
      </c>
      <c r="F479" s="3" t="inlineStr">
        <is>
          <t>Adaptação</t>
        </is>
      </c>
      <c r="G479" s="3" t="inlineStr">
        <is>
          <t>Implementação</t>
        </is>
      </c>
      <c r="H479" s="3" t="inlineStr">
        <is>
          <t>Implementar vizinhos/arestas</t>
        </is>
      </c>
      <c r="I479" s="3" t="inlineStr">
        <is>
          <t>Filtrar relação, direção e profundidade; controlar ciclos.</t>
        </is>
      </c>
      <c r="J479" s="3" t="inlineStr">
        <is>
          <t>crates/context-tools/src/neighbors.rs</t>
        </is>
      </c>
      <c r="K479" s="3" t="inlineStr">
        <is>
          <t>Traversal termina no limite e não perde tipo apoia/contradiz.</t>
        </is>
      </c>
      <c r="L479" s="3" t="inlineStr">
        <is>
          <t>SL-S44-04</t>
        </is>
      </c>
      <c r="M479" s="3" t="inlineStr">
        <is>
          <t>R06; R08; R22; R23</t>
        </is>
      </c>
      <c r="N479" s="10" t="inlineStr">
        <is>
          <t>Não iniciado</t>
        </is>
      </c>
      <c r="O479" s="3" t="inlineStr">
        <is>
          <t>P0</t>
        </is>
      </c>
      <c r="P479" s="3" t="inlineStr">
        <is>
          <t>Crítico</t>
        </is>
      </c>
      <c r="Q479" s="3" t="inlineStr">
        <is>
          <t>Obrigatória no escopo da versão</t>
        </is>
      </c>
      <c r="R479" s="10" t="inlineStr">
        <is>
          <t>Autor + agente de IA</t>
        </is>
      </c>
      <c r="S479" s="10" t="inlineStr"/>
      <c r="T479" s="11" t="inlineStr"/>
      <c r="U479" s="3" t="inlineStr">
        <is>
          <t>reports/S44/SL-S44-05.md</t>
        </is>
      </c>
      <c r="V479" s="10" t="inlineStr"/>
      <c r="W479" s="10" t="inlineStr"/>
      <c r="X479" s="3">
        <f>IF(N479="Concluído",IF(AND(S479&lt;&gt;"",ISNUMBER(T479),T479&gt;0,V479&lt;&gt;"",AND(OR(X478="OK",X478="DISPENSADO"))),"OK","REVISAR"),IF(N479="Dispensado (ADR)",IF(AND(LEFT(Q479,11)="Condicional",W479&lt;&gt;"",S479&lt;&gt;"",ISNUMBER(T479),T479&gt;0,V479&lt;&gt;""),"DISPENSADO","REVISAR"),"PENDENTE"))</f>
        <v/>
      </c>
      <c r="Y479" s="10" t="inlineStr"/>
    </row>
    <row r="480" ht="112" customHeight="1">
      <c r="A480" s="3" t="n">
        <v>479</v>
      </c>
      <c r="B480" s="3" t="inlineStr">
        <is>
          <t>SL-S44-06</t>
        </is>
      </c>
      <c r="C480" s="9" t="inlineStr">
        <is>
          <t>v0.8.0</t>
        </is>
      </c>
      <c r="D480" s="9" t="inlineStr">
        <is>
          <t>S44</t>
        </is>
      </c>
      <c r="E480" s="3" t="inlineStr">
        <is>
          <t>ToolBroker / PageIndex</t>
        </is>
      </c>
      <c r="F480" s="3" t="inlineStr">
        <is>
          <t>Adaptação</t>
        </is>
      </c>
      <c r="G480" s="3" t="inlineStr">
        <is>
          <t>Implementação</t>
        </is>
      </c>
      <c r="H480" s="3" t="inlineStr">
        <is>
          <t>Implementar leitura de fonte</t>
        </is>
      </c>
      <c r="I480" s="3" t="inlineStr">
        <is>
          <t>Resolver asset/revisão/trecho autorizado por broker.</t>
        </is>
      </c>
      <c r="J480" s="3" t="inlineStr">
        <is>
          <t>crates/context-tools/src/source.rs</t>
        </is>
      </c>
      <c r="K480" s="3" t="inlineStr">
        <is>
          <t>Modelo não transforma URL/filename em permissão de filesystem.</t>
        </is>
      </c>
      <c r="L480" s="3" t="inlineStr">
        <is>
          <t>SL-S44-05</t>
        </is>
      </c>
      <c r="M480" s="3" t="inlineStr">
        <is>
          <t>R06; R08; R22; R23</t>
        </is>
      </c>
      <c r="N480" s="10" t="inlineStr">
        <is>
          <t>Não iniciado</t>
        </is>
      </c>
      <c r="O480" s="3" t="inlineStr">
        <is>
          <t>P0</t>
        </is>
      </c>
      <c r="P480" s="3" t="inlineStr">
        <is>
          <t>Crítico</t>
        </is>
      </c>
      <c r="Q480" s="3" t="inlineStr">
        <is>
          <t>Obrigatória no escopo da versão</t>
        </is>
      </c>
      <c r="R480" s="10" t="inlineStr">
        <is>
          <t>Autor + agente de IA</t>
        </is>
      </c>
      <c r="S480" s="10" t="inlineStr"/>
      <c r="T480" s="11" t="inlineStr"/>
      <c r="U480" s="3" t="inlineStr">
        <is>
          <t>reports/S44/SL-S44-06.md</t>
        </is>
      </c>
      <c r="V480" s="10" t="inlineStr"/>
      <c r="W480" s="10" t="inlineStr"/>
      <c r="X480" s="3">
        <f>IF(N480="Concluído",IF(AND(S480&lt;&gt;"",ISNUMBER(T480),T480&gt;0,V480&lt;&gt;"",AND(OR(X479="OK",X479="DISPENSADO"))),"OK","REVISAR"),IF(N480="Dispensado (ADR)",IF(AND(LEFT(Q480,11)="Condicional",W480&lt;&gt;"",S480&lt;&gt;"",ISNUMBER(T480),T480&gt;0,V480&lt;&gt;""),"DISPENSADO","REVISAR"),"PENDENTE"))</f>
        <v/>
      </c>
      <c r="Y480" s="10" t="inlineStr"/>
    </row>
    <row r="481" ht="112" customHeight="1">
      <c r="A481" s="3" t="n">
        <v>480</v>
      </c>
      <c r="B481" s="3" t="inlineStr">
        <is>
          <t>SL-S44-07</t>
        </is>
      </c>
      <c r="C481" s="9" t="inlineStr">
        <is>
          <t>v0.8.0</t>
        </is>
      </c>
      <c r="D481" s="9" t="inlineStr">
        <is>
          <t>S44</t>
        </is>
      </c>
      <c r="E481" s="3" t="inlineStr">
        <is>
          <t>ToolBroker / PageIndex</t>
        </is>
      </c>
      <c r="F481" s="3" t="inlineStr">
        <is>
          <t>Adaptação</t>
        </is>
      </c>
      <c r="G481" s="3" t="inlineStr">
        <is>
          <t>Implementação</t>
        </is>
      </c>
      <c r="H481" s="3" t="inlineStr">
        <is>
          <t>Validar capability por chamada</t>
        </is>
      </c>
      <c r="I481" s="3" t="inlineStr">
        <is>
          <t>Checar expiração, revisão e budget acumulado antes de executar.</t>
        </is>
      </c>
      <c r="J481" s="3" t="inlineStr">
        <is>
          <t>crates/context-tools/src/authorize.rs</t>
        </is>
      </c>
      <c r="K481" s="3" t="inlineStr">
        <is>
          <t>Reutilizar ferramenta com token de outra tarefa é negado.</t>
        </is>
      </c>
      <c r="L481" s="3" t="inlineStr">
        <is>
          <t>SL-S44-06</t>
        </is>
      </c>
      <c r="M481" s="3" t="inlineStr">
        <is>
          <t>R06; R08; R22; R23</t>
        </is>
      </c>
      <c r="N481" s="10" t="inlineStr">
        <is>
          <t>Não iniciado</t>
        </is>
      </c>
      <c r="O481" s="3" t="inlineStr">
        <is>
          <t>P0</t>
        </is>
      </c>
      <c r="P481" s="3" t="inlineStr">
        <is>
          <t>Crítico</t>
        </is>
      </c>
      <c r="Q481" s="3" t="inlineStr">
        <is>
          <t>Obrigatória no escopo da versão</t>
        </is>
      </c>
      <c r="R481" s="10" t="inlineStr">
        <is>
          <t>Autor + agente de IA</t>
        </is>
      </c>
      <c r="S481" s="10" t="inlineStr"/>
      <c r="T481" s="11" t="inlineStr"/>
      <c r="U481" s="3" t="inlineStr">
        <is>
          <t>reports/S44/SL-S44-07.md</t>
        </is>
      </c>
      <c r="V481" s="10" t="inlineStr"/>
      <c r="W481" s="10" t="inlineStr"/>
      <c r="X481" s="3">
        <f>IF(N481="Concluído",IF(AND(S481&lt;&gt;"",ISNUMBER(T481),T481&gt;0,V481&lt;&gt;"",AND(OR(X480="OK",X480="DISPENSADO"))),"OK","REVISAR"),IF(N481="Dispensado (ADR)",IF(AND(LEFT(Q481,11)="Condicional",W481&lt;&gt;"",S481&lt;&gt;"",ISNUMBER(T481),T481&gt;0,V481&lt;&gt;""),"DISPENSADO","REVISAR"),"PENDENTE"))</f>
        <v/>
      </c>
      <c r="Y481" s="10" t="inlineStr"/>
    </row>
    <row r="482" ht="112" customHeight="1">
      <c r="A482" s="3" t="n">
        <v>481</v>
      </c>
      <c r="B482" s="3" t="inlineStr">
        <is>
          <t>SL-S44-08</t>
        </is>
      </c>
      <c r="C482" s="9" t="inlineStr">
        <is>
          <t>v0.8.0</t>
        </is>
      </c>
      <c r="D482" s="9" t="inlineStr">
        <is>
          <t>S44</t>
        </is>
      </c>
      <c r="E482" s="3" t="inlineStr">
        <is>
          <t>ToolBroker / PageIndex</t>
        </is>
      </c>
      <c r="F482" s="3" t="inlineStr">
        <is>
          <t>Adaptação</t>
        </is>
      </c>
      <c r="G482" s="3" t="inlineStr">
        <is>
          <t>Implementação</t>
        </is>
      </c>
      <c r="H482" s="3" t="inlineStr">
        <is>
          <t>Limitar resultados e logs</t>
        </is>
      </c>
      <c r="I482" s="3" t="inlineStr">
        <is>
          <t>Cortar por contrato com paginação explícita sem vazar corpo em logs.</t>
        </is>
      </c>
      <c r="J482" s="3" t="inlineStr">
        <is>
          <t>crates/context-tools/src/limits.rs</t>
        </is>
      </c>
      <c r="K482" s="3" t="inlineStr">
        <is>
          <t>Truncamento é sinalizado e não se confunde com evidência completa.</t>
        </is>
      </c>
      <c r="L482" s="3" t="inlineStr">
        <is>
          <t>SL-S44-07</t>
        </is>
      </c>
      <c r="M482" s="3" t="inlineStr">
        <is>
          <t>R06; R08; R22; R23</t>
        </is>
      </c>
      <c r="N482" s="10" t="inlineStr">
        <is>
          <t>Não iniciado</t>
        </is>
      </c>
      <c r="O482" s="3" t="inlineStr">
        <is>
          <t>P0</t>
        </is>
      </c>
      <c r="P482" s="3" t="inlineStr">
        <is>
          <t>Crítico</t>
        </is>
      </c>
      <c r="Q482" s="3" t="inlineStr">
        <is>
          <t>Obrigatória no escopo da versão</t>
        </is>
      </c>
      <c r="R482" s="10" t="inlineStr">
        <is>
          <t>Autor + agente de IA</t>
        </is>
      </c>
      <c r="S482" s="10" t="inlineStr"/>
      <c r="T482" s="11" t="inlineStr"/>
      <c r="U482" s="3" t="inlineStr">
        <is>
          <t>reports/S44/SL-S44-08.md</t>
        </is>
      </c>
      <c r="V482" s="10" t="inlineStr"/>
      <c r="W482" s="10" t="inlineStr"/>
      <c r="X482" s="3">
        <f>IF(N482="Concluído",IF(AND(S482&lt;&gt;"",ISNUMBER(T482),T482&gt;0,V482&lt;&gt;"",AND(OR(X481="OK",X481="DISPENSADO"))),"OK","REVISAR"),IF(N482="Dispensado (ADR)",IF(AND(LEFT(Q482,11)="Condicional",W482&lt;&gt;"",S482&lt;&gt;"",ISNUMBER(T482),T482&gt;0,V482&lt;&gt;""),"DISPENSADO","REVISAR"),"PENDENTE"))</f>
        <v/>
      </c>
      <c r="Y482" s="10" t="inlineStr"/>
    </row>
    <row r="483" ht="112" customHeight="1">
      <c r="A483" s="3" t="n">
        <v>482</v>
      </c>
      <c r="B483" s="3" t="inlineStr">
        <is>
          <t>SL-S44-09</t>
        </is>
      </c>
      <c r="C483" s="9" t="inlineStr">
        <is>
          <t>v0.8.0</t>
        </is>
      </c>
      <c r="D483" s="9" t="inlineStr">
        <is>
          <t>S44</t>
        </is>
      </c>
      <c r="E483" s="3" t="inlineStr">
        <is>
          <t>ToolBroker / PageIndex</t>
        </is>
      </c>
      <c r="F483" s="3" t="inlineStr">
        <is>
          <t>Adaptação</t>
        </is>
      </c>
      <c r="G483" s="3" t="inlineStr">
        <is>
          <t>Teste</t>
        </is>
      </c>
      <c r="H483" s="3" t="inlineStr">
        <is>
          <t>Testar injeção de prompt</t>
        </is>
      </c>
      <c r="I483" s="3" t="inlineStr">
        <is>
          <t>Colocar instruções maliciosas em células, PDFs e resultados de ferramentas.</t>
        </is>
      </c>
      <c r="J483" s="3" t="inlineStr">
        <is>
          <t>tests/context/tool-injection/</t>
        </is>
      </c>
      <c r="K483" s="3" t="inlineStr">
        <is>
          <t>Conteúdo não concede novas ferramentas, credenciais ou acesso a outro projeto.</t>
        </is>
      </c>
      <c r="L483" s="3" t="inlineStr">
        <is>
          <t>SL-S44-08</t>
        </is>
      </c>
      <c r="M483" s="3" t="inlineStr">
        <is>
          <t>R06; R08; R22; R23</t>
        </is>
      </c>
      <c r="N483" s="10" t="inlineStr">
        <is>
          <t>Não iniciado</t>
        </is>
      </c>
      <c r="O483" s="3" t="inlineStr">
        <is>
          <t>P0</t>
        </is>
      </c>
      <c r="P483" s="3" t="inlineStr">
        <is>
          <t>Crítico</t>
        </is>
      </c>
      <c r="Q483" s="3" t="inlineStr">
        <is>
          <t>Obrigatória no escopo da versão</t>
        </is>
      </c>
      <c r="R483" s="10" t="inlineStr">
        <is>
          <t>Autor + agente de IA</t>
        </is>
      </c>
      <c r="S483" s="10" t="inlineStr"/>
      <c r="T483" s="11" t="inlineStr"/>
      <c r="U483" s="3" t="inlineStr">
        <is>
          <t>reports/S44/SL-S44-09.md</t>
        </is>
      </c>
      <c r="V483" s="10" t="inlineStr"/>
      <c r="W483" s="10" t="inlineStr"/>
      <c r="X483" s="3">
        <f>IF(N483="Concluído",IF(AND(S483&lt;&gt;"",ISNUMBER(T483),T483&gt;0,V483&lt;&gt;"",AND(OR(X482="OK",X482="DISPENSADO"))),"OK","REVISAR"),IF(N483="Dispensado (ADR)",IF(AND(LEFT(Q483,11)="Condicional",W483&lt;&gt;"",S483&lt;&gt;"",ISNUMBER(T483),T483&gt;0,V483&lt;&gt;""),"DISPENSADO","REVISAR"),"PENDENTE"))</f>
        <v/>
      </c>
      <c r="Y483" s="10" t="inlineStr"/>
    </row>
    <row r="484" ht="112" customHeight="1">
      <c r="A484" s="3" t="n">
        <v>483</v>
      </c>
      <c r="B484" s="3" t="inlineStr">
        <is>
          <t>SL-S44-10</t>
        </is>
      </c>
      <c r="C484" s="9" t="inlineStr">
        <is>
          <t>v0.8.0</t>
        </is>
      </c>
      <c r="D484" s="9" t="inlineStr">
        <is>
          <t>S44</t>
        </is>
      </c>
      <c r="E484" s="3" t="inlineStr">
        <is>
          <t>ToolBroker / PageIndex</t>
        </is>
      </c>
      <c r="F484" s="3" t="inlineStr">
        <is>
          <t>Adaptação</t>
        </is>
      </c>
      <c r="G484" s="3" t="inlineStr">
        <is>
          <t>Teste</t>
        </is>
      </c>
      <c r="H484" s="3" t="inlineStr">
        <is>
          <t>Auditar ferramentas de gestão</t>
        </is>
      </c>
      <c r="I484" s="3" t="inlineStr">
        <is>
          <t>Garantir ausência de remove/upload/shell e outros comandos não aprovados no agente.</t>
        </is>
      </c>
      <c r="J484" s="3" t="inlineStr">
        <is>
          <t>reports/context/tool-surface.md</t>
        </is>
      </c>
      <c r="K484" s="3" t="inlineStr">
        <is>
          <t>Só o catálogo read-only aprovado é exposto nesta fase.</t>
        </is>
      </c>
      <c r="L484" s="3" t="inlineStr">
        <is>
          <t>SL-S44-09</t>
        </is>
      </c>
      <c r="M484" s="3" t="inlineStr">
        <is>
          <t>R06; R08; R22; R23</t>
        </is>
      </c>
      <c r="N484" s="10" t="inlineStr">
        <is>
          <t>Não iniciado</t>
        </is>
      </c>
      <c r="O484" s="3" t="inlineStr">
        <is>
          <t>P0</t>
        </is>
      </c>
      <c r="P484" s="3" t="inlineStr">
        <is>
          <t>Crítico</t>
        </is>
      </c>
      <c r="Q484" s="3" t="inlineStr">
        <is>
          <t>Obrigatória no escopo da versão</t>
        </is>
      </c>
      <c r="R484" s="10" t="inlineStr">
        <is>
          <t>Autor + agente de IA</t>
        </is>
      </c>
      <c r="S484" s="10" t="inlineStr"/>
      <c r="T484" s="11" t="inlineStr"/>
      <c r="U484" s="3" t="inlineStr">
        <is>
          <t>reports/S44/SL-S44-10.md</t>
        </is>
      </c>
      <c r="V484" s="10" t="inlineStr"/>
      <c r="W484" s="10" t="inlineStr"/>
      <c r="X484" s="3">
        <f>IF(N484="Concluído",IF(AND(S484&lt;&gt;"",ISNUMBER(T484),T484&gt;0,V484&lt;&gt;"",AND(OR(X483="OK",X483="DISPENSADO"))),"OK","REVISAR"),IF(N484="Dispensado (ADR)",IF(AND(LEFT(Q484,11)="Condicional",W484&lt;&gt;"",S484&lt;&gt;"",ISNUMBER(T484),T484&gt;0,V484&lt;&gt;""),"DISPENSADO","REVISAR"),"PENDENTE"))</f>
        <v/>
      </c>
      <c r="Y484" s="10" t="inlineStr"/>
    </row>
    <row r="485" ht="98" customHeight="1">
      <c r="A485" s="3" t="n">
        <v>484</v>
      </c>
      <c r="B485" s="12" t="inlineStr">
        <is>
          <t>SL-S44-GATE</t>
        </is>
      </c>
      <c r="C485" s="9" t="inlineStr">
        <is>
          <t>v0.8.0</t>
        </is>
      </c>
      <c r="D485" s="9" t="inlineStr">
        <is>
          <t>S44</t>
        </is>
      </c>
      <c r="E485" s="3" t="inlineStr">
        <is>
          <t>ToolBroker / PageIndex</t>
        </is>
      </c>
      <c r="F485" s="3" t="inlineStr">
        <is>
          <t>Aceite humano</t>
        </is>
      </c>
      <c r="G485" s="12" t="inlineStr">
        <is>
          <t>Gate</t>
        </is>
      </c>
      <c r="H485" s="12" t="inlineStr">
        <is>
          <t>Aceitar S44 — Criar ferramentas de contexto com escopo efetivo</t>
        </is>
      </c>
      <c r="I485" s="3" t="inlineStr">
        <is>
          <t>Revisar as dez tarefas, executar a demonstração do sprint, confrontar critérios e registrar decisão go/no-go.</t>
        </is>
      </c>
      <c r="J485" s="3" t="inlineStr">
        <is>
          <t>reports/S44/acceptance.md</t>
        </is>
      </c>
      <c r="K485" s="3" t="inlineStr">
        <is>
          <t>Modelo recebe ID fora do escopo e o broker nega mesmo com instrução em documento. Todas as dependências aceitas; evidências vinculadas a revisão/ambiente; nenhum blocker de integridade/segurança.</t>
        </is>
      </c>
      <c r="L485" s="3" t="inlineStr">
        <is>
          <t>SL-S44-01; SL-S44-02; SL-S44-03; SL-S44-04; SL-S44-05; SL-S44-06; SL-S44-07; SL-S44-08; SL-S44-09; SL-S44-10</t>
        </is>
      </c>
      <c r="M485" s="3" t="inlineStr">
        <is>
          <t>R06; R08; R22; R23</t>
        </is>
      </c>
      <c r="N485" s="10" t="inlineStr">
        <is>
          <t>Não iniciado</t>
        </is>
      </c>
      <c r="O485" s="3" t="inlineStr">
        <is>
          <t>P0</t>
        </is>
      </c>
      <c r="P485" s="3" t="inlineStr">
        <is>
          <t>Crítico</t>
        </is>
      </c>
      <c r="Q485" s="3" t="inlineStr">
        <is>
          <t>Obrigatória para fechar a versão aprovada</t>
        </is>
      </c>
      <c r="R485" s="10" t="inlineStr">
        <is>
          <t>Autor</t>
        </is>
      </c>
      <c r="S485" s="10" t="inlineStr"/>
      <c r="T485" s="11" t="inlineStr"/>
      <c r="U485" s="3" t="inlineStr">
        <is>
          <t>reports/S44/acceptance.md</t>
        </is>
      </c>
      <c r="V485" s="10" t="inlineStr"/>
      <c r="W485" s="10" t="inlineStr"/>
      <c r="X485" s="3">
        <f>IF(N485="Concluído",IF(AND(S485&lt;&gt;"",ISNUMBER(T485),T485&gt;0,V485&lt;&gt;"",AND(OR(X475="OK",X475="DISPENSADO"),OR(X476="OK",X476="DISPENSADO"),OR(X477="OK",X477="DISPENSADO"),OR(X478="OK",X478="DISPENSADO"),OR(X479="OK",X479="DISPENSADO"),OR(X480="OK",X480="DISPENSADO"),OR(X481="OK",X481="DISPENSADO"),OR(X482="OK",X482="DISPENSADO"),OR(X483="OK",X483="DISPENSADO"),OR(X484="OK",X484="DISPENSADO"))),"OK","REVISAR"),IF(N485="Dispensado (ADR)",IF(AND(LEFT(Q485,11)="Condicional",W485&lt;&gt;"",S485&lt;&gt;"",ISNUMBER(T485),T485&gt;0,V485&lt;&gt;""),"DISPENSADO","REVISAR"),"PENDENTE"))</f>
        <v/>
      </c>
      <c r="Y485" s="10" t="inlineStr"/>
    </row>
    <row r="486" ht="112" customHeight="1">
      <c r="A486" s="3" t="n">
        <v>485</v>
      </c>
      <c r="B486" s="3" t="inlineStr">
        <is>
          <t>SL-S45-01</t>
        </is>
      </c>
      <c r="C486" s="9" t="inlineStr">
        <is>
          <t>v0.8.0</t>
        </is>
      </c>
      <c r="D486" s="9" t="inlineStr">
        <is>
          <t>S45</t>
        </is>
      </c>
      <c r="E486" s="3" t="inlineStr">
        <is>
          <t>ContextService / LocalAI</t>
        </is>
      </c>
      <c r="F486" s="3" t="inlineStr">
        <is>
          <t>Próprio</t>
        </is>
      </c>
      <c r="G486" s="3" t="inlineStr">
        <is>
          <t>Contrato</t>
        </is>
      </c>
      <c r="H486" s="3" t="inlineStr">
        <is>
          <t>Definir orçamento por camada</t>
        </is>
      </c>
      <c r="I486" s="3" t="inlineStr">
        <is>
          <t>Reservar tokens para sistema, pergunta, evidências e resposta.</t>
        </is>
      </c>
      <c r="J486" s="3" t="inlineStr">
        <is>
          <t>docs/contracts/context-budget.md</t>
        </is>
      </c>
      <c r="K486" s="3" t="inlineStr">
        <is>
          <t>Limite do modelo é verificado antes da chamada e não após erro de contexto.</t>
        </is>
      </c>
      <c r="L486" s="3" t="inlineStr">
        <is>
          <t>SL-S33-GATE; SL-S43-GATE; SL-S44-GATE</t>
        </is>
      </c>
      <c r="M486" s="3" t="inlineStr">
        <is>
          <t>R09; R19; R22; R23</t>
        </is>
      </c>
      <c r="N486" s="10" t="inlineStr">
        <is>
          <t>Não iniciado</t>
        </is>
      </c>
      <c r="O486" s="3" t="inlineStr">
        <is>
          <t>P0</t>
        </is>
      </c>
      <c r="P486" s="3" t="inlineStr">
        <is>
          <t>Alto</t>
        </is>
      </c>
      <c r="Q486" s="3" t="inlineStr">
        <is>
          <t>Obrigatória no escopo da versão</t>
        </is>
      </c>
      <c r="R486" s="10" t="inlineStr">
        <is>
          <t>Autor + agente de IA</t>
        </is>
      </c>
      <c r="S486" s="10" t="inlineStr"/>
      <c r="T486" s="11" t="inlineStr"/>
      <c r="U486" s="3" t="inlineStr">
        <is>
          <t>reports/S45/SL-S45-01.md</t>
        </is>
      </c>
      <c r="V486" s="10" t="inlineStr"/>
      <c r="W486" s="10" t="inlineStr"/>
      <c r="X486" s="3">
        <f>IF(N486="Concluído",IF(AND(S486&lt;&gt;"",ISNUMBER(T486),T486&gt;0,V486&lt;&gt;"",AND(OR(X364="OK",X364="DISPENSADO"),OR(X474="OK",X474="DISPENSADO"),OR(X485="OK",X485="DISPENSADO"))),"OK","REVISAR"),IF(N486="Dispensado (ADR)",IF(AND(LEFT(Q486,11)="Condicional",W486&lt;&gt;"",S486&lt;&gt;"",ISNUMBER(T486),T486&gt;0,V486&lt;&gt;""),"DISPENSADO","REVISAR"),"PENDENTE"))</f>
        <v/>
      </c>
      <c r="Y486" s="10" t="inlineStr"/>
    </row>
    <row r="487" ht="112" customHeight="1">
      <c r="A487" s="3" t="n">
        <v>486</v>
      </c>
      <c r="B487" s="3" t="inlineStr">
        <is>
          <t>SL-S45-02</t>
        </is>
      </c>
      <c r="C487" s="9" t="inlineStr">
        <is>
          <t>v0.8.0</t>
        </is>
      </c>
      <c r="D487" s="9" t="inlineStr">
        <is>
          <t>S45</t>
        </is>
      </c>
      <c r="E487" s="3" t="inlineStr">
        <is>
          <t>ContextService / LocalAI</t>
        </is>
      </c>
      <c r="F487" s="3" t="inlineStr">
        <is>
          <t>Próprio</t>
        </is>
      </c>
      <c r="G487" s="3" t="inlineStr">
        <is>
          <t>Implementação</t>
        </is>
      </c>
      <c r="H487" s="3" t="inlineStr">
        <is>
          <t>Gerar resumos de célula</t>
        </is>
      </c>
      <c r="I487" s="3" t="inlineStr">
        <is>
          <t>Reutilizar resumo válido ou produzir síntese por conteúdo/revisão.</t>
        </is>
      </c>
      <c r="J487" s="3" t="inlineStr">
        <is>
          <t>crates/context/src/cell_summary.rs</t>
        </is>
      </c>
      <c r="K487" s="3" t="inlineStr">
        <is>
          <t>Resumo automático nunca substitui conteúdo nem comentário autoral editado.</t>
        </is>
      </c>
      <c r="L487" s="3" t="inlineStr">
        <is>
          <t>SL-S45-01</t>
        </is>
      </c>
      <c r="M487" s="3" t="inlineStr">
        <is>
          <t>R09; R19; R22; R23</t>
        </is>
      </c>
      <c r="N487" s="10" t="inlineStr">
        <is>
          <t>Não iniciado</t>
        </is>
      </c>
      <c r="O487" s="3" t="inlineStr">
        <is>
          <t>P1</t>
        </is>
      </c>
      <c r="P487" s="3" t="inlineStr">
        <is>
          <t>Alto</t>
        </is>
      </c>
      <c r="Q487" s="3" t="inlineStr">
        <is>
          <t>Obrigatória no escopo da versão</t>
        </is>
      </c>
      <c r="R487" s="10" t="inlineStr">
        <is>
          <t>Autor + agente de IA</t>
        </is>
      </c>
      <c r="S487" s="10" t="inlineStr"/>
      <c r="T487" s="11" t="inlineStr"/>
      <c r="U487" s="3" t="inlineStr">
        <is>
          <t>reports/S45/SL-S45-02.md</t>
        </is>
      </c>
      <c r="V487" s="10" t="inlineStr"/>
      <c r="W487" s="10" t="inlineStr"/>
      <c r="X487" s="3">
        <f>IF(N487="Concluído",IF(AND(S487&lt;&gt;"",ISNUMBER(T487),T487&gt;0,V487&lt;&gt;"",AND(OR(X486="OK",X486="DISPENSADO"))),"OK","REVISAR"),IF(N487="Dispensado (ADR)",IF(AND(LEFT(Q487,11)="Condicional",W487&lt;&gt;"",S487&lt;&gt;"",ISNUMBER(T487),T487&gt;0,V487&lt;&gt;""),"DISPENSADO","REVISAR"),"PENDENTE"))</f>
        <v/>
      </c>
      <c r="Y487" s="10" t="inlineStr"/>
    </row>
    <row r="488" ht="112" customHeight="1">
      <c r="A488" s="3" t="n">
        <v>487</v>
      </c>
      <c r="B488" s="3" t="inlineStr">
        <is>
          <t>SL-S45-03</t>
        </is>
      </c>
      <c r="C488" s="9" t="inlineStr">
        <is>
          <t>v0.8.0</t>
        </is>
      </c>
      <c r="D488" s="9" t="inlineStr">
        <is>
          <t>S45</t>
        </is>
      </c>
      <c r="E488" s="3" t="inlineStr">
        <is>
          <t>ContextService / LocalAI</t>
        </is>
      </c>
      <c r="F488" s="3" t="inlineStr">
        <is>
          <t>Próprio</t>
        </is>
      </c>
      <c r="G488" s="3" t="inlineStr">
        <is>
          <t>Implementação</t>
        </is>
      </c>
      <c r="H488" s="3" t="inlineStr">
        <is>
          <t>Gerar resumos de grupo</t>
        </is>
      </c>
      <c r="I488" s="3" t="inlineStr">
        <is>
          <t>Agregar filhos com references e relações relevantes, preservando divergências.</t>
        </is>
      </c>
      <c r="J488" s="3" t="inlineStr">
        <is>
          <t>crates/context/src/group_summary.rs</t>
        </is>
      </c>
      <c r="K488" s="3" t="inlineStr">
        <is>
          <t>Grupo não apaga evidência contraditória apenas para reduzir texto.</t>
        </is>
      </c>
      <c r="L488" s="3" t="inlineStr">
        <is>
          <t>SL-S45-02</t>
        </is>
      </c>
      <c r="M488" s="3" t="inlineStr">
        <is>
          <t>R09; R19; R22; R23</t>
        </is>
      </c>
      <c r="N488" s="10" t="inlineStr">
        <is>
          <t>Não iniciado</t>
        </is>
      </c>
      <c r="O488" s="3" t="inlineStr">
        <is>
          <t>P1</t>
        </is>
      </c>
      <c r="P488" s="3" t="inlineStr">
        <is>
          <t>Alto</t>
        </is>
      </c>
      <c r="Q488" s="3" t="inlineStr">
        <is>
          <t>Obrigatória no escopo da versão</t>
        </is>
      </c>
      <c r="R488" s="10" t="inlineStr">
        <is>
          <t>Autor + agente de IA</t>
        </is>
      </c>
      <c r="S488" s="10" t="inlineStr"/>
      <c r="T488" s="11" t="inlineStr"/>
      <c r="U488" s="3" t="inlineStr">
        <is>
          <t>reports/S45/SL-S45-03.md</t>
        </is>
      </c>
      <c r="V488" s="10" t="inlineStr"/>
      <c r="W488" s="10" t="inlineStr"/>
      <c r="X488" s="3">
        <f>IF(N488="Concluído",IF(AND(S488&lt;&gt;"",ISNUMBER(T488),T488&gt;0,V488&lt;&gt;"",AND(OR(X487="OK",X487="DISPENSADO"))),"OK","REVISAR"),IF(N488="Dispensado (ADR)",IF(AND(LEFT(Q488,11)="Condicional",W488&lt;&gt;"",S488&lt;&gt;"",ISNUMBER(T488),T488&gt;0,V488&lt;&gt;""),"DISPENSADO","REVISAR"),"PENDENTE"))</f>
        <v/>
      </c>
      <c r="Y488" s="10" t="inlineStr"/>
    </row>
    <row r="489" ht="112" customHeight="1">
      <c r="A489" s="3" t="n">
        <v>488</v>
      </c>
      <c r="B489" s="3" t="inlineStr">
        <is>
          <t>SL-S45-04</t>
        </is>
      </c>
      <c r="C489" s="9" t="inlineStr">
        <is>
          <t>v0.8.0</t>
        </is>
      </c>
      <c r="D489" s="9" t="inlineStr">
        <is>
          <t>S45</t>
        </is>
      </c>
      <c r="E489" s="3" t="inlineStr">
        <is>
          <t>ContextService / LocalAI</t>
        </is>
      </c>
      <c r="F489" s="3" t="inlineStr">
        <is>
          <t>Próprio</t>
        </is>
      </c>
      <c r="G489" s="3" t="inlineStr">
        <is>
          <t>Implementação</t>
        </is>
      </c>
      <c r="H489" s="3" t="inlineStr">
        <is>
          <t>Criar grafo de dependências</t>
        </is>
      </c>
      <c r="I489" s="3" t="inlineStr">
        <is>
          <t>Associar summaries a revisões de conteúdo, grupo, modelo e prompt.</t>
        </is>
      </c>
      <c r="J489" s="3" t="inlineStr">
        <is>
          <t>crates/context/src/summary_dependencies.rs</t>
        </is>
      </c>
      <c r="K489" s="3" t="inlineStr">
        <is>
          <t>Alteração local invalida somente ancestrais/dependências pertinentes.</t>
        </is>
      </c>
      <c r="L489" s="3" t="inlineStr">
        <is>
          <t>SL-S45-03</t>
        </is>
      </c>
      <c r="M489" s="3" t="inlineStr">
        <is>
          <t>R09; R19; R22; R23</t>
        </is>
      </c>
      <c r="N489" s="10" t="inlineStr">
        <is>
          <t>Não iniciado</t>
        </is>
      </c>
      <c r="O489" s="3" t="inlineStr">
        <is>
          <t>P1</t>
        </is>
      </c>
      <c r="P489" s="3" t="inlineStr">
        <is>
          <t>Alto</t>
        </is>
      </c>
      <c r="Q489" s="3" t="inlineStr">
        <is>
          <t>Obrigatória no escopo da versão</t>
        </is>
      </c>
      <c r="R489" s="10" t="inlineStr">
        <is>
          <t>Autor + agente de IA</t>
        </is>
      </c>
      <c r="S489" s="10" t="inlineStr"/>
      <c r="T489" s="11" t="inlineStr"/>
      <c r="U489" s="3" t="inlineStr">
        <is>
          <t>reports/S45/SL-S45-04.md</t>
        </is>
      </c>
      <c r="V489" s="10" t="inlineStr"/>
      <c r="W489" s="10" t="inlineStr"/>
      <c r="X489" s="3">
        <f>IF(N489="Concluído",IF(AND(S489&lt;&gt;"",ISNUMBER(T489),T489&gt;0,V489&lt;&gt;"",AND(OR(X488="OK",X488="DISPENSADO"))),"OK","REVISAR"),IF(N489="Dispensado (ADR)",IF(AND(LEFT(Q489,11)="Condicional",W489&lt;&gt;"",S489&lt;&gt;"",ISNUMBER(T489),T489&gt;0,V489&lt;&gt;""),"DISPENSADO","REVISAR"),"PENDENTE"))</f>
        <v/>
      </c>
      <c r="Y489" s="10" t="inlineStr"/>
    </row>
    <row r="490" ht="112" customHeight="1">
      <c r="A490" s="3" t="n">
        <v>489</v>
      </c>
      <c r="B490" s="3" t="inlineStr">
        <is>
          <t>SL-S45-05</t>
        </is>
      </c>
      <c r="C490" s="9" t="inlineStr">
        <is>
          <t>v0.8.0</t>
        </is>
      </c>
      <c r="D490" s="9" t="inlineStr">
        <is>
          <t>S45</t>
        </is>
      </c>
      <c r="E490" s="3" t="inlineStr">
        <is>
          <t>ContextService / LocalAI</t>
        </is>
      </c>
      <c r="F490" s="3" t="inlineStr">
        <is>
          <t>Próprio</t>
        </is>
      </c>
      <c r="G490" s="3" t="inlineStr">
        <is>
          <t>Implementação</t>
        </is>
      </c>
      <c r="H490" s="3" t="inlineStr">
        <is>
          <t>Criar Skeleton Map</t>
        </is>
      </c>
      <c r="I490" s="3" t="inlineStr">
        <is>
          <t>Selecionar visão geral útil sem concatenar 100 palavras de cada nó.</t>
        </is>
      </c>
      <c r="J490" s="3" t="inlineStr">
        <is>
          <t>crates/context/src/skeleton.rs</t>
        </is>
      </c>
      <c r="K490" s="3" t="inlineStr">
        <is>
          <t>Cena de 1.000 nós respeita budget e oferece mecanismo de expansão.</t>
        </is>
      </c>
      <c r="L490" s="3" t="inlineStr">
        <is>
          <t>SL-S45-04</t>
        </is>
      </c>
      <c r="M490" s="3" t="inlineStr">
        <is>
          <t>R09; R19; R22; R23</t>
        </is>
      </c>
      <c r="N490" s="10" t="inlineStr">
        <is>
          <t>Não iniciado</t>
        </is>
      </c>
      <c r="O490" s="3" t="inlineStr">
        <is>
          <t>P1</t>
        </is>
      </c>
      <c r="P490" s="3" t="inlineStr">
        <is>
          <t>Alto</t>
        </is>
      </c>
      <c r="Q490" s="3" t="inlineStr">
        <is>
          <t>Obrigatória no escopo da versão</t>
        </is>
      </c>
      <c r="R490" s="10" t="inlineStr">
        <is>
          <t>Autor + agente de IA</t>
        </is>
      </c>
      <c r="S490" s="10" t="inlineStr"/>
      <c r="T490" s="11" t="inlineStr"/>
      <c r="U490" s="3" t="inlineStr">
        <is>
          <t>reports/S45/SL-S45-05.md</t>
        </is>
      </c>
      <c r="V490" s="10" t="inlineStr"/>
      <c r="W490" s="10" t="inlineStr"/>
      <c r="X490" s="3">
        <f>IF(N490="Concluído",IF(AND(S490&lt;&gt;"",ISNUMBER(T490),T490&gt;0,V490&lt;&gt;"",AND(OR(X489="OK",X489="DISPENSADO"))),"OK","REVISAR"),IF(N490="Dispensado (ADR)",IF(AND(LEFT(Q490,11)="Condicional",W490&lt;&gt;"",S490&lt;&gt;"",ISNUMBER(T490),T490&gt;0,V490&lt;&gt;""),"DISPENSADO","REVISAR"),"PENDENTE"))</f>
        <v/>
      </c>
      <c r="Y490" s="10" t="inlineStr"/>
    </row>
    <row r="491" ht="112" customHeight="1">
      <c r="A491" s="3" t="n">
        <v>490</v>
      </c>
      <c r="B491" s="3" t="inlineStr">
        <is>
          <t>SL-S45-06</t>
        </is>
      </c>
      <c r="C491" s="9" t="inlineStr">
        <is>
          <t>v0.8.0</t>
        </is>
      </c>
      <c r="D491" s="9" t="inlineStr">
        <is>
          <t>S45</t>
        </is>
      </c>
      <c r="E491" s="3" t="inlineStr">
        <is>
          <t>ContextService / LocalAI</t>
        </is>
      </c>
      <c r="F491" s="3" t="inlineStr">
        <is>
          <t>Próprio</t>
        </is>
      </c>
      <c r="G491" s="3" t="inlineStr">
        <is>
          <t>Implementação</t>
        </is>
      </c>
      <c r="H491" s="3" t="inlineStr">
        <is>
          <t>Integrar scheduler de summaries</t>
        </is>
      </c>
      <c r="I491" s="3" t="inlineStr">
        <is>
          <t>Limitar concorrência e reagendar conforme hardware/pergunta ativa.</t>
        </is>
      </c>
      <c r="J491" s="3" t="inlineStr">
        <is>
          <t>crates/context/src/summary_jobs.rs</t>
        </is>
      </c>
      <c r="K491" s="3" t="inlineStr">
        <is>
          <t>Chamadas em massa do upstream não carregam múltiplos modelos sem controle.</t>
        </is>
      </c>
      <c r="L491" s="3" t="inlineStr">
        <is>
          <t>SL-S45-05</t>
        </is>
      </c>
      <c r="M491" s="3" t="inlineStr">
        <is>
          <t>R09; R19; R22; R23</t>
        </is>
      </c>
      <c r="N491" s="10" t="inlineStr">
        <is>
          <t>Não iniciado</t>
        </is>
      </c>
      <c r="O491" s="3" t="inlineStr">
        <is>
          <t>P1</t>
        </is>
      </c>
      <c r="P491" s="3" t="inlineStr">
        <is>
          <t>Alto</t>
        </is>
      </c>
      <c r="Q491" s="3" t="inlineStr">
        <is>
          <t>Obrigatória no escopo da versão</t>
        </is>
      </c>
      <c r="R491" s="10" t="inlineStr">
        <is>
          <t>Autor + agente de IA</t>
        </is>
      </c>
      <c r="S491" s="10" t="inlineStr"/>
      <c r="T491" s="11" t="inlineStr"/>
      <c r="U491" s="3" t="inlineStr">
        <is>
          <t>reports/S45/SL-S45-06.md</t>
        </is>
      </c>
      <c r="V491" s="10" t="inlineStr"/>
      <c r="W491" s="10" t="inlineStr"/>
      <c r="X491" s="3">
        <f>IF(N491="Concluído",IF(AND(S491&lt;&gt;"",ISNUMBER(T491),T491&gt;0,V491&lt;&gt;"",AND(OR(X490="OK",X490="DISPENSADO"))),"OK","REVISAR"),IF(N491="Dispensado (ADR)",IF(AND(LEFT(Q491,11)="Condicional",W491&lt;&gt;"",S491&lt;&gt;"",ISNUMBER(T491),T491&gt;0,V491&lt;&gt;""),"DISPENSADO","REVISAR"),"PENDENTE"))</f>
        <v/>
      </c>
      <c r="Y491" s="10" t="inlineStr"/>
    </row>
    <row r="492" ht="112" customHeight="1">
      <c r="A492" s="3" t="n">
        <v>491</v>
      </c>
      <c r="B492" s="3" t="inlineStr">
        <is>
          <t>SL-S45-07</t>
        </is>
      </c>
      <c r="C492" s="9" t="inlineStr">
        <is>
          <t>v0.8.0</t>
        </is>
      </c>
      <c r="D492" s="9" t="inlineStr">
        <is>
          <t>S45</t>
        </is>
      </c>
      <c r="E492" s="3" t="inlineStr">
        <is>
          <t>ContextService / LocalAI</t>
        </is>
      </c>
      <c r="F492" s="3" t="inlineStr">
        <is>
          <t>Próprio</t>
        </is>
      </c>
      <c r="G492" s="3" t="inlineStr">
        <is>
          <t>Implementação</t>
        </is>
      </c>
      <c r="H492" s="3" t="inlineStr">
        <is>
          <t>Marcar cache desatualizado</t>
        </is>
      </c>
      <c r="I492" s="3" t="inlineStr">
        <is>
          <t>Expor revisão do contexto à UI e reconstruir antes de resposta crítica.</t>
        </is>
      </c>
      <c r="J492" s="3" t="inlineStr">
        <is>
          <t>apps/desktop/src/context/status.ts</t>
        </is>
      </c>
      <c r="K492" s="3" t="inlineStr">
        <is>
          <t>Usuário não recebe contexto antigo apresentado como versão atual sem indicação.</t>
        </is>
      </c>
      <c r="L492" s="3" t="inlineStr">
        <is>
          <t>SL-S45-06</t>
        </is>
      </c>
      <c r="M492" s="3" t="inlineStr">
        <is>
          <t>R09; R19; R22; R23</t>
        </is>
      </c>
      <c r="N492" s="10" t="inlineStr">
        <is>
          <t>Não iniciado</t>
        </is>
      </c>
      <c r="O492" s="3" t="inlineStr">
        <is>
          <t>P1</t>
        </is>
      </c>
      <c r="P492" s="3" t="inlineStr">
        <is>
          <t>Alto</t>
        </is>
      </c>
      <c r="Q492" s="3" t="inlineStr">
        <is>
          <t>Obrigatória no escopo da versão</t>
        </is>
      </c>
      <c r="R492" s="10" t="inlineStr">
        <is>
          <t>Autor + agente de IA</t>
        </is>
      </c>
      <c r="S492" s="10" t="inlineStr"/>
      <c r="T492" s="11" t="inlineStr"/>
      <c r="U492" s="3" t="inlineStr">
        <is>
          <t>reports/S45/SL-S45-07.md</t>
        </is>
      </c>
      <c r="V492" s="10" t="inlineStr"/>
      <c r="W492" s="10" t="inlineStr"/>
      <c r="X492" s="3">
        <f>IF(N492="Concluído",IF(AND(S492&lt;&gt;"",ISNUMBER(T492),T492&gt;0,V492&lt;&gt;"",AND(OR(X491="OK",X491="DISPENSADO"))),"OK","REVISAR"),IF(N492="Dispensado (ADR)",IF(AND(LEFT(Q492,11)="Condicional",W492&lt;&gt;"",S492&lt;&gt;"",ISNUMBER(T492),T492&gt;0,V492&lt;&gt;""),"DISPENSADO","REVISAR"),"PENDENTE"))</f>
        <v/>
      </c>
      <c r="Y492" s="10" t="inlineStr"/>
    </row>
    <row r="493" ht="112" customHeight="1">
      <c r="A493" s="3" t="n">
        <v>492</v>
      </c>
      <c r="B493" s="3" t="inlineStr">
        <is>
          <t>SL-S45-08</t>
        </is>
      </c>
      <c r="C493" s="9" t="inlineStr">
        <is>
          <t>v0.8.0</t>
        </is>
      </c>
      <c r="D493" s="9" t="inlineStr">
        <is>
          <t>S45</t>
        </is>
      </c>
      <c r="E493" s="3" t="inlineStr">
        <is>
          <t>ContextService / LocalAI</t>
        </is>
      </c>
      <c r="F493" s="3" t="inlineStr">
        <is>
          <t>Próprio</t>
        </is>
      </c>
      <c r="G493" s="3" t="inlineStr">
        <is>
          <t>Implementação</t>
        </is>
      </c>
      <c r="H493" s="3" t="inlineStr">
        <is>
          <t>Evitar trabalho em mudança visual</t>
        </is>
      </c>
      <c r="I493" s="3" t="inlineStr">
        <is>
          <t>Distinguir posição, relação e corpo do texto na invalidação.</t>
        </is>
      </c>
      <c r="J493" s="3" t="inlineStr">
        <is>
          <t>crates/context/src/invalidation.rs</t>
        </is>
      </c>
      <c r="K493" s="3" t="inlineStr">
        <is>
          <t>Mover cartão não regenera resumo textual; mudar aresta atualiza mapa relacional.</t>
        </is>
      </c>
      <c r="L493" s="3" t="inlineStr">
        <is>
          <t>SL-S45-07</t>
        </is>
      </c>
      <c r="M493" s="3" t="inlineStr">
        <is>
          <t>R09; R19; R22; R23</t>
        </is>
      </c>
      <c r="N493" s="10" t="inlineStr">
        <is>
          <t>Não iniciado</t>
        </is>
      </c>
      <c r="O493" s="3" t="inlineStr">
        <is>
          <t>P1</t>
        </is>
      </c>
      <c r="P493" s="3" t="inlineStr">
        <is>
          <t>Alto</t>
        </is>
      </c>
      <c r="Q493" s="3" t="inlineStr">
        <is>
          <t>Obrigatória no escopo da versão</t>
        </is>
      </c>
      <c r="R493" s="10" t="inlineStr">
        <is>
          <t>Autor + agente de IA</t>
        </is>
      </c>
      <c r="S493" s="10" t="inlineStr"/>
      <c r="T493" s="11" t="inlineStr"/>
      <c r="U493" s="3" t="inlineStr">
        <is>
          <t>reports/S45/SL-S45-08.md</t>
        </is>
      </c>
      <c r="V493" s="10" t="inlineStr"/>
      <c r="W493" s="10" t="inlineStr"/>
      <c r="X493" s="3">
        <f>IF(N493="Concluído",IF(AND(S493&lt;&gt;"",ISNUMBER(T493),T493&gt;0,V493&lt;&gt;"",AND(OR(X492="OK",X492="DISPENSADO"))),"OK","REVISAR"),IF(N493="Dispensado (ADR)",IF(AND(LEFT(Q493,11)="Condicional",W493&lt;&gt;"",S493&lt;&gt;"",ISNUMBER(T493),T493&gt;0,V493&lt;&gt;""),"DISPENSADO","REVISAR"),"PENDENTE"))</f>
        <v/>
      </c>
      <c r="Y493" s="10" t="inlineStr"/>
    </row>
    <row r="494" ht="112" customHeight="1">
      <c r="A494" s="3" t="n">
        <v>493</v>
      </c>
      <c r="B494" s="3" t="inlineStr">
        <is>
          <t>SL-S45-09</t>
        </is>
      </c>
      <c r="C494" s="9" t="inlineStr">
        <is>
          <t>v0.8.0</t>
        </is>
      </c>
      <c r="D494" s="9" t="inlineStr">
        <is>
          <t>S45</t>
        </is>
      </c>
      <c r="E494" s="3" t="inlineStr">
        <is>
          <t>ContextService / LocalAI</t>
        </is>
      </c>
      <c r="F494" s="3" t="inlineStr">
        <is>
          <t>Próprio</t>
        </is>
      </c>
      <c r="G494" s="3" t="inlineStr">
        <is>
          <t>Teste</t>
        </is>
      </c>
      <c r="H494" s="3" t="inlineStr">
        <is>
          <t>Medir custo e cobertura</t>
        </is>
      </c>
      <c r="I494" s="3" t="inlineStr">
        <is>
          <t>Comparar full-context viável com navegação progressiva em corpus fixo.</t>
        </is>
      </c>
      <c r="J494" s="3" t="inlineStr">
        <is>
          <t>reports/context/budget-eval.json</t>
        </is>
      </c>
      <c r="K494" s="3" t="inlineStr">
        <is>
          <t>Redução de tokens é medida e não alegada como 80% universal.</t>
        </is>
      </c>
      <c r="L494" s="3" t="inlineStr">
        <is>
          <t>SL-S45-08</t>
        </is>
      </c>
      <c r="M494" s="3" t="inlineStr">
        <is>
          <t>R09; R19; R22; R23</t>
        </is>
      </c>
      <c r="N494" s="10" t="inlineStr">
        <is>
          <t>Não iniciado</t>
        </is>
      </c>
      <c r="O494" s="3" t="inlineStr">
        <is>
          <t>P1</t>
        </is>
      </c>
      <c r="P494" s="3" t="inlineStr">
        <is>
          <t>Alto</t>
        </is>
      </c>
      <c r="Q494" s="3" t="inlineStr">
        <is>
          <t>Obrigatória no escopo da versão</t>
        </is>
      </c>
      <c r="R494" s="10" t="inlineStr">
        <is>
          <t>Autor + agente de IA</t>
        </is>
      </c>
      <c r="S494" s="10" t="inlineStr"/>
      <c r="T494" s="11" t="inlineStr"/>
      <c r="U494" s="3" t="inlineStr">
        <is>
          <t>reports/S45/SL-S45-09.md</t>
        </is>
      </c>
      <c r="V494" s="10" t="inlineStr"/>
      <c r="W494" s="10" t="inlineStr"/>
      <c r="X494" s="3">
        <f>IF(N494="Concluído",IF(AND(S494&lt;&gt;"",ISNUMBER(T494),T494&gt;0,V494&lt;&gt;"",AND(OR(X493="OK",X493="DISPENSADO"))),"OK","REVISAR"),IF(N494="Dispensado (ADR)",IF(AND(LEFT(Q494,11)="Condicional",W494&lt;&gt;"",S494&lt;&gt;"",ISNUMBER(T494),T494&gt;0,V494&lt;&gt;""),"DISPENSADO","REVISAR"),"PENDENTE"))</f>
        <v/>
      </c>
      <c r="Y494" s="10" t="inlineStr"/>
    </row>
    <row r="495" ht="112" customHeight="1">
      <c r="A495" s="3" t="n">
        <v>494</v>
      </c>
      <c r="B495" s="3" t="inlineStr">
        <is>
          <t>SL-S45-10</t>
        </is>
      </c>
      <c r="C495" s="9" t="inlineStr">
        <is>
          <t>v0.8.0</t>
        </is>
      </c>
      <c r="D495" s="9" t="inlineStr">
        <is>
          <t>S45</t>
        </is>
      </c>
      <c r="E495" s="3" t="inlineStr">
        <is>
          <t>ContextService / LocalAI</t>
        </is>
      </c>
      <c r="F495" s="3" t="inlineStr">
        <is>
          <t>Próprio</t>
        </is>
      </c>
      <c r="G495" s="3" t="inlineStr">
        <is>
          <t>Teste</t>
        </is>
      </c>
      <c r="H495" s="3" t="inlineStr">
        <is>
          <t>Exercitar offline/OOM</t>
        </is>
      </c>
      <c r="I495" s="3" t="inlineStr">
        <is>
          <t>Testar interrupção no meio de resumo de grupo e reinício.</t>
        </is>
      </c>
      <c r="J495" s="3" t="inlineStr">
        <is>
          <t>tests/context/summary-recovery/</t>
        </is>
      </c>
      <c r="K495" s="3" t="inlineStr">
        <is>
          <t>Cache parcial não vira resultado válido e a Mesa permanece editável.</t>
        </is>
      </c>
      <c r="L495" s="3" t="inlineStr">
        <is>
          <t>SL-S45-09</t>
        </is>
      </c>
      <c r="M495" s="3" t="inlineStr">
        <is>
          <t>R09; R19; R22; R23</t>
        </is>
      </c>
      <c r="N495" s="10" t="inlineStr">
        <is>
          <t>Não iniciado</t>
        </is>
      </c>
      <c r="O495" s="3" t="inlineStr">
        <is>
          <t>P1</t>
        </is>
      </c>
      <c r="P495" s="3" t="inlineStr">
        <is>
          <t>Alto</t>
        </is>
      </c>
      <c r="Q495" s="3" t="inlineStr">
        <is>
          <t>Obrigatória no escopo da versão</t>
        </is>
      </c>
      <c r="R495" s="10" t="inlineStr">
        <is>
          <t>Autor + agente de IA</t>
        </is>
      </c>
      <c r="S495" s="10" t="inlineStr"/>
      <c r="T495" s="11" t="inlineStr"/>
      <c r="U495" s="3" t="inlineStr">
        <is>
          <t>reports/S45/SL-S45-10.md</t>
        </is>
      </c>
      <c r="V495" s="10" t="inlineStr"/>
      <c r="W495" s="10" t="inlineStr"/>
      <c r="X495" s="3">
        <f>IF(N495="Concluído",IF(AND(S495&lt;&gt;"",ISNUMBER(T495),T495&gt;0,V495&lt;&gt;"",AND(OR(X494="OK",X494="DISPENSADO"))),"OK","REVISAR"),IF(N495="Dispensado (ADR)",IF(AND(LEFT(Q495,11)="Condicional",W495&lt;&gt;"",S495&lt;&gt;"",ISNUMBER(T495),T495&gt;0,V495&lt;&gt;""),"DISPENSADO","REVISAR"),"PENDENTE"))</f>
        <v/>
      </c>
      <c r="Y495" s="10" t="inlineStr"/>
    </row>
    <row r="496" ht="98" customHeight="1">
      <c r="A496" s="3" t="n">
        <v>495</v>
      </c>
      <c r="B496" s="12" t="inlineStr">
        <is>
          <t>SL-S45-GATE</t>
        </is>
      </c>
      <c r="C496" s="9" t="inlineStr">
        <is>
          <t>v0.8.0</t>
        </is>
      </c>
      <c r="D496" s="9" t="inlineStr">
        <is>
          <t>S45</t>
        </is>
      </c>
      <c r="E496" s="3" t="inlineStr">
        <is>
          <t>ContextService / LocalAI</t>
        </is>
      </c>
      <c r="F496" s="3" t="inlineStr">
        <is>
          <t>Aceite humano</t>
        </is>
      </c>
      <c r="G496" s="12" t="inlineStr">
        <is>
          <t>Gate</t>
        </is>
      </c>
      <c r="H496" s="12" t="inlineStr">
        <is>
          <t>Aceitar S45 — Implementar summaries incrementais e Skeleton Map</t>
        </is>
      </c>
      <c r="I496" s="3" t="inlineStr">
        <is>
          <t>Revisar as dez tarefas, executar a demonstração do sprint, confrontar critérios e registrar decisão go/no-go.</t>
        </is>
      </c>
      <c r="J496" s="3" t="inlineStr">
        <is>
          <t>reports/S45/acceptance.md</t>
        </is>
      </c>
      <c r="K496" s="3" t="inlineStr">
        <is>
          <t>Editar uma célula e recomputar apenas summaries dependentes, sem perder evidências. Todas as dependências aceitas; evidências vinculadas a revisão/ambiente; nenhum blocker de integridade/segurança.</t>
        </is>
      </c>
      <c r="L496" s="3" t="inlineStr">
        <is>
          <t>SL-S45-01; SL-S45-02; SL-S45-03; SL-S45-04; SL-S45-05; SL-S45-06; SL-S45-07; SL-S45-08; SL-S45-09; SL-S45-10</t>
        </is>
      </c>
      <c r="M496" s="3" t="inlineStr">
        <is>
          <t>R09; R19; R22; R23</t>
        </is>
      </c>
      <c r="N496" s="10" t="inlineStr">
        <is>
          <t>Não iniciado</t>
        </is>
      </c>
      <c r="O496" s="3" t="inlineStr">
        <is>
          <t>P0</t>
        </is>
      </c>
      <c r="P496" s="3" t="inlineStr">
        <is>
          <t>Alto</t>
        </is>
      </c>
      <c r="Q496" s="3" t="inlineStr">
        <is>
          <t>Obrigatória para fechar a versão aprovada</t>
        </is>
      </c>
      <c r="R496" s="10" t="inlineStr">
        <is>
          <t>Autor</t>
        </is>
      </c>
      <c r="S496" s="10" t="inlineStr"/>
      <c r="T496" s="11" t="inlineStr"/>
      <c r="U496" s="3" t="inlineStr">
        <is>
          <t>reports/S45/acceptance.md</t>
        </is>
      </c>
      <c r="V496" s="10" t="inlineStr"/>
      <c r="W496" s="10" t="inlineStr"/>
      <c r="X496" s="3">
        <f>IF(N496="Concluído",IF(AND(S496&lt;&gt;"",ISNUMBER(T496),T496&gt;0,V496&lt;&gt;"",AND(OR(X486="OK",X486="DISPENSADO"),OR(X487="OK",X487="DISPENSADO"),OR(X488="OK",X488="DISPENSADO"),OR(X489="OK",X489="DISPENSADO"),OR(X490="OK",X490="DISPENSADO"),OR(X491="OK",X491="DISPENSADO"),OR(X492="OK",X492="DISPENSADO"),OR(X493="OK",X493="DISPENSADO"),OR(X494="OK",X494="DISPENSADO"),OR(X495="OK",X495="DISPENSADO"))),"OK","REVISAR"),IF(N496="Dispensado (ADR)",IF(AND(LEFT(Q496,11)="Condicional",W496&lt;&gt;"",S496&lt;&gt;"",ISNUMBER(T496),T496&gt;0,V496&lt;&gt;""),"DISPENSADO","REVISAR"),"PENDENTE"))</f>
        <v/>
      </c>
      <c r="Y496" s="10" t="inlineStr"/>
    </row>
    <row r="497" ht="112" customHeight="1">
      <c r="A497" s="3" t="n">
        <v>496</v>
      </c>
      <c r="B497" s="3" t="inlineStr">
        <is>
          <t>SL-S46-01</t>
        </is>
      </c>
      <c r="C497" s="9" t="inlineStr">
        <is>
          <t>v0.8.0</t>
        </is>
      </c>
      <c r="D497" s="9" t="inlineStr">
        <is>
          <t>S46</t>
        </is>
      </c>
      <c r="E497" s="3" t="inlineStr">
        <is>
          <t>Context Engine / orquestração</t>
        </is>
      </c>
      <c r="F497" s="3" t="inlineStr">
        <is>
          <t>Integração</t>
        </is>
      </c>
      <c r="G497" s="3" t="inlineStr">
        <is>
          <t>Implementação</t>
        </is>
      </c>
      <c r="H497" s="3" t="inlineStr">
        <is>
          <t>Criar planejador de exploração</t>
        </is>
      </c>
      <c r="I497" s="3" t="inlineStr">
        <is>
          <t>Selecionar grupos a partir do Skeleton Map e pergunta autorizada.</t>
        </is>
      </c>
      <c r="J497" s="3" t="inlineStr">
        <is>
          <t>crates/context-agent/src/planner.rs</t>
        </is>
      </c>
      <c r="K497" s="3" t="inlineStr">
        <is>
          <t>Plano não é interpretado como autorização para ferramenta fora do catálogo.</t>
        </is>
      </c>
      <c r="L497" s="3" t="inlineStr">
        <is>
          <t>SL-S44-GATE; SL-S45-GATE</t>
        </is>
      </c>
      <c r="M497" s="3" t="inlineStr">
        <is>
          <t>R07; R13; R22; R23; R27</t>
        </is>
      </c>
      <c r="N497" s="10" t="inlineStr">
        <is>
          <t>Não iniciado</t>
        </is>
      </c>
      <c r="O497" s="3" t="inlineStr">
        <is>
          <t>P1</t>
        </is>
      </c>
      <c r="P497" s="3" t="inlineStr">
        <is>
          <t>Alto</t>
        </is>
      </c>
      <c r="Q497" s="3" t="inlineStr">
        <is>
          <t>Obrigatória no escopo da versão</t>
        </is>
      </c>
      <c r="R497" s="10" t="inlineStr">
        <is>
          <t>Autor + agente de IA</t>
        </is>
      </c>
      <c r="S497" s="10" t="inlineStr"/>
      <c r="T497" s="11" t="inlineStr"/>
      <c r="U497" s="3" t="inlineStr">
        <is>
          <t>reports/S46/SL-S46-01.md</t>
        </is>
      </c>
      <c r="V497" s="10" t="inlineStr"/>
      <c r="W497" s="10" t="inlineStr"/>
      <c r="X497" s="3">
        <f>IF(N497="Concluído",IF(AND(S497&lt;&gt;"",ISNUMBER(T497),T497&gt;0,V497&lt;&gt;"",AND(OR(X485="OK",X485="DISPENSADO"),OR(X496="OK",X496="DISPENSADO"))),"OK","REVISAR"),IF(N497="Dispensado (ADR)",IF(AND(LEFT(Q497,11)="Condicional",W497&lt;&gt;"",S497&lt;&gt;"",ISNUMBER(T497),T497&gt;0,V497&lt;&gt;""),"DISPENSADO","REVISAR"),"PENDENTE"))</f>
        <v/>
      </c>
      <c r="Y497" s="10" t="inlineStr"/>
    </row>
    <row r="498" ht="112" customHeight="1">
      <c r="A498" s="3" t="n">
        <v>497</v>
      </c>
      <c r="B498" s="3" t="inlineStr">
        <is>
          <t>SL-S46-02</t>
        </is>
      </c>
      <c r="C498" s="9" t="inlineStr">
        <is>
          <t>v0.8.0</t>
        </is>
      </c>
      <c r="D498" s="9" t="inlineStr">
        <is>
          <t>S46</t>
        </is>
      </c>
      <c r="E498" s="3" t="inlineStr">
        <is>
          <t>Context Engine / orquestração</t>
        </is>
      </c>
      <c r="F498" s="3" t="inlineStr">
        <is>
          <t>Integração</t>
        </is>
      </c>
      <c r="G498" s="3" t="inlineStr">
        <is>
          <t>Implementação</t>
        </is>
      </c>
      <c r="H498" s="3" t="inlineStr">
        <is>
          <t>Implementar expansão limitada</t>
        </is>
      </c>
      <c r="I498" s="3" t="inlineStr">
        <is>
          <t>Navegar árvore e relações com limites de hops/chamadas/tempo.</t>
        </is>
      </c>
      <c r="J498" s="3" t="inlineStr">
        <is>
          <t>crates/context-agent/src/explorer.rs</t>
        </is>
      </c>
      <c r="K498" s="3" t="inlineStr">
        <is>
          <t>Ciclo no grafo não causa execução sem fim nem consumo ilimitado.</t>
        </is>
      </c>
      <c r="L498" s="3" t="inlineStr">
        <is>
          <t>SL-S46-01</t>
        </is>
      </c>
      <c r="M498" s="3" t="inlineStr">
        <is>
          <t>R07; R13; R22; R23; R27</t>
        </is>
      </c>
      <c r="N498" s="10" t="inlineStr">
        <is>
          <t>Não iniciado</t>
        </is>
      </c>
      <c r="O498" s="3" t="inlineStr">
        <is>
          <t>P1</t>
        </is>
      </c>
      <c r="P498" s="3" t="inlineStr">
        <is>
          <t>Alto</t>
        </is>
      </c>
      <c r="Q498" s="3" t="inlineStr">
        <is>
          <t>Obrigatória no escopo da versão</t>
        </is>
      </c>
      <c r="R498" s="10" t="inlineStr">
        <is>
          <t>Autor + agente de IA</t>
        </is>
      </c>
      <c r="S498" s="10" t="inlineStr"/>
      <c r="T498" s="11" t="inlineStr"/>
      <c r="U498" s="3" t="inlineStr">
        <is>
          <t>reports/S46/SL-S46-02.md</t>
        </is>
      </c>
      <c r="V498" s="10" t="inlineStr"/>
      <c r="W498" s="10" t="inlineStr"/>
      <c r="X498" s="3">
        <f>IF(N498="Concluído",IF(AND(S498&lt;&gt;"",ISNUMBER(T498),T498&gt;0,V498&lt;&gt;"",AND(OR(X497="OK",X497="DISPENSADO"))),"OK","REVISAR"),IF(N498="Dispensado (ADR)",IF(AND(LEFT(Q498,11)="Condicional",W498&lt;&gt;"",S498&lt;&gt;"",ISNUMBER(T498),T498&gt;0,V498&lt;&gt;""),"DISPENSADO","REVISAR"),"PENDENTE"))</f>
        <v/>
      </c>
      <c r="Y498" s="10" t="inlineStr"/>
    </row>
    <row r="499" ht="112" customHeight="1">
      <c r="A499" s="3" t="n">
        <v>498</v>
      </c>
      <c r="B499" s="3" t="inlineStr">
        <is>
          <t>SL-S46-03</t>
        </is>
      </c>
      <c r="C499" s="9" t="inlineStr">
        <is>
          <t>v0.8.0</t>
        </is>
      </c>
      <c r="D499" s="9" t="inlineStr">
        <is>
          <t>S46</t>
        </is>
      </c>
      <c r="E499" s="3" t="inlineStr">
        <is>
          <t>Context Engine / orquestração</t>
        </is>
      </c>
      <c r="F499" s="3" t="inlineStr">
        <is>
          <t>Integração</t>
        </is>
      </c>
      <c r="G499" s="3" t="inlineStr">
        <is>
          <t>Implementação</t>
        </is>
      </c>
      <c r="H499" s="3" t="inlineStr">
        <is>
          <t>Executar subconsultas</t>
        </is>
      </c>
      <c r="I499" s="3" t="inlineStr">
        <is>
          <t>Compartilhar snapshot e serializar inferência quando o perfil exigir.</t>
        </is>
      </c>
      <c r="J499" s="3" t="inlineStr">
        <is>
          <t>crates/context-agent/src/subqueries.rs</t>
        </is>
      </c>
      <c r="K499" s="3" t="inlineStr">
        <is>
          <t>Paralelismo lógico não implica carregar vários modelos em RAM.</t>
        </is>
      </c>
      <c r="L499" s="3" t="inlineStr">
        <is>
          <t>SL-S46-02</t>
        </is>
      </c>
      <c r="M499" s="3" t="inlineStr">
        <is>
          <t>R07; R13; R22; R23; R27</t>
        </is>
      </c>
      <c r="N499" s="10" t="inlineStr">
        <is>
          <t>Não iniciado</t>
        </is>
      </c>
      <c r="O499" s="3" t="inlineStr">
        <is>
          <t>P1</t>
        </is>
      </c>
      <c r="P499" s="3" t="inlineStr">
        <is>
          <t>Alto</t>
        </is>
      </c>
      <c r="Q499" s="3" t="inlineStr">
        <is>
          <t>Obrigatória no escopo da versão</t>
        </is>
      </c>
      <c r="R499" s="10" t="inlineStr">
        <is>
          <t>Autor + agente de IA</t>
        </is>
      </c>
      <c r="S499" s="10" t="inlineStr"/>
      <c r="T499" s="11" t="inlineStr"/>
      <c r="U499" s="3" t="inlineStr">
        <is>
          <t>reports/S46/SL-S46-03.md</t>
        </is>
      </c>
      <c r="V499" s="10" t="inlineStr"/>
      <c r="W499" s="10" t="inlineStr"/>
      <c r="X499" s="3">
        <f>IF(N499="Concluído",IF(AND(S499&lt;&gt;"",ISNUMBER(T499),T499&gt;0,V499&lt;&gt;"",AND(OR(X498="OK",X498="DISPENSADO"))),"OK","REVISAR"),IF(N499="Dispensado (ADR)",IF(AND(LEFT(Q499,11)="Condicional",W499&lt;&gt;"",S499&lt;&gt;"",ISNUMBER(T499),T499&gt;0,V499&lt;&gt;""),"DISPENSADO","REVISAR"),"PENDENTE"))</f>
        <v/>
      </c>
      <c r="Y499" s="10" t="inlineStr"/>
    </row>
    <row r="500" ht="112" customHeight="1">
      <c r="A500" s="3" t="n">
        <v>499</v>
      </c>
      <c r="B500" s="3" t="inlineStr">
        <is>
          <t>SL-S46-04</t>
        </is>
      </c>
      <c r="C500" s="9" t="inlineStr">
        <is>
          <t>v0.8.0</t>
        </is>
      </c>
      <c r="D500" s="9" t="inlineStr">
        <is>
          <t>S46</t>
        </is>
      </c>
      <c r="E500" s="3" t="inlineStr">
        <is>
          <t>Context Engine / orquestração</t>
        </is>
      </c>
      <c r="F500" s="3" t="inlineStr">
        <is>
          <t>Integração</t>
        </is>
      </c>
      <c r="G500" s="3" t="inlineStr">
        <is>
          <t>Implementação</t>
        </is>
      </c>
      <c r="H500" s="3" t="inlineStr">
        <is>
          <t>Consolidar evidências</t>
        </is>
      </c>
      <c r="I500" s="3" t="inlineStr">
        <is>
          <t>Manter quotes/referências junto às micro-sínteses e detectar incompatibilidades.</t>
        </is>
      </c>
      <c r="J500" s="3" t="inlineStr">
        <is>
          <t>crates/context-agent/src/evidence.rs</t>
        </is>
      </c>
      <c r="K500" s="3" t="inlineStr">
        <is>
          <t>Resumos intermediários não são a única fonte disponível para a resposta.</t>
        </is>
      </c>
      <c r="L500" s="3" t="inlineStr">
        <is>
          <t>SL-S46-03</t>
        </is>
      </c>
      <c r="M500" s="3" t="inlineStr">
        <is>
          <t>R07; R13; R22; R23; R27</t>
        </is>
      </c>
      <c r="N500" s="10" t="inlineStr">
        <is>
          <t>Não iniciado</t>
        </is>
      </c>
      <c r="O500" s="3" t="inlineStr">
        <is>
          <t>P1</t>
        </is>
      </c>
      <c r="P500" s="3" t="inlineStr">
        <is>
          <t>Alto</t>
        </is>
      </c>
      <c r="Q500" s="3" t="inlineStr">
        <is>
          <t>Obrigatória no escopo da versão</t>
        </is>
      </c>
      <c r="R500" s="10" t="inlineStr">
        <is>
          <t>Autor + agente de IA</t>
        </is>
      </c>
      <c r="S500" s="10" t="inlineStr"/>
      <c r="T500" s="11" t="inlineStr"/>
      <c r="U500" s="3" t="inlineStr">
        <is>
          <t>reports/S46/SL-S46-04.md</t>
        </is>
      </c>
      <c r="V500" s="10" t="inlineStr"/>
      <c r="W500" s="10" t="inlineStr"/>
      <c r="X500" s="3">
        <f>IF(N500="Concluído",IF(AND(S500&lt;&gt;"",ISNUMBER(T500),T500&gt;0,V500&lt;&gt;"",AND(OR(X499="OK",X499="DISPENSADO"))),"OK","REVISAR"),IF(N500="Dispensado (ADR)",IF(AND(LEFT(Q500,11)="Condicional",W500&lt;&gt;"",S500&lt;&gt;"",ISNUMBER(T500),T500&gt;0,V500&lt;&gt;""),"DISPENSADO","REVISAR"),"PENDENTE"))</f>
        <v/>
      </c>
      <c r="Y500" s="10" t="inlineStr"/>
    </row>
    <row r="501" ht="112" customHeight="1">
      <c r="A501" s="3" t="n">
        <v>500</v>
      </c>
      <c r="B501" s="3" t="inlineStr">
        <is>
          <t>SL-S46-05</t>
        </is>
      </c>
      <c r="C501" s="9" t="inlineStr">
        <is>
          <t>v0.8.0</t>
        </is>
      </c>
      <c r="D501" s="9" t="inlineStr">
        <is>
          <t>S46</t>
        </is>
      </c>
      <c r="E501" s="3" t="inlineStr">
        <is>
          <t>Context Engine / orquestração</t>
        </is>
      </c>
      <c r="F501" s="3" t="inlineStr">
        <is>
          <t>Integração</t>
        </is>
      </c>
      <c r="G501" s="3" t="inlineStr">
        <is>
          <t>Implementação</t>
        </is>
      </c>
      <c r="H501" s="3" t="inlineStr">
        <is>
          <t>Gerar resposta com referências</t>
        </is>
      </c>
      <c r="I501" s="3" t="inlineStr">
        <is>
          <t>Validar IDs/localizadores e separar inferência de afirmação citada.</t>
        </is>
      </c>
      <c r="J501" s="3" t="inlineStr">
        <is>
          <t>crates/context-agent/src/answer.rs</t>
        </is>
      </c>
      <c r="K501" s="3" t="inlineStr">
        <is>
          <t>Citação inexistente é rejeitada/sinalizada, não renderizada como prova válida.</t>
        </is>
      </c>
      <c r="L501" s="3" t="inlineStr">
        <is>
          <t>SL-S46-04</t>
        </is>
      </c>
      <c r="M501" s="3" t="inlineStr">
        <is>
          <t>R07; R13; R22; R23; R27</t>
        </is>
      </c>
      <c r="N501" s="10" t="inlineStr">
        <is>
          <t>Não iniciado</t>
        </is>
      </c>
      <c r="O501" s="3" t="inlineStr">
        <is>
          <t>P1</t>
        </is>
      </c>
      <c r="P501" s="3" t="inlineStr">
        <is>
          <t>Alto</t>
        </is>
      </c>
      <c r="Q501" s="3" t="inlineStr">
        <is>
          <t>Obrigatória no escopo da versão</t>
        </is>
      </c>
      <c r="R501" s="10" t="inlineStr">
        <is>
          <t>Autor + agente de IA</t>
        </is>
      </c>
      <c r="S501" s="10" t="inlineStr"/>
      <c r="T501" s="11" t="inlineStr"/>
      <c r="U501" s="3" t="inlineStr">
        <is>
          <t>reports/S46/SL-S46-05.md</t>
        </is>
      </c>
      <c r="V501" s="10" t="inlineStr"/>
      <c r="W501" s="10" t="inlineStr"/>
      <c r="X501" s="3">
        <f>IF(N501="Concluído",IF(AND(S501&lt;&gt;"",ISNUMBER(T501),T501&gt;0,V501&lt;&gt;"",AND(OR(X500="OK",X500="DISPENSADO"))),"OK","REVISAR"),IF(N501="Dispensado (ADR)",IF(AND(LEFT(Q501,11)="Condicional",W501&lt;&gt;"",S501&lt;&gt;"",ISNUMBER(T501),T501&gt;0,V501&lt;&gt;""),"DISPENSADO","REVISAR"),"PENDENTE"))</f>
        <v/>
      </c>
      <c r="Y501" s="10" t="inlineStr"/>
    </row>
    <row r="502" ht="112" customHeight="1">
      <c r="A502" s="3" t="n">
        <v>501</v>
      </c>
      <c r="B502" s="3" t="inlineStr">
        <is>
          <t>SL-S46-06</t>
        </is>
      </c>
      <c r="C502" s="9" t="inlineStr">
        <is>
          <t>v0.8.0</t>
        </is>
      </c>
      <c r="D502" s="9" t="inlineStr">
        <is>
          <t>S46</t>
        </is>
      </c>
      <c r="E502" s="3" t="inlineStr">
        <is>
          <t>Context Engine / orquestração</t>
        </is>
      </c>
      <c r="F502" s="3" t="inlineStr">
        <is>
          <t>Integração</t>
        </is>
      </c>
      <c r="G502" s="3" t="inlineStr">
        <is>
          <t>Implementação</t>
        </is>
      </c>
      <c r="H502" s="3" t="inlineStr">
        <is>
          <t>Implementar abstenção</t>
        </is>
      </c>
      <c r="I502" s="3" t="inlineStr">
        <is>
          <t>Reconhecer evidência insuficiente, acesso negado e budget esgotado.</t>
        </is>
      </c>
      <c r="J502" s="3" t="inlineStr">
        <is>
          <t>crates/context-agent/src/abstain.rs</t>
        </is>
      </c>
      <c r="K502" s="3" t="inlineStr">
        <is>
          <t>Sistema não inventa resposta para ocultar ausência de fonte.</t>
        </is>
      </c>
      <c r="L502" s="3" t="inlineStr">
        <is>
          <t>SL-S46-05</t>
        </is>
      </c>
      <c r="M502" s="3" t="inlineStr">
        <is>
          <t>R07; R13; R22; R23; R27</t>
        </is>
      </c>
      <c r="N502" s="10" t="inlineStr">
        <is>
          <t>Não iniciado</t>
        </is>
      </c>
      <c r="O502" s="3" t="inlineStr">
        <is>
          <t>P1</t>
        </is>
      </c>
      <c r="P502" s="3" t="inlineStr">
        <is>
          <t>Alto</t>
        </is>
      </c>
      <c r="Q502" s="3" t="inlineStr">
        <is>
          <t>Obrigatória no escopo da versão</t>
        </is>
      </c>
      <c r="R502" s="10" t="inlineStr">
        <is>
          <t>Autor + agente de IA</t>
        </is>
      </c>
      <c r="S502" s="10" t="inlineStr"/>
      <c r="T502" s="11" t="inlineStr"/>
      <c r="U502" s="3" t="inlineStr">
        <is>
          <t>reports/S46/SL-S46-06.md</t>
        </is>
      </c>
      <c r="V502" s="10" t="inlineStr"/>
      <c r="W502" s="10" t="inlineStr"/>
      <c r="X502" s="3">
        <f>IF(N502="Concluído",IF(AND(S502&lt;&gt;"",ISNUMBER(T502),T502&gt;0,V502&lt;&gt;"",AND(OR(X501="OK",X501="DISPENSADO"))),"OK","REVISAR"),IF(N502="Dispensado (ADR)",IF(AND(LEFT(Q502,11)="Condicional",W502&lt;&gt;"",S502&lt;&gt;"",ISNUMBER(T502),T502&gt;0,V502&lt;&gt;""),"DISPENSADO","REVISAR"),"PENDENTE"))</f>
        <v/>
      </c>
      <c r="Y502" s="10" t="inlineStr"/>
    </row>
    <row r="503" ht="112" customHeight="1">
      <c r="A503" s="3" t="n">
        <v>502</v>
      </c>
      <c r="B503" s="3" t="inlineStr">
        <is>
          <t>SL-S46-07</t>
        </is>
      </c>
      <c r="C503" s="9" t="inlineStr">
        <is>
          <t>v0.8.0</t>
        </is>
      </c>
      <c r="D503" s="9" t="inlineStr">
        <is>
          <t>S46</t>
        </is>
      </c>
      <c r="E503" s="3" t="inlineStr">
        <is>
          <t>Context Engine / orquestração</t>
        </is>
      </c>
      <c r="F503" s="3" t="inlineStr">
        <is>
          <t>Integração</t>
        </is>
      </c>
      <c r="G503" s="3" t="inlineStr">
        <is>
          <t>Implementação</t>
        </is>
      </c>
      <c r="H503" s="3" t="inlineStr">
        <is>
          <t>Integrar cancelamento e revisão</t>
        </is>
      </c>
      <c r="I503" s="3" t="inlineStr">
        <is>
          <t>Descartar/apresentar como antiga resposta construída sobre snapshot alterado.</t>
        </is>
      </c>
      <c r="J503" s="3" t="inlineStr">
        <is>
          <t>crates/context-agent/src/session.rs</t>
        </is>
      </c>
      <c r="K503" s="3" t="inlineStr">
        <is>
          <t>Resultado atrasado não modifica texto da Peça nem se anuncia como atual.</t>
        </is>
      </c>
      <c r="L503" s="3" t="inlineStr">
        <is>
          <t>SL-S46-06</t>
        </is>
      </c>
      <c r="M503" s="3" t="inlineStr">
        <is>
          <t>R07; R13; R22; R23; R27</t>
        </is>
      </c>
      <c r="N503" s="10" t="inlineStr">
        <is>
          <t>Não iniciado</t>
        </is>
      </c>
      <c r="O503" s="3" t="inlineStr">
        <is>
          <t>P1</t>
        </is>
      </c>
      <c r="P503" s="3" t="inlineStr">
        <is>
          <t>Alto</t>
        </is>
      </c>
      <c r="Q503" s="3" t="inlineStr">
        <is>
          <t>Obrigatória no escopo da versão</t>
        </is>
      </c>
      <c r="R503" s="10" t="inlineStr">
        <is>
          <t>Autor + agente de IA</t>
        </is>
      </c>
      <c r="S503" s="10" t="inlineStr"/>
      <c r="T503" s="11" t="inlineStr"/>
      <c r="U503" s="3" t="inlineStr">
        <is>
          <t>reports/S46/SL-S46-07.md</t>
        </is>
      </c>
      <c r="V503" s="10" t="inlineStr"/>
      <c r="W503" s="10" t="inlineStr"/>
      <c r="X503" s="3">
        <f>IF(N503="Concluído",IF(AND(S503&lt;&gt;"",ISNUMBER(T503),T503&gt;0,V503&lt;&gt;"",AND(OR(X502="OK",X502="DISPENSADO"))),"OK","REVISAR"),IF(N503="Dispensado (ADR)",IF(AND(LEFT(Q503,11)="Condicional",W503&lt;&gt;"",S503&lt;&gt;"",ISNUMBER(T503),T503&gt;0,V503&lt;&gt;""),"DISPENSADO","REVISAR"),"PENDENTE"))</f>
        <v/>
      </c>
      <c r="Y503" s="10" t="inlineStr"/>
    </row>
    <row r="504" ht="112" customHeight="1">
      <c r="A504" s="3" t="n">
        <v>503</v>
      </c>
      <c r="B504" s="3" t="inlineStr">
        <is>
          <t>SL-S46-08</t>
        </is>
      </c>
      <c r="C504" s="9" t="inlineStr">
        <is>
          <t>v0.8.0</t>
        </is>
      </c>
      <c r="D504" s="9" t="inlineStr">
        <is>
          <t>S46</t>
        </is>
      </c>
      <c r="E504" s="3" t="inlineStr">
        <is>
          <t>Context Engine / orquestração</t>
        </is>
      </c>
      <c r="F504" s="3" t="inlineStr">
        <is>
          <t>Integração</t>
        </is>
      </c>
      <c r="G504" s="3" t="inlineStr">
        <is>
          <t>Teste</t>
        </is>
      </c>
      <c r="H504" s="3" t="inlineStr">
        <is>
          <t>Avaliar relações e layout</t>
        </is>
      </c>
      <c r="I504" s="3" t="inlineStr">
        <is>
          <t>Perguntas contrastivas com mesmas palavras, mas grupos/arestas diferentes.</t>
        </is>
      </c>
      <c r="J504" s="3" t="inlineStr">
        <is>
          <t>tests/eval/context-topology/</t>
        </is>
      </c>
      <c r="K504" s="3" t="inlineStr">
        <is>
          <t>Motor usa estrutura relevante em vez de responder só por similaridade textual.</t>
        </is>
      </c>
      <c r="L504" s="3" t="inlineStr">
        <is>
          <t>SL-S46-07</t>
        </is>
      </c>
      <c r="M504" s="3" t="inlineStr">
        <is>
          <t>R07; R13; R22; R23; R27</t>
        </is>
      </c>
      <c r="N504" s="10" t="inlineStr">
        <is>
          <t>Não iniciado</t>
        </is>
      </c>
      <c r="O504" s="3" t="inlineStr">
        <is>
          <t>P1</t>
        </is>
      </c>
      <c r="P504" s="3" t="inlineStr">
        <is>
          <t>Alto</t>
        </is>
      </c>
      <c r="Q504" s="3" t="inlineStr">
        <is>
          <t>Obrigatória no escopo da versão</t>
        </is>
      </c>
      <c r="R504" s="10" t="inlineStr">
        <is>
          <t>Autor + agente de IA</t>
        </is>
      </c>
      <c r="S504" s="10" t="inlineStr"/>
      <c r="T504" s="11" t="inlineStr"/>
      <c r="U504" s="3" t="inlineStr">
        <is>
          <t>reports/S46/SL-S46-08.md</t>
        </is>
      </c>
      <c r="V504" s="10" t="inlineStr"/>
      <c r="W504" s="10" t="inlineStr"/>
      <c r="X504" s="3">
        <f>IF(N504="Concluído",IF(AND(S504&lt;&gt;"",ISNUMBER(T504),T504&gt;0,V504&lt;&gt;"",AND(OR(X503="OK",X503="DISPENSADO"))),"OK","REVISAR"),IF(N504="Dispensado (ADR)",IF(AND(LEFT(Q504,11)="Condicional",W504&lt;&gt;"",S504&lt;&gt;"",ISNUMBER(T504),T504&gt;0,V504&lt;&gt;""),"DISPENSADO","REVISAR"),"PENDENTE"))</f>
        <v/>
      </c>
      <c r="Y504" s="10" t="inlineStr"/>
    </row>
    <row r="505" ht="112" customHeight="1">
      <c r="A505" s="3" t="n">
        <v>504</v>
      </c>
      <c r="B505" s="3" t="inlineStr">
        <is>
          <t>SL-S46-09</t>
        </is>
      </c>
      <c r="C505" s="9" t="inlineStr">
        <is>
          <t>v0.8.0</t>
        </is>
      </c>
      <c r="D505" s="9" t="inlineStr">
        <is>
          <t>S46</t>
        </is>
      </c>
      <c r="E505" s="3" t="inlineStr">
        <is>
          <t>Context Engine / orquestração</t>
        </is>
      </c>
      <c r="F505" s="3" t="inlineStr">
        <is>
          <t>Integração</t>
        </is>
      </c>
      <c r="G505" s="3" t="inlineStr">
        <is>
          <t>Teste</t>
        </is>
      </c>
      <c r="H505" s="3" t="inlineStr">
        <is>
          <t>Executar avaliação de citações</t>
        </is>
      </c>
      <c r="I505" s="3" t="inlineStr">
        <is>
          <t>Verificar fontes, revisões, ausência de resposta e leaks entre workspaces.</t>
        </is>
      </c>
      <c r="J505" s="3" t="inlineStr">
        <is>
          <t>reports/v0.8/context-quality.json</t>
        </is>
      </c>
      <c r="K505" s="3" t="inlineStr">
        <is>
          <t>Precisão de referência e escopo são gates, não somente fluência do texto.</t>
        </is>
      </c>
      <c r="L505" s="3" t="inlineStr">
        <is>
          <t>SL-S46-08</t>
        </is>
      </c>
      <c r="M505" s="3" t="inlineStr">
        <is>
          <t>R07; R13; R22; R23; R27</t>
        </is>
      </c>
      <c r="N505" s="10" t="inlineStr">
        <is>
          <t>Não iniciado</t>
        </is>
      </c>
      <c r="O505" s="3" t="inlineStr">
        <is>
          <t>P1</t>
        </is>
      </c>
      <c r="P505" s="3" t="inlineStr">
        <is>
          <t>Alto</t>
        </is>
      </c>
      <c r="Q505" s="3" t="inlineStr">
        <is>
          <t>Obrigatória no escopo da versão</t>
        </is>
      </c>
      <c r="R505" s="10" t="inlineStr">
        <is>
          <t>Autor + agente de IA</t>
        </is>
      </c>
      <c r="S505" s="10" t="inlineStr"/>
      <c r="T505" s="11" t="inlineStr"/>
      <c r="U505" s="3" t="inlineStr">
        <is>
          <t>reports/S46/SL-S46-09.md</t>
        </is>
      </c>
      <c r="V505" s="10" t="inlineStr"/>
      <c r="W505" s="10" t="inlineStr"/>
      <c r="X505" s="3">
        <f>IF(N505="Concluído",IF(AND(S505&lt;&gt;"",ISNUMBER(T505),T505&gt;0,V505&lt;&gt;"",AND(OR(X504="OK",X504="DISPENSADO"))),"OK","REVISAR"),IF(N505="Dispensado (ADR)",IF(AND(LEFT(Q505,11)="Condicional",W505&lt;&gt;"",S505&lt;&gt;"",ISNUMBER(T505),T505&gt;0,V505&lt;&gt;""),"DISPENSADO","REVISAR"),"PENDENTE"))</f>
        <v/>
      </c>
      <c r="Y505" s="10" t="inlineStr"/>
    </row>
    <row r="506" ht="112" customHeight="1">
      <c r="A506" s="3" t="n">
        <v>505</v>
      </c>
      <c r="B506" s="3" t="inlineStr">
        <is>
          <t>SL-S46-10</t>
        </is>
      </c>
      <c r="C506" s="9" t="inlineStr">
        <is>
          <t>v0.8.0</t>
        </is>
      </c>
      <c r="D506" s="9" t="inlineStr">
        <is>
          <t>S46</t>
        </is>
      </c>
      <c r="E506" s="3" t="inlineStr">
        <is>
          <t>Context Engine / orquestração</t>
        </is>
      </c>
      <c r="F506" s="3" t="inlineStr">
        <is>
          <t>Integração</t>
        </is>
      </c>
      <c r="G506" s="3" t="inlineStr">
        <is>
          <t>Release</t>
        </is>
      </c>
      <c r="H506" s="3" t="inlineStr">
        <is>
          <t>Publicar alpha de raciocínio</t>
        </is>
      </c>
      <c r="I506" s="3" t="inlineStr">
        <is>
          <t>Entregar modo local, diagnóstico de contexto e limites conhecidos.</t>
        </is>
      </c>
      <c r="J506" s="3" t="inlineStr">
        <is>
          <t>release/v0.8.0/</t>
        </is>
      </c>
      <c r="K506" s="3" t="inlineStr">
        <is>
          <t>PageIndex adaptado não assume autoridade canônica nem acesso global às células.</t>
        </is>
      </c>
      <c r="L506" s="3" t="inlineStr">
        <is>
          <t>SL-S46-09</t>
        </is>
      </c>
      <c r="M506" s="3" t="inlineStr">
        <is>
          <t>R07; R13; R22; R23; R27</t>
        </is>
      </c>
      <c r="N506" s="10" t="inlineStr">
        <is>
          <t>Não iniciado</t>
        </is>
      </c>
      <c r="O506" s="3" t="inlineStr">
        <is>
          <t>P1</t>
        </is>
      </c>
      <c r="P506" s="3" t="inlineStr">
        <is>
          <t>Alto</t>
        </is>
      </c>
      <c r="Q506" s="3" t="inlineStr">
        <is>
          <t>Obrigatória no escopo da versão</t>
        </is>
      </c>
      <c r="R506" s="10" t="inlineStr">
        <is>
          <t>Autor</t>
        </is>
      </c>
      <c r="S506" s="10" t="inlineStr"/>
      <c r="T506" s="11" t="inlineStr"/>
      <c r="U506" s="3" t="inlineStr">
        <is>
          <t>reports/S46/SL-S46-10.md</t>
        </is>
      </c>
      <c r="V506" s="10" t="inlineStr"/>
      <c r="W506" s="10" t="inlineStr"/>
      <c r="X506" s="3">
        <f>IF(N506="Concluído",IF(AND(S506&lt;&gt;"",ISNUMBER(T506),T506&gt;0,V506&lt;&gt;"",AND(OR(X505="OK",X505="DISPENSADO"))),"OK","REVISAR"),IF(N506="Dispensado (ADR)",IF(AND(LEFT(Q506,11)="Condicional",W506&lt;&gt;"",S506&lt;&gt;"",ISNUMBER(T506),T506&gt;0,V506&lt;&gt;""),"DISPENSADO","REVISAR"),"PENDENTE"))</f>
        <v/>
      </c>
      <c r="Y506" s="10" t="inlineStr"/>
    </row>
    <row r="507" ht="98" customHeight="1">
      <c r="A507" s="3" t="n">
        <v>506</v>
      </c>
      <c r="B507" s="12" t="inlineStr">
        <is>
          <t>SL-S46-GATE</t>
        </is>
      </c>
      <c r="C507" s="9" t="inlineStr">
        <is>
          <t>v0.8.0</t>
        </is>
      </c>
      <c r="D507" s="9" t="inlineStr">
        <is>
          <t>S46</t>
        </is>
      </c>
      <c r="E507" s="3" t="inlineStr">
        <is>
          <t>Context Engine / orquestração</t>
        </is>
      </c>
      <c r="F507" s="3" t="inlineStr">
        <is>
          <t>Aceite humano</t>
        </is>
      </c>
      <c r="G507" s="12" t="inlineStr">
        <is>
          <t>Gate</t>
        </is>
      </c>
      <c r="H507" s="12" t="inlineStr">
        <is>
          <t>Aceitar S46 — Entregar recuperação estrutural e síntese progressiva</t>
        </is>
      </c>
      <c r="I507" s="3" t="inlineStr">
        <is>
          <t>Revisar as dez tarefas, executar a demonstração do sprint, confrontar critérios e registrar decisão go/no-go.</t>
        </is>
      </c>
      <c r="J507" s="3" t="inlineStr">
        <is>
          <t>reports/S46/acceptance.md</t>
        </is>
      </c>
      <c r="K507" s="3" t="inlineStr">
        <is>
          <t>Perguntar sobre grupos que se contradizem e receber resposta apoiada nas revisões corretas. Todas as dependências aceitas; evidências vinculadas a revisão/ambiente; nenhum blocker de integridade/segurança.</t>
        </is>
      </c>
      <c r="L507" s="3" t="inlineStr">
        <is>
          <t>SL-S46-01; SL-S46-02; SL-S46-03; SL-S46-04; SL-S46-05; SL-S46-06; SL-S46-07; SL-S46-08; SL-S46-09; SL-S46-10</t>
        </is>
      </c>
      <c r="M507" s="3" t="inlineStr">
        <is>
          <t>R07; R13; R22; R23; R27</t>
        </is>
      </c>
      <c r="N507" s="10" t="inlineStr">
        <is>
          <t>Não iniciado</t>
        </is>
      </c>
      <c r="O507" s="3" t="inlineStr">
        <is>
          <t>P0</t>
        </is>
      </c>
      <c r="P507" s="3" t="inlineStr">
        <is>
          <t>Alto</t>
        </is>
      </c>
      <c r="Q507" s="3" t="inlineStr">
        <is>
          <t>Obrigatória para fechar a versão aprovada</t>
        </is>
      </c>
      <c r="R507" s="10" t="inlineStr">
        <is>
          <t>Autor</t>
        </is>
      </c>
      <c r="S507" s="10" t="inlineStr"/>
      <c r="T507" s="11" t="inlineStr"/>
      <c r="U507" s="3" t="inlineStr">
        <is>
          <t>reports/S46/acceptance.md</t>
        </is>
      </c>
      <c r="V507" s="10" t="inlineStr"/>
      <c r="W507" s="10" t="inlineStr"/>
      <c r="X507" s="3">
        <f>IF(N507="Concluído",IF(AND(S507&lt;&gt;"",ISNUMBER(T507),T507&gt;0,V507&lt;&gt;"",AND(OR(X497="OK",X497="DISPENSADO"),OR(X498="OK",X498="DISPENSADO"),OR(X499="OK",X499="DISPENSADO"),OR(X500="OK",X500="DISPENSADO"),OR(X501="OK",X501="DISPENSADO"),OR(X502="OK",X502="DISPENSADO"),OR(X503="OK",X503="DISPENSADO"),OR(X504="OK",X504="DISPENSADO"),OR(X505="OK",X505="DISPENSADO"),OR(X506="OK",X506="DISPENSADO"))),"OK","REVISAR"),IF(N507="Dispensado (ADR)",IF(AND(LEFT(Q507,11)="Condicional",W507&lt;&gt;"",S507&lt;&gt;"",ISNUMBER(T507),T507&gt;0,V507&lt;&gt;""),"DISPENSADO","REVISAR"),"PENDENTE"))</f>
        <v/>
      </c>
      <c r="Y507" s="10" t="inlineStr"/>
    </row>
    <row r="508" ht="112" customHeight="1">
      <c r="A508" s="3" t="n">
        <v>507</v>
      </c>
      <c r="B508" s="3" t="inlineStr">
        <is>
          <t>SL-S47-01</t>
        </is>
      </c>
      <c r="C508" s="9" t="inlineStr">
        <is>
          <t>v0.9.0</t>
        </is>
      </c>
      <c r="D508" s="9" t="inlineStr">
        <is>
          <t>S47</t>
        </is>
      </c>
      <c r="E508" s="3" t="inlineStr">
        <is>
          <t>SearxNG / WebDiscoveryProvider</t>
        </is>
      </c>
      <c r="F508" s="3" t="inlineStr">
        <is>
          <t>Desconstrução</t>
        </is>
      </c>
      <c r="G508" s="3" t="inlineStr">
        <is>
          <t>Upstream</t>
        </is>
      </c>
      <c r="H508" s="3" t="inlineStr">
        <is>
          <t>Fixar origem SearxNG</t>
        </is>
      </c>
      <c r="I508" s="3" t="inlineStr">
        <is>
          <t>Registrar revisão, runtime Python, engines habilitados e obrigações AGPL.</t>
        </is>
      </c>
      <c r="J508" s="3" t="inlineStr">
        <is>
          <t>upstream/searxng/manifest.json</t>
        </is>
      </c>
      <c r="K508" s="3" t="inlineStr">
        <is>
          <t>Fonte correspondente e configuração distribuída são identificáveis.</t>
        </is>
      </c>
      <c r="L508" s="3" t="inlineStr">
        <is>
          <t>SL-S23-GATE; SL-S26-GATE; SL-S34-GATE; SL-S46-GATE</t>
        </is>
      </c>
      <c r="M508" s="3" t="inlineStr">
        <is>
          <t>R08; R24; R30; R33</t>
        </is>
      </c>
      <c r="N508" s="10" t="inlineStr">
        <is>
          <t>Não iniciado</t>
        </is>
      </c>
      <c r="O508" s="3" t="inlineStr">
        <is>
          <t>P0</t>
        </is>
      </c>
      <c r="P508" s="3" t="inlineStr">
        <is>
          <t>Crítico</t>
        </is>
      </c>
      <c r="Q508" s="3" t="inlineStr">
        <is>
          <t>Obrigatória no escopo da versão</t>
        </is>
      </c>
      <c r="R508" s="10" t="inlineStr">
        <is>
          <t>Autor + agente de IA</t>
        </is>
      </c>
      <c r="S508" s="10" t="inlineStr"/>
      <c r="T508" s="11" t="inlineStr"/>
      <c r="U508" s="3" t="inlineStr">
        <is>
          <t>reports/S47/SL-S47-01.md</t>
        </is>
      </c>
      <c r="V508" s="10" t="inlineStr"/>
      <c r="W508" s="10" t="inlineStr"/>
      <c r="X508" s="3">
        <f>IF(N508="Concluído",IF(AND(S508&lt;&gt;"",ISNUMBER(T508),T508&gt;0,V508&lt;&gt;"",AND(OR(X254="OK",X254="DISPENSADO"),OR(X287="OK",X287="DISPENSADO"),OR(X375="OK",X375="DISPENSADO"),OR(X507="OK",X507="DISPENSADO"))),"OK","REVISAR"),IF(N508="Dispensado (ADR)",IF(AND(LEFT(Q508,11)="Condicional",W508&lt;&gt;"",S508&lt;&gt;"",ISNUMBER(T508),T508&gt;0,V508&lt;&gt;""),"DISPENSADO","REVISAR"),"PENDENTE"))</f>
        <v/>
      </c>
      <c r="Y508" s="10" t="inlineStr"/>
    </row>
    <row r="509" ht="112" customHeight="1">
      <c r="A509" s="3" t="n">
        <v>508</v>
      </c>
      <c r="B509" s="3" t="inlineStr">
        <is>
          <t>SL-S47-02</t>
        </is>
      </c>
      <c r="C509" s="9" t="inlineStr">
        <is>
          <t>v0.9.0</t>
        </is>
      </c>
      <c r="D509" s="9" t="inlineStr">
        <is>
          <t>S47</t>
        </is>
      </c>
      <c r="E509" s="3" t="inlineStr">
        <is>
          <t>SearxNG / WebDiscoveryProvider</t>
        </is>
      </c>
      <c r="F509" s="3" t="inlineStr">
        <is>
          <t>Desconstrução</t>
        </is>
      </c>
      <c r="G509" s="3" t="inlineStr">
        <is>
          <t>Decisão</t>
        </is>
      </c>
      <c r="H509" s="3" t="inlineStr">
        <is>
          <t>Escolher instância e lifecycle</t>
        </is>
      </c>
      <c r="I509" s="3" t="inlineStr">
        <is>
          <t>Resolver ADR-015: local gerenciada ou instância pessoal explícita.</t>
        </is>
      </c>
      <c r="J509" s="3" t="inlineStr">
        <is>
          <t>docs/adr/015-web-discovery.md</t>
        </is>
      </c>
      <c r="K509" s="3" t="inlineStr">
        <is>
          <t>Instância pública não é fallback silencioso nem dependência obrigatória para abrir o app.</t>
        </is>
      </c>
      <c r="L509" s="3" t="inlineStr">
        <is>
          <t>SL-S47-01</t>
        </is>
      </c>
      <c r="M509" s="3" t="inlineStr">
        <is>
          <t>R08; R24; R30; R33</t>
        </is>
      </c>
      <c r="N509" s="10" t="inlineStr">
        <is>
          <t>Não iniciado</t>
        </is>
      </c>
      <c r="O509" s="3" t="inlineStr">
        <is>
          <t>P0</t>
        </is>
      </c>
      <c r="P509" s="3" t="inlineStr">
        <is>
          <t>Crítico</t>
        </is>
      </c>
      <c r="Q509" s="3" t="inlineStr">
        <is>
          <t>Obrigatória no escopo da versão</t>
        </is>
      </c>
      <c r="R509" s="10" t="inlineStr">
        <is>
          <t>Autor</t>
        </is>
      </c>
      <c r="S509" s="10" t="inlineStr"/>
      <c r="T509" s="11" t="inlineStr"/>
      <c r="U509" s="3" t="inlineStr">
        <is>
          <t>reports/S47/SL-S47-02.md</t>
        </is>
      </c>
      <c r="V509" s="10" t="inlineStr"/>
      <c r="W509" s="10" t="inlineStr"/>
      <c r="X509" s="3">
        <f>IF(N509="Concluído",IF(AND(S509&lt;&gt;"",ISNUMBER(T509),T509&gt;0,V509&lt;&gt;"",AND(OR(X508="OK",X508="DISPENSADO"))),"OK","REVISAR"),IF(N509="Dispensado (ADR)",IF(AND(LEFT(Q509,11)="Condicional",W509&lt;&gt;"",S509&lt;&gt;"",ISNUMBER(T509),T509&gt;0,V509&lt;&gt;""),"DISPENSADO","REVISAR"),"PENDENTE"))</f>
        <v/>
      </c>
      <c r="Y509" s="10" t="inlineStr"/>
    </row>
    <row r="510" ht="112" customHeight="1">
      <c r="A510" s="3" t="n">
        <v>509</v>
      </c>
      <c r="B510" s="3" t="inlineStr">
        <is>
          <t>SL-S47-03</t>
        </is>
      </c>
      <c r="C510" s="9" t="inlineStr">
        <is>
          <t>v0.9.0</t>
        </is>
      </c>
      <c r="D510" s="9" t="inlineStr">
        <is>
          <t>S47</t>
        </is>
      </c>
      <c r="E510" s="3" t="inlineStr">
        <is>
          <t>SearxNG / WebDiscoveryProvider</t>
        </is>
      </c>
      <c r="F510" s="3" t="inlineStr">
        <is>
          <t>Desconstrução</t>
        </is>
      </c>
      <c r="G510" s="3" t="inlineStr">
        <is>
          <t>Implementação</t>
        </is>
      </c>
      <c r="H510" s="3" t="inlineStr">
        <is>
          <t>Criar configuração mínima</t>
        </is>
      </c>
      <c r="I510" s="3" t="inlineStr">
        <is>
          <t>Habilitar API JSON e apenas engines necessários; separar serviço de sua interface web.</t>
        </is>
      </c>
      <c r="J510" s="3" t="inlineStr">
        <is>
          <t>workers/searxng/settings.yml</t>
        </is>
      </c>
      <c r="K510" s="3" t="inlineStr">
        <is>
          <t>Formato não habilitado gera diagnóstico em vez de assumir que toda instância responde JSON.</t>
        </is>
      </c>
      <c r="L510" s="3" t="inlineStr">
        <is>
          <t>SL-S47-02</t>
        </is>
      </c>
      <c r="M510" s="3" t="inlineStr">
        <is>
          <t>R08; R24; R30; R33</t>
        </is>
      </c>
      <c r="N510" s="10" t="inlineStr">
        <is>
          <t>Não iniciado</t>
        </is>
      </c>
      <c r="O510" s="3" t="inlineStr">
        <is>
          <t>P0</t>
        </is>
      </c>
      <c r="P510" s="3" t="inlineStr">
        <is>
          <t>Crítico</t>
        </is>
      </c>
      <c r="Q510" s="3" t="inlineStr">
        <is>
          <t>Obrigatória no escopo da versão</t>
        </is>
      </c>
      <c r="R510" s="10" t="inlineStr">
        <is>
          <t>Autor + agente de IA</t>
        </is>
      </c>
      <c r="S510" s="10" t="inlineStr"/>
      <c r="T510" s="11" t="inlineStr"/>
      <c r="U510" s="3" t="inlineStr">
        <is>
          <t>reports/S47/SL-S47-03.md</t>
        </is>
      </c>
      <c r="V510" s="10" t="inlineStr"/>
      <c r="W510" s="10" t="inlineStr"/>
      <c r="X510" s="3">
        <f>IF(N510="Concluído",IF(AND(S510&lt;&gt;"",ISNUMBER(T510),T510&gt;0,V510&lt;&gt;"",AND(OR(X509="OK",X509="DISPENSADO"))),"OK","REVISAR"),IF(N510="Dispensado (ADR)",IF(AND(LEFT(Q510,11)="Condicional",W510&lt;&gt;"",S510&lt;&gt;"",ISNUMBER(T510),T510&gt;0,V510&lt;&gt;""),"DISPENSADO","REVISAR"),"PENDENTE"))</f>
        <v/>
      </c>
      <c r="Y510" s="10" t="inlineStr"/>
    </row>
    <row r="511" ht="112" customHeight="1">
      <c r="A511" s="3" t="n">
        <v>510</v>
      </c>
      <c r="B511" s="3" t="inlineStr">
        <is>
          <t>SL-S47-04</t>
        </is>
      </c>
      <c r="C511" s="9" t="inlineStr">
        <is>
          <t>v0.9.0</t>
        </is>
      </c>
      <c r="D511" s="9" t="inlineStr">
        <is>
          <t>S47</t>
        </is>
      </c>
      <c r="E511" s="3" t="inlineStr">
        <is>
          <t>SearxNG / WebDiscoveryProvider</t>
        </is>
      </c>
      <c r="F511" s="3" t="inlineStr">
        <is>
          <t>Desconstrução</t>
        </is>
      </c>
      <c r="G511" s="3" t="inlineStr">
        <is>
          <t>Implementação</t>
        </is>
      </c>
      <c r="H511" s="3" t="inlineStr">
        <is>
          <t>Integrar supervisor</t>
        </is>
      </c>
      <c r="I511" s="3" t="inlineStr">
        <is>
          <t>Iniciar/verificar/encerrar serviço local quando essa modalidade for escolhida.</t>
        </is>
      </c>
      <c r="J511" s="3" t="inlineStr">
        <is>
          <t>adapters/searxng/lifecycle.rs</t>
        </is>
      </c>
      <c r="K511" s="3" t="inlineStr">
        <is>
          <t>Serviço não inicia no startup da autoria sem necessidade.</t>
        </is>
      </c>
      <c r="L511" s="3" t="inlineStr">
        <is>
          <t>SL-S47-03</t>
        </is>
      </c>
      <c r="M511" s="3" t="inlineStr">
        <is>
          <t>R08; R24; R30; R33</t>
        </is>
      </c>
      <c r="N511" s="10" t="inlineStr">
        <is>
          <t>Não iniciado</t>
        </is>
      </c>
      <c r="O511" s="3" t="inlineStr">
        <is>
          <t>P0</t>
        </is>
      </c>
      <c r="P511" s="3" t="inlineStr">
        <is>
          <t>Crítico</t>
        </is>
      </c>
      <c r="Q511" s="3" t="inlineStr">
        <is>
          <t>Obrigatória no escopo da versão</t>
        </is>
      </c>
      <c r="R511" s="10" t="inlineStr">
        <is>
          <t>Autor + agente de IA</t>
        </is>
      </c>
      <c r="S511" s="10" t="inlineStr"/>
      <c r="T511" s="11" t="inlineStr"/>
      <c r="U511" s="3" t="inlineStr">
        <is>
          <t>reports/S47/SL-S47-04.md</t>
        </is>
      </c>
      <c r="V511" s="10" t="inlineStr"/>
      <c r="W511" s="10" t="inlineStr"/>
      <c r="X511" s="3">
        <f>IF(N511="Concluído",IF(AND(S511&lt;&gt;"",ISNUMBER(T511),T511&gt;0,V511&lt;&gt;"",AND(OR(X510="OK",X510="DISPENSADO"))),"OK","REVISAR"),IF(N511="Dispensado (ADR)",IF(AND(LEFT(Q511,11)="Condicional",W511&lt;&gt;"",S511&lt;&gt;"",ISNUMBER(T511),T511&gt;0,V511&lt;&gt;""),"DISPENSADO","REVISAR"),"PENDENTE"))</f>
        <v/>
      </c>
      <c r="Y511" s="10" t="inlineStr"/>
    </row>
    <row r="512" ht="112" customHeight="1">
      <c r="A512" s="3" t="n">
        <v>511</v>
      </c>
      <c r="B512" s="3" t="inlineStr">
        <is>
          <t>SL-S47-05</t>
        </is>
      </c>
      <c r="C512" s="9" t="inlineStr">
        <is>
          <t>v0.9.0</t>
        </is>
      </c>
      <c r="D512" s="9" t="inlineStr">
        <is>
          <t>S47</t>
        </is>
      </c>
      <c r="E512" s="3" t="inlineStr">
        <is>
          <t>SearxNG / WebDiscoveryProvider</t>
        </is>
      </c>
      <c r="F512" s="3" t="inlineStr">
        <is>
          <t>Desconstrução</t>
        </is>
      </c>
      <c r="G512" s="3" t="inlineStr">
        <is>
          <t>Contrato</t>
        </is>
      </c>
      <c r="H512" s="3" t="inlineStr">
        <is>
          <t>Definir resultado de descoberta</t>
        </is>
      </c>
      <c r="I512" s="3" t="inlineStr">
        <is>
          <t>Normalizar título, URL, snippet, engine, consulta e timestamp sem chamar isso de evidência lida.</t>
        </is>
      </c>
      <c r="J512" s="3" t="inlineStr">
        <is>
          <t>schemas/web-search-result.json</t>
        </is>
      </c>
      <c r="K512" s="3" t="inlineStr">
        <is>
          <t>Resultado preserva origem e não inventa conteúdo da página completa.</t>
        </is>
      </c>
      <c r="L512" s="3" t="inlineStr">
        <is>
          <t>SL-S47-04</t>
        </is>
      </c>
      <c r="M512" s="3" t="inlineStr">
        <is>
          <t>R08; R24; R30; R33</t>
        </is>
      </c>
      <c r="N512" s="10" t="inlineStr">
        <is>
          <t>Não iniciado</t>
        </is>
      </c>
      <c r="O512" s="3" t="inlineStr">
        <is>
          <t>P0</t>
        </is>
      </c>
      <c r="P512" s="3" t="inlineStr">
        <is>
          <t>Crítico</t>
        </is>
      </c>
      <c r="Q512" s="3" t="inlineStr">
        <is>
          <t>Obrigatória no escopo da versão</t>
        </is>
      </c>
      <c r="R512" s="10" t="inlineStr">
        <is>
          <t>Autor + agente de IA</t>
        </is>
      </c>
      <c r="S512" s="10" t="inlineStr"/>
      <c r="T512" s="11" t="inlineStr"/>
      <c r="U512" s="3" t="inlineStr">
        <is>
          <t>reports/S47/SL-S47-05.md</t>
        </is>
      </c>
      <c r="V512" s="10" t="inlineStr"/>
      <c r="W512" s="10" t="inlineStr"/>
      <c r="X512" s="3">
        <f>IF(N512="Concluído",IF(AND(S512&lt;&gt;"",ISNUMBER(T512),T512&gt;0,V512&lt;&gt;"",AND(OR(X511="OK",X511="DISPENSADO"))),"OK","REVISAR"),IF(N512="Dispensado (ADR)",IF(AND(LEFT(Q512,11)="Condicional",W512&lt;&gt;"",S512&lt;&gt;"",ISNUMBER(T512),T512&gt;0,V512&lt;&gt;""),"DISPENSADO","REVISAR"),"PENDENTE"))</f>
        <v/>
      </c>
      <c r="Y512" s="10" t="inlineStr"/>
    </row>
    <row r="513" ht="112" customHeight="1">
      <c r="A513" s="3" t="n">
        <v>512</v>
      </c>
      <c r="B513" s="3" t="inlineStr">
        <is>
          <t>SL-S47-06</t>
        </is>
      </c>
      <c r="C513" s="9" t="inlineStr">
        <is>
          <t>v0.9.0</t>
        </is>
      </c>
      <c r="D513" s="9" t="inlineStr">
        <is>
          <t>S47</t>
        </is>
      </c>
      <c r="E513" s="3" t="inlineStr">
        <is>
          <t>SearxNG / WebDiscoveryProvider</t>
        </is>
      </c>
      <c r="F513" s="3" t="inlineStr">
        <is>
          <t>Desconstrução</t>
        </is>
      </c>
      <c r="G513" s="3" t="inlineStr">
        <is>
          <t>Implementação</t>
        </is>
      </c>
      <c r="H513" s="3" t="inlineStr">
        <is>
          <t>Implementar cliente</t>
        </is>
      </c>
      <c r="I513" s="3" t="inlineStr">
        <is>
          <t>Tratar idioma, filtros, timeout, cancelamento e falhas parciais de engines.</t>
        </is>
      </c>
      <c r="J513" s="3" t="inlineStr">
        <is>
          <t>adapters/searxng/client.rs</t>
        </is>
      </c>
      <c r="K513" s="3" t="inlineStr">
        <is>
          <t>Uma engine bloqueada não faz loop infinito nem retorna sucesso vazio sem contexto.</t>
        </is>
      </c>
      <c r="L513" s="3" t="inlineStr">
        <is>
          <t>SL-S47-05</t>
        </is>
      </c>
      <c r="M513" s="3" t="inlineStr">
        <is>
          <t>R08; R24; R30; R33</t>
        </is>
      </c>
      <c r="N513" s="10" t="inlineStr">
        <is>
          <t>Não iniciado</t>
        </is>
      </c>
      <c r="O513" s="3" t="inlineStr">
        <is>
          <t>P0</t>
        </is>
      </c>
      <c r="P513" s="3" t="inlineStr">
        <is>
          <t>Crítico</t>
        </is>
      </c>
      <c r="Q513" s="3" t="inlineStr">
        <is>
          <t>Obrigatória no escopo da versão</t>
        </is>
      </c>
      <c r="R513" s="10" t="inlineStr">
        <is>
          <t>Autor + agente de IA</t>
        </is>
      </c>
      <c r="S513" s="10" t="inlineStr"/>
      <c r="T513" s="11" t="inlineStr"/>
      <c r="U513" s="3" t="inlineStr">
        <is>
          <t>reports/S47/SL-S47-06.md</t>
        </is>
      </c>
      <c r="V513" s="10" t="inlineStr"/>
      <c r="W513" s="10" t="inlineStr"/>
      <c r="X513" s="3">
        <f>IF(N513="Concluído",IF(AND(S513&lt;&gt;"",ISNUMBER(T513),T513&gt;0,V513&lt;&gt;"",AND(OR(X512="OK",X512="DISPENSADO"))),"OK","REVISAR"),IF(N513="Dispensado (ADR)",IF(AND(LEFT(Q513,11)="Condicional",W513&lt;&gt;"",S513&lt;&gt;"",ISNUMBER(T513),T513&gt;0,V513&lt;&gt;""),"DISPENSADO","REVISAR"),"PENDENTE"))</f>
        <v/>
      </c>
      <c r="Y513" s="10" t="inlineStr"/>
    </row>
    <row r="514" ht="112" customHeight="1">
      <c r="A514" s="3" t="n">
        <v>513</v>
      </c>
      <c r="B514" s="3" t="inlineStr">
        <is>
          <t>SL-S47-07</t>
        </is>
      </c>
      <c r="C514" s="9" t="inlineStr">
        <is>
          <t>v0.9.0</t>
        </is>
      </c>
      <c r="D514" s="9" t="inlineStr">
        <is>
          <t>S47</t>
        </is>
      </c>
      <c r="E514" s="3" t="inlineStr">
        <is>
          <t>SearxNG / WebDiscoveryProvider</t>
        </is>
      </c>
      <c r="F514" s="3" t="inlineStr">
        <is>
          <t>Desconstrução</t>
        </is>
      </c>
      <c r="G514" s="3" t="inlineStr">
        <is>
          <t>Implementação</t>
        </is>
      </c>
      <c r="H514" s="3" t="inlineStr">
        <is>
          <t>Aplicar política de consulta</t>
        </is>
      </c>
      <c r="I514" s="3" t="inlineStr">
        <is>
          <t>Autorizar texto enviado, registrar finalidade e bloquear contexto sensível não aprovado.</t>
        </is>
      </c>
      <c r="J514" s="3" t="inlineStr">
        <is>
          <t>crates/web/src/query_policy.rs</t>
        </is>
      </c>
      <c r="K514" s="3" t="inlineStr">
        <is>
          <t>Consulta gerada pela IA é inspecionável; a mesa inteira não é enviada automaticamente.</t>
        </is>
      </c>
      <c r="L514" s="3" t="inlineStr">
        <is>
          <t>SL-S47-06</t>
        </is>
      </c>
      <c r="M514" s="3" t="inlineStr">
        <is>
          <t>R08; R24; R30; R33</t>
        </is>
      </c>
      <c r="N514" s="10" t="inlineStr">
        <is>
          <t>Não iniciado</t>
        </is>
      </c>
      <c r="O514" s="3" t="inlineStr">
        <is>
          <t>P0</t>
        </is>
      </c>
      <c r="P514" s="3" t="inlineStr">
        <is>
          <t>Crítico</t>
        </is>
      </c>
      <c r="Q514" s="3" t="inlineStr">
        <is>
          <t>Obrigatória no escopo da versão</t>
        </is>
      </c>
      <c r="R514" s="10" t="inlineStr">
        <is>
          <t>Autor + agente de IA</t>
        </is>
      </c>
      <c r="S514" s="10" t="inlineStr"/>
      <c r="T514" s="11" t="inlineStr"/>
      <c r="U514" s="3" t="inlineStr">
        <is>
          <t>reports/S47/SL-S47-07.md</t>
        </is>
      </c>
      <c r="V514" s="10" t="inlineStr"/>
      <c r="W514" s="10" t="inlineStr"/>
      <c r="X514" s="3">
        <f>IF(N514="Concluído",IF(AND(S514&lt;&gt;"",ISNUMBER(T514),T514&gt;0,V514&lt;&gt;"",AND(OR(X513="OK",X513="DISPENSADO"))),"OK","REVISAR"),IF(N514="Dispensado (ADR)",IF(AND(LEFT(Q514,11)="Condicional",W514&lt;&gt;"",S514&lt;&gt;"",ISNUMBER(T514),T514&gt;0,V514&lt;&gt;""),"DISPENSADO","REVISAR"),"PENDENTE"))</f>
        <v/>
      </c>
      <c r="Y514" s="10" t="inlineStr"/>
    </row>
    <row r="515" ht="112" customHeight="1">
      <c r="A515" s="3" t="n">
        <v>514</v>
      </c>
      <c r="B515" s="3" t="inlineStr">
        <is>
          <t>SL-S47-08</t>
        </is>
      </c>
      <c r="C515" s="9" t="inlineStr">
        <is>
          <t>v0.9.0</t>
        </is>
      </c>
      <c r="D515" s="9" t="inlineStr">
        <is>
          <t>S47</t>
        </is>
      </c>
      <c r="E515" s="3" t="inlineStr">
        <is>
          <t>SearxNG / WebDiscoveryProvider</t>
        </is>
      </c>
      <c r="F515" s="3" t="inlineStr">
        <is>
          <t>Desconstrução</t>
        </is>
      </c>
      <c r="G515" s="3" t="inlineStr">
        <is>
          <t>Implementação</t>
        </is>
      </c>
      <c r="H515" s="3" t="inlineStr">
        <is>
          <t>Deduplicar resultados</t>
        </is>
      </c>
      <c r="I515" s="3" t="inlineStr">
        <is>
          <t>Canonicalizar URLs com cuidado, preservando versões/origens relevantes.</t>
        </is>
      </c>
      <c r="J515" s="3" t="inlineStr">
        <is>
          <t>crates/web/src/result_merge.rs</t>
        </is>
      </c>
      <c r="K515" s="3" t="inlineStr">
        <is>
          <t>Parâmetros semanticamente relevantes não são removidos indiscriminadamente.</t>
        </is>
      </c>
      <c r="L515" s="3" t="inlineStr">
        <is>
          <t>SL-S47-07</t>
        </is>
      </c>
      <c r="M515" s="3" t="inlineStr">
        <is>
          <t>R08; R24; R30; R33</t>
        </is>
      </c>
      <c r="N515" s="10" t="inlineStr">
        <is>
          <t>Não iniciado</t>
        </is>
      </c>
      <c r="O515" s="3" t="inlineStr">
        <is>
          <t>P0</t>
        </is>
      </c>
      <c r="P515" s="3" t="inlineStr">
        <is>
          <t>Crítico</t>
        </is>
      </c>
      <c r="Q515" s="3" t="inlineStr">
        <is>
          <t>Obrigatória no escopo da versão</t>
        </is>
      </c>
      <c r="R515" s="10" t="inlineStr">
        <is>
          <t>Autor + agente de IA</t>
        </is>
      </c>
      <c r="S515" s="10" t="inlineStr"/>
      <c r="T515" s="11" t="inlineStr"/>
      <c r="U515" s="3" t="inlineStr">
        <is>
          <t>reports/S47/SL-S47-08.md</t>
        </is>
      </c>
      <c r="V515" s="10" t="inlineStr"/>
      <c r="W515" s="10" t="inlineStr"/>
      <c r="X515" s="3">
        <f>IF(N515="Concluído",IF(AND(S515&lt;&gt;"",ISNUMBER(T515),T515&gt;0,V515&lt;&gt;"",AND(OR(X514="OK",X514="DISPENSADO"))),"OK","REVISAR"),IF(N515="Dispensado (ADR)",IF(AND(LEFT(Q515,11)="Condicional",W515&lt;&gt;"",S515&lt;&gt;"",ISNUMBER(T515),T515&gt;0,V515&lt;&gt;""),"DISPENSADO","REVISAR"),"PENDENTE"))</f>
        <v/>
      </c>
      <c r="Y515" s="10" t="inlineStr"/>
    </row>
    <row r="516" ht="112" customHeight="1">
      <c r="A516" s="3" t="n">
        <v>515</v>
      </c>
      <c r="B516" s="3" t="inlineStr">
        <is>
          <t>SL-S47-09</t>
        </is>
      </c>
      <c r="C516" s="9" t="inlineStr">
        <is>
          <t>v0.9.0</t>
        </is>
      </c>
      <c r="D516" s="9" t="inlineStr">
        <is>
          <t>S47</t>
        </is>
      </c>
      <c r="E516" s="3" t="inlineStr">
        <is>
          <t>SearxNG / WebDiscoveryProvider</t>
        </is>
      </c>
      <c r="F516" s="3" t="inlineStr">
        <is>
          <t>Desconstrução</t>
        </is>
      </c>
      <c r="G516" s="3" t="inlineStr">
        <is>
          <t>Teste</t>
        </is>
      </c>
      <c r="H516" s="3" t="inlineStr">
        <is>
          <t>Criar API fake e smoke autorizado</t>
        </is>
      </c>
      <c r="I516" s="3" t="inlineStr">
        <is>
          <t>Cobrir 403 JSON, indisponibilidade, respostas parciais e uma pesquisa real consentida.</t>
        </is>
      </c>
      <c r="J516" s="3" t="inlineStr">
        <is>
          <t>tests/web/searxng/</t>
        </is>
      </c>
      <c r="K516" s="3" t="inlineStr">
        <is>
          <t>CI determinística não depende de buscadores públicos; teste real tem estado separado.</t>
        </is>
      </c>
      <c r="L516" s="3" t="inlineStr">
        <is>
          <t>SL-S47-08</t>
        </is>
      </c>
      <c r="M516" s="3" t="inlineStr">
        <is>
          <t>R08; R24; R30; R33</t>
        </is>
      </c>
      <c r="N516" s="10" t="inlineStr">
        <is>
          <t>Não iniciado</t>
        </is>
      </c>
      <c r="O516" s="3" t="inlineStr">
        <is>
          <t>P0</t>
        </is>
      </c>
      <c r="P516" s="3" t="inlineStr">
        <is>
          <t>Crítico</t>
        </is>
      </c>
      <c r="Q516" s="3" t="inlineStr">
        <is>
          <t>Obrigatória no escopo da versão</t>
        </is>
      </c>
      <c r="R516" s="10" t="inlineStr">
        <is>
          <t>Autor + agente de IA</t>
        </is>
      </c>
      <c r="S516" s="10" t="inlineStr"/>
      <c r="T516" s="11" t="inlineStr"/>
      <c r="U516" s="3" t="inlineStr">
        <is>
          <t>reports/S47/SL-S47-09.md</t>
        </is>
      </c>
      <c r="V516" s="10" t="inlineStr"/>
      <c r="W516" s="10" t="inlineStr"/>
      <c r="X516" s="3">
        <f>IF(N516="Concluído",IF(AND(S516&lt;&gt;"",ISNUMBER(T516),T516&gt;0,V516&lt;&gt;"",AND(OR(X515="OK",X515="DISPENSADO"))),"OK","REVISAR"),IF(N516="Dispensado (ADR)",IF(AND(LEFT(Q516,11)="Condicional",W516&lt;&gt;"",S516&lt;&gt;"",ISNUMBER(T516),T516&gt;0,V516&lt;&gt;""),"DISPENSADO","REVISAR"),"PENDENTE"))</f>
        <v/>
      </c>
      <c r="Y516" s="10" t="inlineStr"/>
    </row>
    <row r="517" ht="112" customHeight="1">
      <c r="A517" s="3" t="n">
        <v>516</v>
      </c>
      <c r="B517" s="3" t="inlineStr">
        <is>
          <t>SL-S47-10</t>
        </is>
      </c>
      <c r="C517" s="9" t="inlineStr">
        <is>
          <t>v0.9.0</t>
        </is>
      </c>
      <c r="D517" s="9" t="inlineStr">
        <is>
          <t>S47</t>
        </is>
      </c>
      <c r="E517" s="3" t="inlineStr">
        <is>
          <t>SearxNG / WebDiscoveryProvider</t>
        </is>
      </c>
      <c r="F517" s="3" t="inlineStr">
        <is>
          <t>Desconstrução</t>
        </is>
      </c>
      <c r="G517" s="3" t="inlineStr">
        <is>
          <t>Licença</t>
        </is>
      </c>
      <c r="H517" s="3" t="inlineStr">
        <is>
          <t>Preparar distribuição e avisos</t>
        </is>
      </c>
      <c r="I517" s="3" t="inlineStr">
        <is>
          <t>Incluir fontes/configuração e documentação da divulgação de consultas externas.</t>
        </is>
      </c>
      <c r="J517" s="3" t="inlineStr">
        <is>
          <t>compliance/searxng/</t>
        </is>
      </c>
      <c r="K517" s="3" t="inlineStr">
        <is>
          <t>Auto-hospedagem não é anunciada como busca offline ou anonimato absoluto.</t>
        </is>
      </c>
      <c r="L517" s="3" t="inlineStr">
        <is>
          <t>SL-S47-09</t>
        </is>
      </c>
      <c r="M517" s="3" t="inlineStr">
        <is>
          <t>R08; R24; R30; R33</t>
        </is>
      </c>
      <c r="N517" s="10" t="inlineStr">
        <is>
          <t>Não iniciado</t>
        </is>
      </c>
      <c r="O517" s="3" t="inlineStr">
        <is>
          <t>P0</t>
        </is>
      </c>
      <c r="P517" s="3" t="inlineStr">
        <is>
          <t>Crítico</t>
        </is>
      </c>
      <c r="Q517" s="3" t="inlineStr">
        <is>
          <t>Obrigatória no escopo da versão</t>
        </is>
      </c>
      <c r="R517" s="10" t="inlineStr">
        <is>
          <t>Autor</t>
        </is>
      </c>
      <c r="S517" s="10" t="inlineStr"/>
      <c r="T517" s="11" t="inlineStr"/>
      <c r="U517" s="3" t="inlineStr">
        <is>
          <t>reports/S47/SL-S47-10.md</t>
        </is>
      </c>
      <c r="V517" s="10" t="inlineStr"/>
      <c r="W517" s="10" t="inlineStr"/>
      <c r="X517" s="3">
        <f>IF(N517="Concluído",IF(AND(S517&lt;&gt;"",ISNUMBER(T517),T517&gt;0,V517&lt;&gt;"",AND(OR(X516="OK",X516="DISPENSADO"))),"OK","REVISAR"),IF(N517="Dispensado (ADR)",IF(AND(LEFT(Q517,11)="Condicional",W517&lt;&gt;"",S517&lt;&gt;"",ISNUMBER(T517),T517&gt;0,V517&lt;&gt;""),"DISPENSADO","REVISAR"),"PENDENTE"))</f>
        <v/>
      </c>
      <c r="Y517" s="10" t="inlineStr"/>
    </row>
    <row r="518" ht="98" customHeight="1">
      <c r="A518" s="3" t="n">
        <v>517</v>
      </c>
      <c r="B518" s="12" t="inlineStr">
        <is>
          <t>SL-S47-GATE</t>
        </is>
      </c>
      <c r="C518" s="9" t="inlineStr">
        <is>
          <t>v0.9.0</t>
        </is>
      </c>
      <c r="D518" s="9" t="inlineStr">
        <is>
          <t>S47</t>
        </is>
      </c>
      <c r="E518" s="3" t="inlineStr">
        <is>
          <t>SearxNG / WebDiscoveryProvider</t>
        </is>
      </c>
      <c r="F518" s="3" t="inlineStr">
        <is>
          <t>Aceite humano</t>
        </is>
      </c>
      <c r="G518" s="12" t="inlineStr">
        <is>
          <t>Gate</t>
        </is>
      </c>
      <c r="H518" s="12" t="inlineStr">
        <is>
          <t>Aceitar S47 — Integrar SearxNG como serviço de descoberta</t>
        </is>
      </c>
      <c r="I518" s="3" t="inlineStr">
        <is>
          <t>Revisar as dez tarefas, executar a demonstração do sprint, confrontar critérios e registrar decisão go/no-go.</t>
        </is>
      </c>
      <c r="J518" s="3" t="inlineStr">
        <is>
          <t>reports/S47/acceptance.md</t>
        </is>
      </c>
      <c r="K518" s="3" t="inlineStr">
        <is>
          <t>Pesquisar por consulta autorizada e apresentar resultados sem enviar o board inteiro. Todas as dependências aceitas; evidências vinculadas a revisão/ambiente; nenhum blocker de integridade/segurança.</t>
        </is>
      </c>
      <c r="L518" s="3" t="inlineStr">
        <is>
          <t>SL-S47-01; SL-S47-02; SL-S47-03; SL-S47-04; SL-S47-05; SL-S47-06; SL-S47-07; SL-S47-08; SL-S47-09; SL-S47-10</t>
        </is>
      </c>
      <c r="M518" s="3" t="inlineStr">
        <is>
          <t>R08; R24; R30; R33</t>
        </is>
      </c>
      <c r="N518" s="10" t="inlineStr">
        <is>
          <t>Não iniciado</t>
        </is>
      </c>
      <c r="O518" s="3" t="inlineStr">
        <is>
          <t>P0</t>
        </is>
      </c>
      <c r="P518" s="3" t="inlineStr">
        <is>
          <t>Crítico</t>
        </is>
      </c>
      <c r="Q518" s="3" t="inlineStr">
        <is>
          <t>Obrigatória para fechar a versão aprovada</t>
        </is>
      </c>
      <c r="R518" s="10" t="inlineStr">
        <is>
          <t>Autor</t>
        </is>
      </c>
      <c r="S518" s="10" t="inlineStr"/>
      <c r="T518" s="11" t="inlineStr"/>
      <c r="U518" s="3" t="inlineStr">
        <is>
          <t>reports/S47/acceptance.md</t>
        </is>
      </c>
      <c r="V518" s="10" t="inlineStr"/>
      <c r="W518" s="10" t="inlineStr"/>
      <c r="X518" s="3">
        <f>IF(N518="Concluído",IF(AND(S518&lt;&gt;"",ISNUMBER(T518),T518&gt;0,V518&lt;&gt;"",AND(OR(X508="OK",X508="DISPENSADO"),OR(X509="OK",X509="DISPENSADO"),OR(X510="OK",X510="DISPENSADO"),OR(X511="OK",X511="DISPENSADO"),OR(X512="OK",X512="DISPENSADO"),OR(X513="OK",X513="DISPENSADO"),OR(X514="OK",X514="DISPENSADO"),OR(X515="OK",X515="DISPENSADO"),OR(X516="OK",X516="DISPENSADO"),OR(X517="OK",X517="DISPENSADO"))),"OK","REVISAR"),IF(N518="Dispensado (ADR)",IF(AND(LEFT(Q518,11)="Condicional",W518&lt;&gt;"",S518&lt;&gt;"",ISNUMBER(T518),T518&gt;0,V518&lt;&gt;""),"DISPENSADO","REVISAR"),"PENDENTE"))</f>
        <v/>
      </c>
      <c r="Y518" s="10" t="inlineStr"/>
    </row>
    <row r="519" ht="112" customHeight="1">
      <c r="A519" s="3" t="n">
        <v>518</v>
      </c>
      <c r="B519" s="3" t="inlineStr">
        <is>
          <t>SL-S48-01</t>
        </is>
      </c>
      <c r="C519" s="9" t="inlineStr">
        <is>
          <t>v0.9.0</t>
        </is>
      </c>
      <c r="D519" s="9" t="inlineStr">
        <is>
          <t>S48</t>
        </is>
      </c>
      <c r="E519" s="3" t="inlineStr">
        <is>
          <t>Scrapling / WebFetchProvider</t>
        </is>
      </c>
      <c r="F519" s="3" t="inlineStr">
        <is>
          <t>Desconstrução</t>
        </is>
      </c>
      <c r="G519" s="3" t="inlineStr">
        <is>
          <t>Upstream</t>
        </is>
      </c>
      <c r="H519" s="3" t="inlineStr">
        <is>
          <t>Fixar Scrapling e dependências</t>
        </is>
      </c>
      <c r="I519" s="3" t="inlineStr">
        <is>
          <t>Registrar fetchers/parser necessários e excluir inicialmente extras de browser/crawl.</t>
        </is>
      </c>
      <c r="J519" s="3" t="inlineStr">
        <is>
          <t>upstream/scrapling/manifest.json</t>
        </is>
      </c>
      <c r="K519" s="3" t="inlineStr">
        <is>
          <t>Pacote HTTP não instala navegador por simples import sem política aprovada.</t>
        </is>
      </c>
      <c r="L519" s="3" t="inlineStr">
        <is>
          <t>SL-S23-GATE; SL-S26-GATE; SL-S29-GATE; SL-S47-GATE</t>
        </is>
      </c>
      <c r="M519" s="3" t="inlineStr">
        <is>
          <t>R06; R08; R25; R30</t>
        </is>
      </c>
      <c r="N519" s="10" t="inlineStr">
        <is>
          <t>Não iniciado</t>
        </is>
      </c>
      <c r="O519" s="3" t="inlineStr">
        <is>
          <t>P0</t>
        </is>
      </c>
      <c r="P519" s="3" t="inlineStr">
        <is>
          <t>Crítico</t>
        </is>
      </c>
      <c r="Q519" s="3" t="inlineStr">
        <is>
          <t>Obrigatória no escopo da versão</t>
        </is>
      </c>
      <c r="R519" s="10" t="inlineStr">
        <is>
          <t>Autor + agente de IA</t>
        </is>
      </c>
      <c r="S519" s="10" t="inlineStr"/>
      <c r="T519" s="11" t="inlineStr"/>
      <c r="U519" s="3" t="inlineStr">
        <is>
          <t>reports/S48/SL-S48-01.md</t>
        </is>
      </c>
      <c r="V519" s="10" t="inlineStr"/>
      <c r="W519" s="10" t="inlineStr"/>
      <c r="X519" s="3">
        <f>IF(N519="Concluído",IF(AND(S519&lt;&gt;"",ISNUMBER(T519),T519&gt;0,V519&lt;&gt;"",AND(OR(X254="OK",X254="DISPENSADO"),OR(X287="OK",X287="DISPENSADO"),OR(X320="OK",X320="DISPENSADO"),OR(X518="OK",X518="DISPENSADO"))),"OK","REVISAR"),IF(N519="Dispensado (ADR)",IF(AND(LEFT(Q519,11)="Condicional",W519&lt;&gt;"",S519&lt;&gt;"",ISNUMBER(T519),T519&gt;0,V519&lt;&gt;""),"DISPENSADO","REVISAR"),"PENDENTE"))</f>
        <v/>
      </c>
      <c r="Y519" s="10" t="inlineStr"/>
    </row>
    <row r="520" ht="112" customHeight="1">
      <c r="A520" s="3" t="n">
        <v>519</v>
      </c>
      <c r="B520" s="3" t="inlineStr">
        <is>
          <t>SL-S48-02</t>
        </is>
      </c>
      <c r="C520" s="9" t="inlineStr">
        <is>
          <t>v0.9.0</t>
        </is>
      </c>
      <c r="D520" s="9" t="inlineStr">
        <is>
          <t>S48</t>
        </is>
      </c>
      <c r="E520" s="3" t="inlineStr">
        <is>
          <t>Scrapling / WebFetchProvider</t>
        </is>
      </c>
      <c r="F520" s="3" t="inlineStr">
        <is>
          <t>Desconstrução</t>
        </is>
      </c>
      <c r="G520" s="3" t="inlineStr">
        <is>
          <t>Upstream</t>
        </is>
      </c>
      <c r="H520" s="3" t="inlineStr">
        <is>
          <t>Reproduzir baseline HTTP</t>
        </is>
      </c>
      <c r="I520" s="3" t="inlineStr">
        <is>
          <t>Exercitar requests, redirecionamentos e HTML de fixture sem customização.</t>
        </is>
      </c>
      <c r="J520" s="3" t="inlineStr">
        <is>
          <t>reports/scrapling/http-baseline.md</t>
        </is>
      </c>
      <c r="K520" s="3" t="inlineStr">
        <is>
          <t>Mudança de comportamento no adapter pode ser comparada à revisão original.</t>
        </is>
      </c>
      <c r="L520" s="3" t="inlineStr">
        <is>
          <t>SL-S48-01</t>
        </is>
      </c>
      <c r="M520" s="3" t="inlineStr">
        <is>
          <t>R06; R08; R25; R30</t>
        </is>
      </c>
      <c r="N520" s="10" t="inlineStr">
        <is>
          <t>Não iniciado</t>
        </is>
      </c>
      <c r="O520" s="3" t="inlineStr">
        <is>
          <t>P0</t>
        </is>
      </c>
      <c r="P520" s="3" t="inlineStr">
        <is>
          <t>Crítico</t>
        </is>
      </c>
      <c r="Q520" s="3" t="inlineStr">
        <is>
          <t>Obrigatória no escopo da versão</t>
        </is>
      </c>
      <c r="R520" s="10" t="inlineStr">
        <is>
          <t>Autor + agente de IA</t>
        </is>
      </c>
      <c r="S520" s="10" t="inlineStr"/>
      <c r="T520" s="11" t="inlineStr"/>
      <c r="U520" s="3" t="inlineStr">
        <is>
          <t>reports/S48/SL-S48-02.md</t>
        </is>
      </c>
      <c r="V520" s="10" t="inlineStr"/>
      <c r="W520" s="10" t="inlineStr"/>
      <c r="X520" s="3">
        <f>IF(N520="Concluído",IF(AND(S520&lt;&gt;"",ISNUMBER(T520),T520&gt;0,V520&lt;&gt;"",AND(OR(X519="OK",X519="DISPENSADO"))),"OK","REVISAR"),IF(N520="Dispensado (ADR)",IF(AND(LEFT(Q520,11)="Condicional",W520&lt;&gt;"",S520&lt;&gt;"",ISNUMBER(T520),T520&gt;0,V520&lt;&gt;""),"DISPENSADO","REVISAR"),"PENDENTE"))</f>
        <v/>
      </c>
      <c r="Y520" s="10" t="inlineStr"/>
    </row>
    <row r="521" ht="112" customHeight="1">
      <c r="A521" s="3" t="n">
        <v>520</v>
      </c>
      <c r="B521" s="3" t="inlineStr">
        <is>
          <t>SL-S48-03</t>
        </is>
      </c>
      <c r="C521" s="9" t="inlineStr">
        <is>
          <t>v0.9.0</t>
        </is>
      </c>
      <c r="D521" s="9" t="inlineStr">
        <is>
          <t>S48</t>
        </is>
      </c>
      <c r="E521" s="3" t="inlineStr">
        <is>
          <t>Scrapling / WebFetchProvider</t>
        </is>
      </c>
      <c r="F521" s="3" t="inlineStr">
        <is>
          <t>Desconstrução</t>
        </is>
      </c>
      <c r="G521" s="3" t="inlineStr">
        <is>
          <t>Contrato</t>
        </is>
      </c>
      <c r="H521" s="3" t="inlineStr">
        <is>
          <t>Definir FetchRequest/Snapshot</t>
        </is>
      </c>
      <c r="I521" s="3" t="inlineStr">
        <is>
          <t>Incluir URL autorizada, limites, headers permitidos, cadeia de redirect e bytes/hash.</t>
        </is>
      </c>
      <c r="J521" s="3" t="inlineStr">
        <is>
          <t>schemas/web-fetch-v0.json</t>
        </is>
      </c>
      <c r="K521" s="3" t="inlineStr">
        <is>
          <t>Snapshot diferencia URL solicitada, final e data de aquisição.</t>
        </is>
      </c>
      <c r="L521" s="3" t="inlineStr">
        <is>
          <t>SL-S48-02</t>
        </is>
      </c>
      <c r="M521" s="3" t="inlineStr">
        <is>
          <t>R06; R08; R25; R30</t>
        </is>
      </c>
      <c r="N521" s="10" t="inlineStr">
        <is>
          <t>Não iniciado</t>
        </is>
      </c>
      <c r="O521" s="3" t="inlineStr">
        <is>
          <t>P0</t>
        </is>
      </c>
      <c r="P521" s="3" t="inlineStr">
        <is>
          <t>Crítico</t>
        </is>
      </c>
      <c r="Q521" s="3" t="inlineStr">
        <is>
          <t>Obrigatória no escopo da versão</t>
        </is>
      </c>
      <c r="R521" s="10" t="inlineStr">
        <is>
          <t>Autor + agente de IA</t>
        </is>
      </c>
      <c r="S521" s="10" t="inlineStr"/>
      <c r="T521" s="11" t="inlineStr"/>
      <c r="U521" s="3" t="inlineStr">
        <is>
          <t>reports/S48/SL-S48-03.md</t>
        </is>
      </c>
      <c r="V521" s="10" t="inlineStr"/>
      <c r="W521" s="10" t="inlineStr"/>
      <c r="X521" s="3">
        <f>IF(N521="Concluído",IF(AND(S521&lt;&gt;"",ISNUMBER(T521),T521&gt;0,V521&lt;&gt;"",AND(OR(X520="OK",X520="DISPENSADO"))),"OK","REVISAR"),IF(N521="Dispensado (ADR)",IF(AND(LEFT(Q521,11)="Condicional",W521&lt;&gt;"",S521&lt;&gt;"",ISNUMBER(T521),T521&gt;0,V521&lt;&gt;""),"DISPENSADO","REVISAR"),"PENDENTE"))</f>
        <v/>
      </c>
      <c r="Y521" s="10" t="inlineStr"/>
    </row>
    <row r="522" ht="112" customHeight="1">
      <c r="A522" s="3" t="n">
        <v>521</v>
      </c>
      <c r="B522" s="3" t="inlineStr">
        <is>
          <t>SL-S48-04</t>
        </is>
      </c>
      <c r="C522" s="9" t="inlineStr">
        <is>
          <t>v0.9.0</t>
        </is>
      </c>
      <c r="D522" s="9" t="inlineStr">
        <is>
          <t>S48</t>
        </is>
      </c>
      <c r="E522" s="3" t="inlineStr">
        <is>
          <t>Scrapling / WebFetchProvider</t>
        </is>
      </c>
      <c r="F522" s="3" t="inlineStr">
        <is>
          <t>Desconstrução</t>
        </is>
      </c>
      <c r="G522" s="3" t="inlineStr">
        <is>
          <t>Implementação</t>
        </is>
      </c>
      <c r="H522" s="3" t="inlineStr">
        <is>
          <t>Implementar política SSRF</t>
        </is>
      </c>
      <c r="I522" s="3" t="inlineStr">
        <is>
          <t>Restringir schemes, destinos, DNS e redes privadas conforme autorização.</t>
        </is>
      </c>
      <c r="J522" s="3" t="inlineStr">
        <is>
          <t>crates/web/src/url_policy.rs</t>
        </is>
      </c>
      <c r="K522" s="3" t="inlineStr">
        <is>
          <t>localhost, metadados, file URLs e destinos não permitidos são rejeitados.</t>
        </is>
      </c>
      <c r="L522" s="3" t="inlineStr">
        <is>
          <t>SL-S48-03</t>
        </is>
      </c>
      <c r="M522" s="3" t="inlineStr">
        <is>
          <t>R06; R08; R25; R30</t>
        </is>
      </c>
      <c r="N522" s="10" t="inlineStr">
        <is>
          <t>Não iniciado</t>
        </is>
      </c>
      <c r="O522" s="3" t="inlineStr">
        <is>
          <t>P0</t>
        </is>
      </c>
      <c r="P522" s="3" t="inlineStr">
        <is>
          <t>Crítico</t>
        </is>
      </c>
      <c r="Q522" s="3" t="inlineStr">
        <is>
          <t>Obrigatória no escopo da versão</t>
        </is>
      </c>
      <c r="R522" s="10" t="inlineStr">
        <is>
          <t>Autor + agente de IA</t>
        </is>
      </c>
      <c r="S522" s="10" t="inlineStr"/>
      <c r="T522" s="11" t="inlineStr"/>
      <c r="U522" s="3" t="inlineStr">
        <is>
          <t>reports/S48/SL-S48-04.md</t>
        </is>
      </c>
      <c r="V522" s="10" t="inlineStr"/>
      <c r="W522" s="10" t="inlineStr"/>
      <c r="X522" s="3">
        <f>IF(N522="Concluído",IF(AND(S522&lt;&gt;"",ISNUMBER(T522),T522&gt;0,V522&lt;&gt;"",AND(OR(X521="OK",X521="DISPENSADO"))),"OK","REVISAR"),IF(N522="Dispensado (ADR)",IF(AND(LEFT(Q522,11)="Condicional",W522&lt;&gt;"",S522&lt;&gt;"",ISNUMBER(T522),T522&gt;0,V522&lt;&gt;""),"DISPENSADO","REVISAR"),"PENDENTE"))</f>
        <v/>
      </c>
      <c r="Y522" s="10" t="inlineStr"/>
    </row>
    <row r="523" ht="112" customHeight="1">
      <c r="A523" s="3" t="n">
        <v>522</v>
      </c>
      <c r="B523" s="3" t="inlineStr">
        <is>
          <t>SL-S48-05</t>
        </is>
      </c>
      <c r="C523" s="9" t="inlineStr">
        <is>
          <t>v0.9.0</t>
        </is>
      </c>
      <c r="D523" s="9" t="inlineStr">
        <is>
          <t>S48</t>
        </is>
      </c>
      <c r="E523" s="3" t="inlineStr">
        <is>
          <t>Scrapling / WebFetchProvider</t>
        </is>
      </c>
      <c r="F523" s="3" t="inlineStr">
        <is>
          <t>Desconstrução</t>
        </is>
      </c>
      <c r="G523" s="3" t="inlineStr">
        <is>
          <t>Implementação</t>
        </is>
      </c>
      <c r="H523" s="3" t="inlineStr">
        <is>
          <t>Validar cada redirecionamento</t>
        </is>
      </c>
      <c r="I523" s="3" t="inlineStr">
        <is>
          <t>Reaplicar política e tratamento de resolução antes de seguir destino.</t>
        </is>
      </c>
      <c r="J523" s="3" t="inlineStr">
        <is>
          <t>workers/scrapling/redirect_policy.py</t>
        </is>
      </c>
      <c r="K523" s="3" t="inlineStr">
        <is>
          <t>URL pública que redireciona ao runtime local não contorna o bloqueio.</t>
        </is>
      </c>
      <c r="L523" s="3" t="inlineStr">
        <is>
          <t>SL-S48-04</t>
        </is>
      </c>
      <c r="M523" s="3" t="inlineStr">
        <is>
          <t>R06; R08; R25; R30</t>
        </is>
      </c>
      <c r="N523" s="10" t="inlineStr">
        <is>
          <t>Não iniciado</t>
        </is>
      </c>
      <c r="O523" s="3" t="inlineStr">
        <is>
          <t>P0</t>
        </is>
      </c>
      <c r="P523" s="3" t="inlineStr">
        <is>
          <t>Crítico</t>
        </is>
      </c>
      <c r="Q523" s="3" t="inlineStr">
        <is>
          <t>Obrigatória no escopo da versão</t>
        </is>
      </c>
      <c r="R523" s="10" t="inlineStr">
        <is>
          <t>Autor + agente de IA</t>
        </is>
      </c>
      <c r="S523" s="10" t="inlineStr"/>
      <c r="T523" s="11" t="inlineStr"/>
      <c r="U523" s="3" t="inlineStr">
        <is>
          <t>reports/S48/SL-S48-05.md</t>
        </is>
      </c>
      <c r="V523" s="10" t="inlineStr"/>
      <c r="W523" s="10" t="inlineStr"/>
      <c r="X523" s="3">
        <f>IF(N523="Concluído",IF(AND(S523&lt;&gt;"",ISNUMBER(T523),T523&gt;0,V523&lt;&gt;"",AND(OR(X522="OK",X522="DISPENSADO"))),"OK","REVISAR"),IF(N523="Dispensado (ADR)",IF(AND(LEFT(Q523,11)="Condicional",W523&lt;&gt;"",S523&lt;&gt;"",ISNUMBER(T523),T523&gt;0,V523&lt;&gt;""),"DISPENSADO","REVISAR"),"PENDENTE"))</f>
        <v/>
      </c>
      <c r="Y523" s="10" t="inlineStr"/>
    </row>
    <row r="524" ht="112" customHeight="1">
      <c r="A524" s="3" t="n">
        <v>523</v>
      </c>
      <c r="B524" s="3" t="inlineStr">
        <is>
          <t>SL-S48-06</t>
        </is>
      </c>
      <c r="C524" s="9" t="inlineStr">
        <is>
          <t>v0.9.0</t>
        </is>
      </c>
      <c r="D524" s="9" t="inlineStr">
        <is>
          <t>S48</t>
        </is>
      </c>
      <c r="E524" s="3" t="inlineStr">
        <is>
          <t>Scrapling / WebFetchProvider</t>
        </is>
      </c>
      <c r="F524" s="3" t="inlineStr">
        <is>
          <t>Desconstrução</t>
        </is>
      </c>
      <c r="G524" s="3" t="inlineStr">
        <is>
          <t>Implementação</t>
        </is>
      </c>
      <c r="H524" s="3" t="inlineStr">
        <is>
          <t>Aplicar limites de resposta</t>
        </is>
      </c>
      <c r="I524" s="3" t="inlineStr">
        <is>
          <t>Controlar bytes descomprimidos, tempo, encoding e tipo detectado.</t>
        </is>
      </c>
      <c r="J524" s="3" t="inlineStr">
        <is>
          <t>workers/scrapling/http_fetch.py</t>
        </is>
      </c>
      <c r="K524" s="3" t="inlineStr">
        <is>
          <t>Resposta infinita/comprimida maliciosa é interrompida sem esgotar recursos do Core.</t>
        </is>
      </c>
      <c r="L524" s="3" t="inlineStr">
        <is>
          <t>SL-S48-05</t>
        </is>
      </c>
      <c r="M524" s="3" t="inlineStr">
        <is>
          <t>R06; R08; R25; R30</t>
        </is>
      </c>
      <c r="N524" s="10" t="inlineStr">
        <is>
          <t>Não iniciado</t>
        </is>
      </c>
      <c r="O524" s="3" t="inlineStr">
        <is>
          <t>P0</t>
        </is>
      </c>
      <c r="P524" s="3" t="inlineStr">
        <is>
          <t>Crítico</t>
        </is>
      </c>
      <c r="Q524" s="3" t="inlineStr">
        <is>
          <t>Obrigatória no escopo da versão</t>
        </is>
      </c>
      <c r="R524" s="10" t="inlineStr">
        <is>
          <t>Autor + agente de IA</t>
        </is>
      </c>
      <c r="S524" s="10" t="inlineStr"/>
      <c r="T524" s="11" t="inlineStr"/>
      <c r="U524" s="3" t="inlineStr">
        <is>
          <t>reports/S48/SL-S48-06.md</t>
        </is>
      </c>
      <c r="V524" s="10" t="inlineStr"/>
      <c r="W524" s="10" t="inlineStr"/>
      <c r="X524" s="3">
        <f>IF(N524="Concluído",IF(AND(S524&lt;&gt;"",ISNUMBER(T524),T524&gt;0,V524&lt;&gt;"",AND(OR(X523="OK",X523="DISPENSADO"))),"OK","REVISAR"),IF(N524="Dispensado (ADR)",IF(AND(LEFT(Q524,11)="Condicional",W524&lt;&gt;"",S524&lt;&gt;"",ISNUMBER(T524),T524&gt;0,V524&lt;&gt;""),"DISPENSADO","REVISAR"),"PENDENTE"))</f>
        <v/>
      </c>
      <c r="Y524" s="10" t="inlineStr"/>
    </row>
    <row r="525" ht="112" customHeight="1">
      <c r="A525" s="3" t="n">
        <v>524</v>
      </c>
      <c r="B525" s="3" t="inlineStr">
        <is>
          <t>SL-S48-07</t>
        </is>
      </c>
      <c r="C525" s="9" t="inlineStr">
        <is>
          <t>v0.9.0</t>
        </is>
      </c>
      <c r="D525" s="9" t="inlineStr">
        <is>
          <t>S48</t>
        </is>
      </c>
      <c r="E525" s="3" t="inlineStr">
        <is>
          <t>Scrapling / WebFetchProvider</t>
        </is>
      </c>
      <c r="F525" s="3" t="inlineStr">
        <is>
          <t>Desconstrução</t>
        </is>
      </c>
      <c r="G525" s="3" t="inlineStr">
        <is>
          <t>Implementação</t>
        </is>
      </c>
      <c r="H525" s="3" t="inlineStr">
        <is>
          <t>Integrar sessões restritas</t>
        </is>
      </c>
      <c r="I525" s="3" t="inlineStr">
        <is>
          <t>Isolar cookies/credenciais por contexto e não herdar perfil pessoal do navegador.</t>
        </is>
      </c>
      <c r="J525" s="3" t="inlineStr">
        <is>
          <t>workers/scrapling/sessions.py</t>
        </is>
      </c>
      <c r="K525" s="3" t="inlineStr">
        <is>
          <t>Pesquisa pública não ganha cookies de outros workspaces ou da sessão do usuário.</t>
        </is>
      </c>
      <c r="L525" s="3" t="inlineStr">
        <is>
          <t>SL-S48-06</t>
        </is>
      </c>
      <c r="M525" s="3" t="inlineStr">
        <is>
          <t>R06; R08; R25; R30</t>
        </is>
      </c>
      <c r="N525" s="10" t="inlineStr">
        <is>
          <t>Não iniciado</t>
        </is>
      </c>
      <c r="O525" s="3" t="inlineStr">
        <is>
          <t>P0</t>
        </is>
      </c>
      <c r="P525" s="3" t="inlineStr">
        <is>
          <t>Crítico</t>
        </is>
      </c>
      <c r="Q525" s="3" t="inlineStr">
        <is>
          <t>Obrigatória no escopo da versão</t>
        </is>
      </c>
      <c r="R525" s="10" t="inlineStr">
        <is>
          <t>Autor + agente de IA</t>
        </is>
      </c>
      <c r="S525" s="10" t="inlineStr"/>
      <c r="T525" s="11" t="inlineStr"/>
      <c r="U525" s="3" t="inlineStr">
        <is>
          <t>reports/S48/SL-S48-07.md</t>
        </is>
      </c>
      <c r="V525" s="10" t="inlineStr"/>
      <c r="W525" s="10" t="inlineStr"/>
      <c r="X525" s="3">
        <f>IF(N525="Concluído",IF(AND(S525&lt;&gt;"",ISNUMBER(T525),T525&gt;0,V525&lt;&gt;"",AND(OR(X524="OK",X524="DISPENSADO"))),"OK","REVISAR"),IF(N525="Dispensado (ADR)",IF(AND(LEFT(Q525,11)="Condicional",W525&lt;&gt;"",S525&lt;&gt;"",ISNUMBER(T525),T525&gt;0,V525&lt;&gt;""),"DISPENSADO","REVISAR"),"PENDENTE"))</f>
        <v/>
      </c>
      <c r="Y525" s="10" t="inlineStr"/>
    </row>
    <row r="526" ht="112" customHeight="1">
      <c r="A526" s="3" t="n">
        <v>525</v>
      </c>
      <c r="B526" s="3" t="inlineStr">
        <is>
          <t>SL-S48-08</t>
        </is>
      </c>
      <c r="C526" s="9" t="inlineStr">
        <is>
          <t>v0.9.0</t>
        </is>
      </c>
      <c r="D526" s="9" t="inlineStr">
        <is>
          <t>S48</t>
        </is>
      </c>
      <c r="E526" s="3" t="inlineStr">
        <is>
          <t>Scrapling / WebFetchProvider</t>
        </is>
      </c>
      <c r="F526" s="3" t="inlineStr">
        <is>
          <t>Desconstrução</t>
        </is>
      </c>
      <c r="G526" s="3" t="inlineStr">
        <is>
          <t>Implementação</t>
        </is>
      </c>
      <c r="H526" s="3" t="inlineStr">
        <is>
          <t>Encaminhar conteúdo adquirido</t>
        </is>
      </c>
      <c r="I526" s="3" t="inlineStr">
        <is>
          <t>Enviar HTML ao normalizador e arquivos ao Ingest por propostas validadas.</t>
        </is>
      </c>
      <c r="J526" s="3" t="inlineStr">
        <is>
          <t>crates/web/src/fetch_pipeline.rs</t>
        </is>
      </c>
      <c r="K526" s="3" t="inlineStr">
        <is>
          <t>Worker não grava snapshots diretamente na área canônica.</t>
        </is>
      </c>
      <c r="L526" s="3" t="inlineStr">
        <is>
          <t>SL-S48-07</t>
        </is>
      </c>
      <c r="M526" s="3" t="inlineStr">
        <is>
          <t>R06; R08; R25; R30</t>
        </is>
      </c>
      <c r="N526" s="10" t="inlineStr">
        <is>
          <t>Não iniciado</t>
        </is>
      </c>
      <c r="O526" s="3" t="inlineStr">
        <is>
          <t>P0</t>
        </is>
      </c>
      <c r="P526" s="3" t="inlineStr">
        <is>
          <t>Crítico</t>
        </is>
      </c>
      <c r="Q526" s="3" t="inlineStr">
        <is>
          <t>Obrigatória no escopo da versão</t>
        </is>
      </c>
      <c r="R526" s="10" t="inlineStr">
        <is>
          <t>Autor + agente de IA</t>
        </is>
      </c>
      <c r="S526" s="10" t="inlineStr"/>
      <c r="T526" s="11" t="inlineStr"/>
      <c r="U526" s="3" t="inlineStr">
        <is>
          <t>reports/S48/SL-S48-08.md</t>
        </is>
      </c>
      <c r="V526" s="10" t="inlineStr"/>
      <c r="W526" s="10" t="inlineStr"/>
      <c r="X526" s="3">
        <f>IF(N526="Concluído",IF(AND(S526&lt;&gt;"",ISNUMBER(T526),T526&gt;0,V526&lt;&gt;"",AND(OR(X525="OK",X525="DISPENSADO"))),"OK","REVISAR"),IF(N526="Dispensado (ADR)",IF(AND(LEFT(Q526,11)="Condicional",W526&lt;&gt;"",S526&lt;&gt;"",ISNUMBER(T526),T526&gt;0,V526&lt;&gt;""),"DISPENSADO","REVISAR"),"PENDENTE"))</f>
        <v/>
      </c>
      <c r="Y526" s="10" t="inlineStr"/>
    </row>
    <row r="527" ht="112" customHeight="1">
      <c r="A527" s="3" t="n">
        <v>526</v>
      </c>
      <c r="B527" s="3" t="inlineStr">
        <is>
          <t>SL-S48-09</t>
        </is>
      </c>
      <c r="C527" s="9" t="inlineStr">
        <is>
          <t>v0.9.0</t>
        </is>
      </c>
      <c r="D527" s="9" t="inlineStr">
        <is>
          <t>S48</t>
        </is>
      </c>
      <c r="E527" s="3" t="inlineStr">
        <is>
          <t>Scrapling / WebFetchProvider</t>
        </is>
      </c>
      <c r="F527" s="3" t="inlineStr">
        <is>
          <t>Desconstrução</t>
        </is>
      </c>
      <c r="G527" s="3" t="inlineStr">
        <is>
          <t>Teste</t>
        </is>
      </c>
      <c r="H527" s="3" t="inlineStr">
        <is>
          <t>Exercitar corpus de rede hostil</t>
        </is>
      </c>
      <c r="I527" s="3" t="inlineStr">
        <is>
          <t>Simular rebinding/redirects, tipos enganosos, timeout e resposta excessiva.</t>
        </is>
      </c>
      <c r="J527" s="3" t="inlineStr">
        <is>
          <t>tests/web/http-security/</t>
        </is>
      </c>
      <c r="K527" s="3" t="inlineStr">
        <is>
          <t>Todas as exceções de destino são explicitamente autorizadas e auditáveis.</t>
        </is>
      </c>
      <c r="L527" s="3" t="inlineStr">
        <is>
          <t>SL-S48-08</t>
        </is>
      </c>
      <c r="M527" s="3" t="inlineStr">
        <is>
          <t>R06; R08; R25; R30</t>
        </is>
      </c>
      <c r="N527" s="10" t="inlineStr">
        <is>
          <t>Não iniciado</t>
        </is>
      </c>
      <c r="O527" s="3" t="inlineStr">
        <is>
          <t>P0</t>
        </is>
      </c>
      <c r="P527" s="3" t="inlineStr">
        <is>
          <t>Crítico</t>
        </is>
      </c>
      <c r="Q527" s="3" t="inlineStr">
        <is>
          <t>Obrigatória no escopo da versão</t>
        </is>
      </c>
      <c r="R527" s="10" t="inlineStr">
        <is>
          <t>Autor + agente de IA</t>
        </is>
      </c>
      <c r="S527" s="10" t="inlineStr"/>
      <c r="T527" s="11" t="inlineStr"/>
      <c r="U527" s="3" t="inlineStr">
        <is>
          <t>reports/S48/SL-S48-09.md</t>
        </is>
      </c>
      <c r="V527" s="10" t="inlineStr"/>
      <c r="W527" s="10" t="inlineStr"/>
      <c r="X527" s="3">
        <f>IF(N527="Concluído",IF(AND(S527&lt;&gt;"",ISNUMBER(T527),T527&gt;0,V527&lt;&gt;"",AND(OR(X526="OK",X526="DISPENSADO"))),"OK","REVISAR"),IF(N527="Dispensado (ADR)",IF(AND(LEFT(Q527,11)="Condicional",W527&lt;&gt;"",S527&lt;&gt;"",ISNUMBER(T527),T527&gt;0,V527&lt;&gt;""),"DISPENSADO","REVISAR"),"PENDENTE"))</f>
        <v/>
      </c>
      <c r="Y527" s="10" t="inlineStr"/>
    </row>
    <row r="528" ht="112" customHeight="1">
      <c r="A528" s="3" t="n">
        <v>527</v>
      </c>
      <c r="B528" s="3" t="inlineStr">
        <is>
          <t>SL-S48-10</t>
        </is>
      </c>
      <c r="C528" s="9" t="inlineStr">
        <is>
          <t>v0.9.0</t>
        </is>
      </c>
      <c r="D528" s="9" t="inlineStr">
        <is>
          <t>S48</t>
        </is>
      </c>
      <c r="E528" s="3" t="inlineStr">
        <is>
          <t>Scrapling / WebFetchProvider</t>
        </is>
      </c>
      <c r="F528" s="3" t="inlineStr">
        <is>
          <t>Desconstrução</t>
        </is>
      </c>
      <c r="G528" s="3" t="inlineStr">
        <is>
          <t>Teste</t>
        </is>
      </c>
      <c r="H528" s="3" t="inlineStr">
        <is>
          <t>Medir HTTP-first</t>
        </is>
      </c>
      <c r="I528" s="3" t="inlineStr">
        <is>
          <t>Comparar sucesso/falha/custo no corpus permitido sem prometer taxa universal.</t>
        </is>
      </c>
      <c r="J528" s="3" t="inlineStr">
        <is>
          <t>reports/scrapling/http-eval.json</t>
        </is>
      </c>
      <c r="K528" s="3" t="inlineStr">
        <is>
          <t>Falhas são exibidas; não se declara resolver 85% da web sem evidência correspondente.</t>
        </is>
      </c>
      <c r="L528" s="3" t="inlineStr">
        <is>
          <t>SL-S48-09</t>
        </is>
      </c>
      <c r="M528" s="3" t="inlineStr">
        <is>
          <t>R06; R08; R25; R30</t>
        </is>
      </c>
      <c r="N528" s="10" t="inlineStr">
        <is>
          <t>Não iniciado</t>
        </is>
      </c>
      <c r="O528" s="3" t="inlineStr">
        <is>
          <t>P0</t>
        </is>
      </c>
      <c r="P528" s="3" t="inlineStr">
        <is>
          <t>Crítico</t>
        </is>
      </c>
      <c r="Q528" s="3" t="inlineStr">
        <is>
          <t>Obrigatória no escopo da versão</t>
        </is>
      </c>
      <c r="R528" s="10" t="inlineStr">
        <is>
          <t>Autor + agente de IA</t>
        </is>
      </c>
      <c r="S528" s="10" t="inlineStr"/>
      <c r="T528" s="11" t="inlineStr"/>
      <c r="U528" s="3" t="inlineStr">
        <is>
          <t>reports/S48/SL-S48-10.md</t>
        </is>
      </c>
      <c r="V528" s="10" t="inlineStr"/>
      <c r="W528" s="10" t="inlineStr"/>
      <c r="X528" s="3">
        <f>IF(N528="Concluído",IF(AND(S528&lt;&gt;"",ISNUMBER(T528),T528&gt;0,V528&lt;&gt;"",AND(OR(X527="OK",X527="DISPENSADO"))),"OK","REVISAR"),IF(N528="Dispensado (ADR)",IF(AND(LEFT(Q528,11)="Condicional",W528&lt;&gt;"",S528&lt;&gt;"",ISNUMBER(T528),T528&gt;0,V528&lt;&gt;""),"DISPENSADO","REVISAR"),"PENDENTE"))</f>
        <v/>
      </c>
      <c r="Y528" s="10" t="inlineStr"/>
    </row>
    <row r="529" ht="98" customHeight="1">
      <c r="A529" s="3" t="n">
        <v>528</v>
      </c>
      <c r="B529" s="12" t="inlineStr">
        <is>
          <t>SL-S48-GATE</t>
        </is>
      </c>
      <c r="C529" s="9" t="inlineStr">
        <is>
          <t>v0.9.0</t>
        </is>
      </c>
      <c r="D529" s="9" t="inlineStr">
        <is>
          <t>S48</t>
        </is>
      </c>
      <c r="E529" s="3" t="inlineStr">
        <is>
          <t>Scrapling / WebFetchProvider</t>
        </is>
      </c>
      <c r="F529" s="3" t="inlineStr">
        <is>
          <t>Aceite humano</t>
        </is>
      </c>
      <c r="G529" s="12" t="inlineStr">
        <is>
          <t>Gate</t>
        </is>
      </c>
      <c r="H529" s="12" t="inlineStr">
        <is>
          <t>Aceitar S48 — Integrar Scrapling no caminho HTTP</t>
        </is>
      </c>
      <c r="I529" s="3" t="inlineStr">
        <is>
          <t>Revisar as dez tarefas, executar a demonstração do sprint, confrontar critérios e registrar decisão go/no-go.</t>
        </is>
      </c>
      <c r="J529" s="3" t="inlineStr">
        <is>
          <t>reports/S48/acceptance.md</t>
        </is>
      </c>
      <c r="K529" s="3" t="inlineStr">
        <is>
          <t>Baixar página permitida e negar URL interna/redirect indevido em harness controlado. Todas as dependências aceitas; evidências vinculadas a revisão/ambiente; nenhum blocker de integridade/segurança.</t>
        </is>
      </c>
      <c r="L529" s="3" t="inlineStr">
        <is>
          <t>SL-S48-01; SL-S48-02; SL-S48-03; SL-S48-04; SL-S48-05; SL-S48-06; SL-S48-07; SL-S48-08; SL-S48-09; SL-S48-10</t>
        </is>
      </c>
      <c r="M529" s="3" t="inlineStr">
        <is>
          <t>R06; R08; R25; R30</t>
        </is>
      </c>
      <c r="N529" s="10" t="inlineStr">
        <is>
          <t>Não iniciado</t>
        </is>
      </c>
      <c r="O529" s="3" t="inlineStr">
        <is>
          <t>P0</t>
        </is>
      </c>
      <c r="P529" s="3" t="inlineStr">
        <is>
          <t>Crítico</t>
        </is>
      </c>
      <c r="Q529" s="3" t="inlineStr">
        <is>
          <t>Obrigatória para fechar a versão aprovada</t>
        </is>
      </c>
      <c r="R529" s="10" t="inlineStr">
        <is>
          <t>Autor</t>
        </is>
      </c>
      <c r="S529" s="10" t="inlineStr"/>
      <c r="T529" s="11" t="inlineStr"/>
      <c r="U529" s="3" t="inlineStr">
        <is>
          <t>reports/S48/acceptance.md</t>
        </is>
      </c>
      <c r="V529" s="10" t="inlineStr"/>
      <c r="W529" s="10" t="inlineStr"/>
      <c r="X529" s="3">
        <f>IF(N529="Concluído",IF(AND(S529&lt;&gt;"",ISNUMBER(T529),T529&gt;0,V529&lt;&gt;"",AND(OR(X519="OK",X519="DISPENSADO"),OR(X520="OK",X520="DISPENSADO"),OR(X521="OK",X521="DISPENSADO"),OR(X522="OK",X522="DISPENSADO"),OR(X523="OK",X523="DISPENSADO"),OR(X524="OK",X524="DISPENSADO"),OR(X525="OK",X525="DISPENSADO"),OR(X526="OK",X526="DISPENSADO"),OR(X527="OK",X527="DISPENSADO"),OR(X528="OK",X528="DISPENSADO"))),"OK","REVISAR"),IF(N529="Dispensado (ADR)",IF(AND(LEFT(Q529,11)="Condicional",W529&lt;&gt;"",S529&lt;&gt;"",ISNUMBER(T529),T529&gt;0,V529&lt;&gt;""),"DISPENSADO","REVISAR"),"PENDENTE"))</f>
        <v/>
      </c>
      <c r="Y529" s="10" t="inlineStr"/>
    </row>
    <row r="530" ht="112" customHeight="1">
      <c r="A530" s="3" t="n">
        <v>529</v>
      </c>
      <c r="B530" s="3" t="inlineStr">
        <is>
          <t>SL-S49-01</t>
        </is>
      </c>
      <c r="C530" s="9" t="inlineStr">
        <is>
          <t>v0.9.0</t>
        </is>
      </c>
      <c r="D530" s="9" t="inlineStr">
        <is>
          <t>S49</t>
        </is>
      </c>
      <c r="E530" s="3" t="inlineStr">
        <is>
          <t>Scrapling / browser</t>
        </is>
      </c>
      <c r="F530" s="3" t="inlineStr">
        <is>
          <t>Adaptação</t>
        </is>
      </c>
      <c r="G530" s="3" t="inlineStr">
        <is>
          <t>Decisão</t>
        </is>
      </c>
      <c r="H530" s="3" t="inlineStr">
        <is>
          <t>Definir critérios de escalada</t>
        </is>
      </c>
      <c r="I530" s="3" t="inlineStr">
        <is>
          <t>Escalar HTTP→browser por falha/tipo real, com consentimento e limites.</t>
        </is>
      </c>
      <c r="J530" s="3" t="inlineStr">
        <is>
          <t>docs/web/browser-policy.md</t>
        </is>
      </c>
      <c r="K530" s="3" t="inlineStr">
        <is>
          <t>Bloqueio não dispara downloads ou tentativas ilimitadas de bypass.</t>
        </is>
      </c>
      <c r="L530" s="3" t="inlineStr">
        <is>
          <t>SL-S24-GATE; SL-S25-GATE; SL-S26-GATE; SL-S48-GATE</t>
        </is>
      </c>
      <c r="M530" s="3" t="inlineStr">
        <is>
          <t>R01; R06; R08; R09; R25; R30</t>
        </is>
      </c>
      <c r="N530" s="10" t="inlineStr">
        <is>
          <t>Não iniciado</t>
        </is>
      </c>
      <c r="O530" s="3" t="inlineStr">
        <is>
          <t>P0</t>
        </is>
      </c>
      <c r="P530" s="3" t="inlineStr">
        <is>
          <t>Crítico</t>
        </is>
      </c>
      <c r="Q530" s="3" t="inlineStr">
        <is>
          <t>Obrigatória no escopo da versão</t>
        </is>
      </c>
      <c r="R530" s="10" t="inlineStr">
        <is>
          <t>Autor</t>
        </is>
      </c>
      <c r="S530" s="10" t="inlineStr"/>
      <c r="T530" s="11" t="inlineStr"/>
      <c r="U530" s="3" t="inlineStr">
        <is>
          <t>reports/S49/SL-S49-01.md</t>
        </is>
      </c>
      <c r="V530" s="10" t="inlineStr"/>
      <c r="W530" s="10" t="inlineStr"/>
      <c r="X530" s="3">
        <f>IF(N530="Concluído",IF(AND(S530&lt;&gt;"",ISNUMBER(T530),T530&gt;0,V530&lt;&gt;"",AND(OR(X265="OK",X265="DISPENSADO"),OR(X276="OK",X276="DISPENSADO"),OR(X287="OK",X287="DISPENSADO"),OR(X529="OK",X529="DISPENSADO"))),"OK","REVISAR"),IF(N530="Dispensado (ADR)",IF(AND(LEFT(Q530,11)="Condicional",W530&lt;&gt;"",S530&lt;&gt;"",ISNUMBER(T530),T530&gt;0,V530&lt;&gt;""),"DISPENSADO","REVISAR"),"PENDENTE"))</f>
        <v/>
      </c>
      <c r="Y530" s="10" t="inlineStr"/>
    </row>
    <row r="531" ht="112" customHeight="1">
      <c r="A531" s="3" t="n">
        <v>530</v>
      </c>
      <c r="B531" s="3" t="inlineStr">
        <is>
          <t>SL-S49-02</t>
        </is>
      </c>
      <c r="C531" s="9" t="inlineStr">
        <is>
          <t>v0.9.0</t>
        </is>
      </c>
      <c r="D531" s="9" t="inlineStr">
        <is>
          <t>S49</t>
        </is>
      </c>
      <c r="E531" s="3" t="inlineStr">
        <is>
          <t>Scrapling / browser</t>
        </is>
      </c>
      <c r="F531" s="3" t="inlineStr">
        <is>
          <t>Adaptação</t>
        </is>
      </c>
      <c r="G531" s="3" t="inlineStr">
        <is>
          <t>Implementação</t>
        </is>
      </c>
      <c r="H531" s="3" t="inlineStr">
        <is>
          <t>Provisionar browser homologado</t>
        </is>
      </c>
      <c r="I531" s="3" t="inlineStr">
        <is>
          <t>Fixar versão compatível com motor, assinatura/hash e artefatos por SO.</t>
        </is>
      </c>
      <c r="J531" s="3" t="inlineStr">
        <is>
          <t>browser/manifests/</t>
        </is>
      </c>
      <c r="K531" s="3" t="inlineStr">
        <is>
          <t>Instalação é consentida e verificável; browser não é baixado de URL fornecida pelo modelo.</t>
        </is>
      </c>
      <c r="L531" s="3" t="inlineStr">
        <is>
          <t>SL-S49-01</t>
        </is>
      </c>
      <c r="M531" s="3" t="inlineStr">
        <is>
          <t>R01; R06; R08; R09; R25; R30</t>
        </is>
      </c>
      <c r="N531" s="10" t="inlineStr">
        <is>
          <t>Não iniciado</t>
        </is>
      </c>
      <c r="O531" s="3" t="inlineStr">
        <is>
          <t>P0</t>
        </is>
      </c>
      <c r="P531" s="3" t="inlineStr">
        <is>
          <t>Crítico</t>
        </is>
      </c>
      <c r="Q531" s="3" t="inlineStr">
        <is>
          <t>Obrigatória no escopo da versão</t>
        </is>
      </c>
      <c r="R531" s="10" t="inlineStr">
        <is>
          <t>Autor + agente de IA</t>
        </is>
      </c>
      <c r="S531" s="10" t="inlineStr"/>
      <c r="T531" s="11" t="inlineStr"/>
      <c r="U531" s="3" t="inlineStr">
        <is>
          <t>reports/S49/SL-S49-02.md</t>
        </is>
      </c>
      <c r="V531" s="10" t="inlineStr"/>
      <c r="W531" s="10" t="inlineStr"/>
      <c r="X531" s="3">
        <f>IF(N531="Concluído",IF(AND(S531&lt;&gt;"",ISNUMBER(T531),T531&gt;0,V531&lt;&gt;"",AND(OR(X530="OK",X530="DISPENSADO"))),"OK","REVISAR"),IF(N531="Dispensado (ADR)",IF(AND(LEFT(Q531,11)="Condicional",W531&lt;&gt;"",S531&lt;&gt;"",ISNUMBER(T531),T531&gt;0,V531&lt;&gt;""),"DISPENSADO","REVISAR"),"PENDENTE"))</f>
        <v/>
      </c>
      <c r="Y531" s="10" t="inlineStr"/>
    </row>
    <row r="532" ht="112" customHeight="1">
      <c r="A532" s="3" t="n">
        <v>531</v>
      </c>
      <c r="B532" s="3" t="inlineStr">
        <is>
          <t>SL-S49-03</t>
        </is>
      </c>
      <c r="C532" s="9" t="inlineStr">
        <is>
          <t>v0.9.0</t>
        </is>
      </c>
      <c r="D532" s="9" t="inlineStr">
        <is>
          <t>S49</t>
        </is>
      </c>
      <c r="E532" s="3" t="inlineStr">
        <is>
          <t>Scrapling / browser</t>
        </is>
      </c>
      <c r="F532" s="3" t="inlineStr">
        <is>
          <t>Adaptação</t>
        </is>
      </c>
      <c r="G532" s="3" t="inlineStr">
        <is>
          <t>Implementação</t>
        </is>
      </c>
      <c r="H532" s="3" t="inlineStr">
        <is>
          <t>Criar sessão efêmera</t>
        </is>
      </c>
      <c r="I532" s="3" t="inlineStr">
        <is>
          <t>Isolar profile, cache, cookies e downloads por tarefa ou escopo aprovado.</t>
        </is>
      </c>
      <c r="J532" s="3" t="inlineStr">
        <is>
          <t>workers/scrapling/browser_session.py</t>
        </is>
      </c>
      <c r="K532" s="3" t="inlineStr">
        <is>
          <t>Perfil pessoal e segredos locais não são compartilhados.</t>
        </is>
      </c>
      <c r="L532" s="3" t="inlineStr">
        <is>
          <t>SL-S49-02</t>
        </is>
      </c>
      <c r="M532" s="3" t="inlineStr">
        <is>
          <t>R01; R06; R08; R09; R25; R30</t>
        </is>
      </c>
      <c r="N532" s="10" t="inlineStr">
        <is>
          <t>Não iniciado</t>
        </is>
      </c>
      <c r="O532" s="3" t="inlineStr">
        <is>
          <t>P0</t>
        </is>
      </c>
      <c r="P532" s="3" t="inlineStr">
        <is>
          <t>Crítico</t>
        </is>
      </c>
      <c r="Q532" s="3" t="inlineStr">
        <is>
          <t>Obrigatória no escopo da versão</t>
        </is>
      </c>
      <c r="R532" s="10" t="inlineStr">
        <is>
          <t>Autor + agente de IA</t>
        </is>
      </c>
      <c r="S532" s="10" t="inlineStr"/>
      <c r="T532" s="11" t="inlineStr"/>
      <c r="U532" s="3" t="inlineStr">
        <is>
          <t>reports/S49/SL-S49-03.md</t>
        </is>
      </c>
      <c r="V532" s="10" t="inlineStr"/>
      <c r="W532" s="10" t="inlineStr"/>
      <c r="X532" s="3">
        <f>IF(N532="Concluído",IF(AND(S532&lt;&gt;"",ISNUMBER(T532),T532&gt;0,V532&lt;&gt;"",AND(OR(X531="OK",X531="DISPENSADO"))),"OK","REVISAR"),IF(N532="Dispensado (ADR)",IF(AND(LEFT(Q532,11)="Condicional",W532&lt;&gt;"",S532&lt;&gt;"",ISNUMBER(T532),T532&gt;0,V532&lt;&gt;""),"DISPENSADO","REVISAR"),"PENDENTE"))</f>
        <v/>
      </c>
      <c r="Y532" s="10" t="inlineStr"/>
    </row>
    <row r="533" ht="112" customHeight="1">
      <c r="A533" s="3" t="n">
        <v>532</v>
      </c>
      <c r="B533" s="3" t="inlineStr">
        <is>
          <t>SL-S49-04</t>
        </is>
      </c>
      <c r="C533" s="9" t="inlineStr">
        <is>
          <t>v0.9.0</t>
        </is>
      </c>
      <c r="D533" s="9" t="inlineStr">
        <is>
          <t>S49</t>
        </is>
      </c>
      <c r="E533" s="3" t="inlineStr">
        <is>
          <t>Scrapling / browser</t>
        </is>
      </c>
      <c r="F533" s="3" t="inlineStr">
        <is>
          <t>Adaptação</t>
        </is>
      </c>
      <c r="G533" s="3" t="inlineStr">
        <is>
          <t>Implementação</t>
        </is>
      </c>
      <c r="H533" s="3" t="inlineStr">
        <is>
          <t>Aplicar contenção real</t>
        </is>
      </c>
      <c r="I533" s="3" t="inlineStr">
        <is>
          <t>Conectar perfis por SO à árvore multiprocesso do navegador.</t>
        </is>
      </c>
      <c r="J533" s="3" t="inlineStr">
        <is>
          <t>workers/scrapling/browser_sandbox.py</t>
        </is>
      </c>
      <c r="K533" s="3" t="inlineStr">
        <is>
          <t>Não se usa no-sandbox como correção silenciosa; capacidade indisponível permanece bloqueada.</t>
        </is>
      </c>
      <c r="L533" s="3" t="inlineStr">
        <is>
          <t>SL-S49-03</t>
        </is>
      </c>
      <c r="M533" s="3" t="inlineStr">
        <is>
          <t>R01; R06; R08; R09; R25; R30</t>
        </is>
      </c>
      <c r="N533" s="10" t="inlineStr">
        <is>
          <t>Não iniciado</t>
        </is>
      </c>
      <c r="O533" s="3" t="inlineStr">
        <is>
          <t>P0</t>
        </is>
      </c>
      <c r="P533" s="3" t="inlineStr">
        <is>
          <t>Crítico</t>
        </is>
      </c>
      <c r="Q533" s="3" t="inlineStr">
        <is>
          <t>Obrigatória no escopo da versão</t>
        </is>
      </c>
      <c r="R533" s="10" t="inlineStr">
        <is>
          <t>Autor + agente de IA</t>
        </is>
      </c>
      <c r="S533" s="10" t="inlineStr"/>
      <c r="T533" s="11" t="inlineStr"/>
      <c r="U533" s="3" t="inlineStr">
        <is>
          <t>reports/S49/SL-S49-04.md</t>
        </is>
      </c>
      <c r="V533" s="10" t="inlineStr"/>
      <c r="W533" s="10" t="inlineStr"/>
      <c r="X533" s="3">
        <f>IF(N533="Concluído",IF(AND(S533&lt;&gt;"",ISNUMBER(T533),T533&gt;0,V533&lt;&gt;"",AND(OR(X532="OK",X532="DISPENSADO"))),"OK","REVISAR"),IF(N533="Dispensado (ADR)",IF(AND(LEFT(Q533,11)="Condicional",W533&lt;&gt;"",S533&lt;&gt;"",ISNUMBER(T533),T533&gt;0,V533&lt;&gt;""),"DISPENSADO","REVISAR"),"PENDENTE"))</f>
        <v/>
      </c>
      <c r="Y533" s="10" t="inlineStr"/>
    </row>
    <row r="534" ht="112" customHeight="1">
      <c r="A534" s="3" t="n">
        <v>533</v>
      </c>
      <c r="B534" s="3" t="inlineStr">
        <is>
          <t>SL-S49-05</t>
        </is>
      </c>
      <c r="C534" s="9" t="inlineStr">
        <is>
          <t>v0.9.0</t>
        </is>
      </c>
      <c r="D534" s="9" t="inlineStr">
        <is>
          <t>S49</t>
        </is>
      </c>
      <c r="E534" s="3" t="inlineStr">
        <is>
          <t>Scrapling / browser</t>
        </is>
      </c>
      <c r="F534" s="3" t="inlineStr">
        <is>
          <t>Adaptação</t>
        </is>
      </c>
      <c r="G534" s="3" t="inlineStr">
        <is>
          <t>Implementação</t>
        </is>
      </c>
      <c r="H534" s="3" t="inlineStr">
        <is>
          <t>Controlar requisições do browser</t>
        </is>
      </c>
      <c r="I534" s="3" t="inlineStr">
        <is>
          <t>Abranger frames, subresources, WebSockets e redirecionamentos relevantes.</t>
        </is>
      </c>
      <c r="J534" s="3" t="inlineStr">
        <is>
          <t>workers/scrapling/browser_network.py</t>
        </is>
      </c>
      <c r="K534" s="3" t="inlineStr">
        <is>
          <t>JavaScript da página não alcança LocalAI/SearxNG privados nem redes proibidas por caminho alternativo.</t>
        </is>
      </c>
      <c r="L534" s="3" t="inlineStr">
        <is>
          <t>SL-S49-04</t>
        </is>
      </c>
      <c r="M534" s="3" t="inlineStr">
        <is>
          <t>R01; R06; R08; R09; R25; R30</t>
        </is>
      </c>
      <c r="N534" s="10" t="inlineStr">
        <is>
          <t>Não iniciado</t>
        </is>
      </c>
      <c r="O534" s="3" t="inlineStr">
        <is>
          <t>P0</t>
        </is>
      </c>
      <c r="P534" s="3" t="inlineStr">
        <is>
          <t>Crítico</t>
        </is>
      </c>
      <c r="Q534" s="3" t="inlineStr">
        <is>
          <t>Obrigatória no escopo da versão</t>
        </is>
      </c>
      <c r="R534" s="10" t="inlineStr">
        <is>
          <t>Autor + agente de IA</t>
        </is>
      </c>
      <c r="S534" s="10" t="inlineStr"/>
      <c r="T534" s="11" t="inlineStr"/>
      <c r="U534" s="3" t="inlineStr">
        <is>
          <t>reports/S49/SL-S49-05.md</t>
        </is>
      </c>
      <c r="V534" s="10" t="inlineStr"/>
      <c r="W534" s="10" t="inlineStr"/>
      <c r="X534" s="3">
        <f>IF(N534="Concluído",IF(AND(S534&lt;&gt;"",ISNUMBER(T534),T534&gt;0,V534&lt;&gt;"",AND(OR(X533="OK",X533="DISPENSADO"))),"OK","REVISAR"),IF(N534="Dispensado (ADR)",IF(AND(LEFT(Q534,11)="Condicional",W534&lt;&gt;"",S534&lt;&gt;"",ISNUMBER(T534),T534&gt;0,V534&lt;&gt;""),"DISPENSADO","REVISAR"),"PENDENTE"))</f>
        <v/>
      </c>
      <c r="Y534" s="10" t="inlineStr"/>
    </row>
    <row r="535" ht="112" customHeight="1">
      <c r="A535" s="3" t="n">
        <v>534</v>
      </c>
      <c r="B535" s="3" t="inlineStr">
        <is>
          <t>SL-S49-06</t>
        </is>
      </c>
      <c r="C535" s="9" t="inlineStr">
        <is>
          <t>v0.9.0</t>
        </is>
      </c>
      <c r="D535" s="9" t="inlineStr">
        <is>
          <t>S49</t>
        </is>
      </c>
      <c r="E535" s="3" t="inlineStr">
        <is>
          <t>Scrapling / browser</t>
        </is>
      </c>
      <c r="F535" s="3" t="inlineStr">
        <is>
          <t>Adaptação</t>
        </is>
      </c>
      <c r="G535" s="3" t="inlineStr">
        <is>
          <t>Implementação</t>
        </is>
      </c>
      <c r="H535" s="3" t="inlineStr">
        <is>
          <t>Capturar DOM e estado</t>
        </is>
      </c>
      <c r="I535" s="3" t="inlineStr">
        <is>
          <t>Definir condição de prontidão, timeout e resultado parcial.</t>
        </is>
      </c>
      <c r="J535" s="3" t="inlineStr">
        <is>
          <t>workers/scrapling/dynamic_fetch.py</t>
        </is>
      </c>
      <c r="K535" s="3" t="inlineStr">
        <is>
          <t>Espera por network idle não pode bloquear indefinidamente em página que mantém conexões.</t>
        </is>
      </c>
      <c r="L535" s="3" t="inlineStr">
        <is>
          <t>SL-S49-05</t>
        </is>
      </c>
      <c r="M535" s="3" t="inlineStr">
        <is>
          <t>R01; R06; R08; R09; R25; R30</t>
        </is>
      </c>
      <c r="N535" s="10" t="inlineStr">
        <is>
          <t>Não iniciado</t>
        </is>
      </c>
      <c r="O535" s="3" t="inlineStr">
        <is>
          <t>P0</t>
        </is>
      </c>
      <c r="P535" s="3" t="inlineStr">
        <is>
          <t>Crítico</t>
        </is>
      </c>
      <c r="Q535" s="3" t="inlineStr">
        <is>
          <t>Obrigatória no escopo da versão</t>
        </is>
      </c>
      <c r="R535" s="10" t="inlineStr">
        <is>
          <t>Autor + agente de IA</t>
        </is>
      </c>
      <c r="S535" s="10" t="inlineStr"/>
      <c r="T535" s="11" t="inlineStr"/>
      <c r="U535" s="3" t="inlineStr">
        <is>
          <t>reports/S49/SL-S49-06.md</t>
        </is>
      </c>
      <c r="V535" s="10" t="inlineStr"/>
      <c r="W535" s="10" t="inlineStr"/>
      <c r="X535" s="3">
        <f>IF(N535="Concluído",IF(AND(S535&lt;&gt;"",ISNUMBER(T535),T535&gt;0,V535&lt;&gt;"",AND(OR(X534="OK",X534="DISPENSADO"))),"OK","REVISAR"),IF(N535="Dispensado (ADR)",IF(AND(LEFT(Q535,11)="Condicional",W535&lt;&gt;"",S535&lt;&gt;"",ISNUMBER(T535),T535&gt;0,V535&lt;&gt;""),"DISPENSADO","REVISAR"),"PENDENTE"))</f>
        <v/>
      </c>
      <c r="Y535" s="10" t="inlineStr"/>
    </row>
    <row r="536" ht="112" customHeight="1">
      <c r="A536" s="3" t="n">
        <v>535</v>
      </c>
      <c r="B536" s="3" t="inlineStr">
        <is>
          <t>SL-S49-07</t>
        </is>
      </c>
      <c r="C536" s="9" t="inlineStr">
        <is>
          <t>v0.9.0</t>
        </is>
      </c>
      <c r="D536" s="9" t="inlineStr">
        <is>
          <t>S49</t>
        </is>
      </c>
      <c r="E536" s="3" t="inlineStr">
        <is>
          <t>Scrapling / browser</t>
        </is>
      </c>
      <c r="F536" s="3" t="inlineStr">
        <is>
          <t>Adaptação</t>
        </is>
      </c>
      <c r="G536" s="3" t="inlineStr">
        <is>
          <t>Implementação</t>
        </is>
      </c>
      <c r="H536" s="3" t="inlineStr">
        <is>
          <t>Controlar downloads/ações</t>
        </is>
      </c>
      <c r="I536" s="3" t="inlineStr">
        <is>
          <t>Permitir somente aquisição aprovada, sem upload, shell ou automação de contas.</t>
        </is>
      </c>
      <c r="J536" s="3" t="inlineStr">
        <is>
          <t>workers/scrapling/browser_actions.py</t>
        </is>
      </c>
      <c r="K536" s="3" t="inlineStr">
        <is>
          <t>Conteúdo remoto não solicita acesso ao Vault ou credenciais por tool call.</t>
        </is>
      </c>
      <c r="L536" s="3" t="inlineStr">
        <is>
          <t>SL-S49-06</t>
        </is>
      </c>
      <c r="M536" s="3" t="inlineStr">
        <is>
          <t>R01; R06; R08; R09; R25; R30</t>
        </is>
      </c>
      <c r="N536" s="10" t="inlineStr">
        <is>
          <t>Não iniciado</t>
        </is>
      </c>
      <c r="O536" s="3" t="inlineStr">
        <is>
          <t>P0</t>
        </is>
      </c>
      <c r="P536" s="3" t="inlineStr">
        <is>
          <t>Crítico</t>
        </is>
      </c>
      <c r="Q536" s="3" t="inlineStr">
        <is>
          <t>Obrigatória no escopo da versão</t>
        </is>
      </c>
      <c r="R536" s="10" t="inlineStr">
        <is>
          <t>Autor + agente de IA</t>
        </is>
      </c>
      <c r="S536" s="10" t="inlineStr"/>
      <c r="T536" s="11" t="inlineStr"/>
      <c r="U536" s="3" t="inlineStr">
        <is>
          <t>reports/S49/SL-S49-07.md</t>
        </is>
      </c>
      <c r="V536" s="10" t="inlineStr"/>
      <c r="W536" s="10" t="inlineStr"/>
      <c r="X536" s="3">
        <f>IF(N536="Concluído",IF(AND(S536&lt;&gt;"",ISNUMBER(T536),T536&gt;0,V536&lt;&gt;"",AND(OR(X535="OK",X535="DISPENSADO"))),"OK","REVISAR"),IF(N536="Dispensado (ADR)",IF(AND(LEFT(Q536,11)="Condicional",W536&lt;&gt;"",S536&lt;&gt;"",ISNUMBER(T536),T536&gt;0,V536&lt;&gt;""),"DISPENSADO","REVISAR"),"PENDENTE"))</f>
        <v/>
      </c>
      <c r="Y536" s="10" t="inlineStr"/>
    </row>
    <row r="537" ht="112" customHeight="1">
      <c r="A537" s="3" t="n">
        <v>536</v>
      </c>
      <c r="B537" s="3" t="inlineStr">
        <is>
          <t>SL-S49-08</t>
        </is>
      </c>
      <c r="C537" s="9" t="inlineStr">
        <is>
          <t>v0.9.0</t>
        </is>
      </c>
      <c r="D537" s="9" t="inlineStr">
        <is>
          <t>S49</t>
        </is>
      </c>
      <c r="E537" s="3" t="inlineStr">
        <is>
          <t>Scrapling / browser</t>
        </is>
      </c>
      <c r="F537" s="3" t="inlineStr">
        <is>
          <t>Adaptação</t>
        </is>
      </c>
      <c r="G537" s="3" t="inlineStr">
        <is>
          <t>Implementação</t>
        </is>
      </c>
      <c r="H537" s="3" t="inlineStr">
        <is>
          <t>Compartilhar pool limitado</t>
        </is>
      </c>
      <c r="I537" s="3" t="inlineStr">
        <is>
          <t>Reusar recursos quando seguro e fechar sessões ociosas.</t>
        </is>
      </c>
      <c r="J537" s="3" t="inlineStr">
        <is>
          <t>crates/web/src/browser_pool.rs</t>
        </is>
      </c>
      <c r="K537" s="3" t="inlineStr">
        <is>
          <t>Número de widgets não cria número igual de browsers persistentes.</t>
        </is>
      </c>
      <c r="L537" s="3" t="inlineStr">
        <is>
          <t>SL-S49-07</t>
        </is>
      </c>
      <c r="M537" s="3" t="inlineStr">
        <is>
          <t>R01; R06; R08; R09; R25; R30</t>
        </is>
      </c>
      <c r="N537" s="10" t="inlineStr">
        <is>
          <t>Não iniciado</t>
        </is>
      </c>
      <c r="O537" s="3" t="inlineStr">
        <is>
          <t>P0</t>
        </is>
      </c>
      <c r="P537" s="3" t="inlineStr">
        <is>
          <t>Crítico</t>
        </is>
      </c>
      <c r="Q537" s="3" t="inlineStr">
        <is>
          <t>Obrigatória no escopo da versão</t>
        </is>
      </c>
      <c r="R537" s="10" t="inlineStr">
        <is>
          <t>Autor + agente de IA</t>
        </is>
      </c>
      <c r="S537" s="10" t="inlineStr"/>
      <c r="T537" s="11" t="inlineStr"/>
      <c r="U537" s="3" t="inlineStr">
        <is>
          <t>reports/S49/SL-S49-08.md</t>
        </is>
      </c>
      <c r="V537" s="10" t="inlineStr"/>
      <c r="W537" s="10" t="inlineStr"/>
      <c r="X537" s="3">
        <f>IF(N537="Concluído",IF(AND(S537&lt;&gt;"",ISNUMBER(T537),T537&gt;0,V537&lt;&gt;"",AND(OR(X536="OK",X536="DISPENSADO"))),"OK","REVISAR"),IF(N537="Dispensado (ADR)",IF(AND(LEFT(Q537,11)="Condicional",W537&lt;&gt;"",S537&lt;&gt;"",ISNUMBER(T537),T537&gt;0,V537&lt;&gt;""),"DISPENSADO","REVISAR"),"PENDENTE"))</f>
        <v/>
      </c>
      <c r="Y537" s="10" t="inlineStr"/>
    </row>
    <row r="538" ht="112" customHeight="1">
      <c r="A538" s="3" t="n">
        <v>537</v>
      </c>
      <c r="B538" s="3" t="inlineStr">
        <is>
          <t>SL-S49-09</t>
        </is>
      </c>
      <c r="C538" s="9" t="inlineStr">
        <is>
          <t>v0.9.0</t>
        </is>
      </c>
      <c r="D538" s="9" t="inlineStr">
        <is>
          <t>S49</t>
        </is>
      </c>
      <c r="E538" s="3" t="inlineStr">
        <is>
          <t>Scrapling / browser</t>
        </is>
      </c>
      <c r="F538" s="3" t="inlineStr">
        <is>
          <t>Adaptação</t>
        </is>
      </c>
      <c r="G538" s="3" t="inlineStr">
        <is>
          <t>Teste</t>
        </is>
      </c>
      <c r="H538" s="3" t="inlineStr">
        <is>
          <t>Testar páginas hostis e crash</t>
        </is>
      </c>
      <c r="I538" s="3" t="inlineStr">
        <is>
          <t>Simular popup, arquivo de download, loop JS, processo filho e rede interna.</t>
        </is>
      </c>
      <c r="J538" s="3" t="inlineStr">
        <is>
          <t>tests/web/browser-security/</t>
        </is>
      </c>
      <c r="K538" s="3" t="inlineStr">
        <is>
          <t>Cancelar mata a árvore autorizada e preserva somente resultados validados.</t>
        </is>
      </c>
      <c r="L538" s="3" t="inlineStr">
        <is>
          <t>SL-S49-08</t>
        </is>
      </c>
      <c r="M538" s="3" t="inlineStr">
        <is>
          <t>R01; R06; R08; R09; R25; R30</t>
        </is>
      </c>
      <c r="N538" s="10" t="inlineStr">
        <is>
          <t>Não iniciado</t>
        </is>
      </c>
      <c r="O538" s="3" t="inlineStr">
        <is>
          <t>P0</t>
        </is>
      </c>
      <c r="P538" s="3" t="inlineStr">
        <is>
          <t>Crítico</t>
        </is>
      </c>
      <c r="Q538" s="3" t="inlineStr">
        <is>
          <t>Obrigatória no escopo da versão</t>
        </is>
      </c>
      <c r="R538" s="10" t="inlineStr">
        <is>
          <t>Autor + agente de IA</t>
        </is>
      </c>
      <c r="S538" s="10" t="inlineStr"/>
      <c r="T538" s="11" t="inlineStr"/>
      <c r="U538" s="3" t="inlineStr">
        <is>
          <t>reports/S49/SL-S49-09.md</t>
        </is>
      </c>
      <c r="V538" s="10" t="inlineStr"/>
      <c r="W538" s="10" t="inlineStr"/>
      <c r="X538" s="3">
        <f>IF(N538="Concluído",IF(AND(S538&lt;&gt;"",ISNUMBER(T538),T538&gt;0,V538&lt;&gt;"",AND(OR(X537="OK",X537="DISPENSADO"))),"OK","REVISAR"),IF(N538="Dispensado (ADR)",IF(AND(LEFT(Q538,11)="Condicional",W538&lt;&gt;"",S538&lt;&gt;"",ISNUMBER(T538),T538&gt;0,V538&lt;&gt;""),"DISPENSADO","REVISAR"),"PENDENTE"))</f>
        <v/>
      </c>
      <c r="Y538" s="10" t="inlineStr"/>
    </row>
    <row r="539" ht="112" customHeight="1">
      <c r="A539" s="3" t="n">
        <v>538</v>
      </c>
      <c r="B539" s="3" t="inlineStr">
        <is>
          <t>SL-S49-10</t>
        </is>
      </c>
      <c r="C539" s="9" t="inlineStr">
        <is>
          <t>v0.9.0</t>
        </is>
      </c>
      <c r="D539" s="9" t="inlineStr">
        <is>
          <t>S49</t>
        </is>
      </c>
      <c r="E539" s="3" t="inlineStr">
        <is>
          <t>Scrapling / browser</t>
        </is>
      </c>
      <c r="F539" s="3" t="inlineStr">
        <is>
          <t>Adaptação</t>
        </is>
      </c>
      <c r="G539" s="3" t="inlineStr">
        <is>
          <t>Teste</t>
        </is>
      </c>
      <c r="H539" s="3" t="inlineStr">
        <is>
          <t>Homologar consumo por plataforma</t>
        </is>
      </c>
      <c r="I539" s="3" t="inlineStr">
        <is>
          <t>Medir pico/idle e suporte das capacidades em alvos reais.</t>
        </is>
      </c>
      <c r="J539" s="3" t="inlineStr">
        <is>
          <t>reports/browser/qualification.json</t>
        </is>
      </c>
      <c r="K539" s="3" t="inlineStr">
        <is>
          <t>Capacidade só é liberada onde sandbox e budgets do perfil foram aprovados.</t>
        </is>
      </c>
      <c r="L539" s="3" t="inlineStr">
        <is>
          <t>SL-S49-09</t>
        </is>
      </c>
      <c r="M539" s="3" t="inlineStr">
        <is>
          <t>R01; R06; R08; R09; R25; R30</t>
        </is>
      </c>
      <c r="N539" s="10" t="inlineStr">
        <is>
          <t>Não iniciado</t>
        </is>
      </c>
      <c r="O539" s="3" t="inlineStr">
        <is>
          <t>P0</t>
        </is>
      </c>
      <c r="P539" s="3" t="inlineStr">
        <is>
          <t>Crítico</t>
        </is>
      </c>
      <c r="Q539" s="3" t="inlineStr">
        <is>
          <t>Obrigatória no escopo da versão</t>
        </is>
      </c>
      <c r="R539" s="10" t="inlineStr">
        <is>
          <t>Autor + agente de IA</t>
        </is>
      </c>
      <c r="S539" s="10" t="inlineStr"/>
      <c r="T539" s="11" t="inlineStr"/>
      <c r="U539" s="3" t="inlineStr">
        <is>
          <t>reports/S49/SL-S49-10.md</t>
        </is>
      </c>
      <c r="V539" s="10" t="inlineStr"/>
      <c r="W539" s="10" t="inlineStr"/>
      <c r="X539" s="3">
        <f>IF(N539="Concluído",IF(AND(S539&lt;&gt;"",ISNUMBER(T539),T539&gt;0,V539&lt;&gt;"",AND(OR(X538="OK",X538="DISPENSADO"))),"OK","REVISAR"),IF(N539="Dispensado (ADR)",IF(AND(LEFT(Q539,11)="Condicional",W539&lt;&gt;"",S539&lt;&gt;"",ISNUMBER(T539),T539&gt;0,V539&lt;&gt;""),"DISPENSADO","REVISAR"),"PENDENTE"))</f>
        <v/>
      </c>
      <c r="Y539" s="10" t="inlineStr"/>
    </row>
    <row r="540" ht="98" customHeight="1">
      <c r="A540" s="3" t="n">
        <v>539</v>
      </c>
      <c r="B540" s="12" t="inlineStr">
        <is>
          <t>SL-S49-GATE</t>
        </is>
      </c>
      <c r="C540" s="9" t="inlineStr">
        <is>
          <t>v0.9.0</t>
        </is>
      </c>
      <c r="D540" s="9" t="inlineStr">
        <is>
          <t>S49</t>
        </is>
      </c>
      <c r="E540" s="3" t="inlineStr">
        <is>
          <t>Scrapling / browser</t>
        </is>
      </c>
      <c r="F540" s="3" t="inlineStr">
        <is>
          <t>Aceite humano</t>
        </is>
      </c>
      <c r="G540" s="12" t="inlineStr">
        <is>
          <t>Gate</t>
        </is>
      </c>
      <c r="H540" s="12" t="inlineStr">
        <is>
          <t>Aceitar S49 — Adicionar aquisição dinâmica com browser confinado</t>
        </is>
      </c>
      <c r="I540" s="3" t="inlineStr">
        <is>
          <t>Revisar as dez tarefas, executar a demonstração do sprint, confrontar critérios e registrar decisão go/no-go.</t>
        </is>
      </c>
      <c r="J540" s="3" t="inlineStr">
        <is>
          <t>reports/S49/acceptance.md</t>
        </is>
      </c>
      <c r="K540" s="3" t="inlineStr">
        <is>
          <t>Renderizar SPA de fixture, capturar DOM e encerrar todos os processos após a tarefa. Todas as dependências aceitas; evidências vinculadas a revisão/ambiente; nenhum blocker de integridade/segurança.</t>
        </is>
      </c>
      <c r="L540" s="3" t="inlineStr">
        <is>
          <t>SL-S49-01; SL-S49-02; SL-S49-03; SL-S49-04; SL-S49-05; SL-S49-06; SL-S49-07; SL-S49-08; SL-S49-09; SL-S49-10</t>
        </is>
      </c>
      <c r="M540" s="3" t="inlineStr">
        <is>
          <t>R01; R06; R08; R09; R25; R30</t>
        </is>
      </c>
      <c r="N540" s="10" t="inlineStr">
        <is>
          <t>Não iniciado</t>
        </is>
      </c>
      <c r="O540" s="3" t="inlineStr">
        <is>
          <t>P0</t>
        </is>
      </c>
      <c r="P540" s="3" t="inlineStr">
        <is>
          <t>Crítico</t>
        </is>
      </c>
      <c r="Q540" s="3" t="inlineStr">
        <is>
          <t>Obrigatória para fechar a versão aprovada</t>
        </is>
      </c>
      <c r="R540" s="10" t="inlineStr">
        <is>
          <t>Autor</t>
        </is>
      </c>
      <c r="S540" s="10" t="inlineStr"/>
      <c r="T540" s="11" t="inlineStr"/>
      <c r="U540" s="3" t="inlineStr">
        <is>
          <t>reports/S49/acceptance.md</t>
        </is>
      </c>
      <c r="V540" s="10" t="inlineStr"/>
      <c r="W540" s="10" t="inlineStr"/>
      <c r="X540" s="3">
        <f>IF(N540="Concluído",IF(AND(S540&lt;&gt;"",ISNUMBER(T540),T540&gt;0,V540&lt;&gt;"",AND(OR(X530="OK",X530="DISPENSADO"),OR(X531="OK",X531="DISPENSADO"),OR(X532="OK",X532="DISPENSADO"),OR(X533="OK",X533="DISPENSADO"),OR(X534="OK",X534="DISPENSADO"),OR(X535="OK",X535="DISPENSADO"),OR(X536="OK",X536="DISPENSADO"),OR(X537="OK",X537="DISPENSADO"),OR(X538="OK",X538="DISPENSADO"),OR(X539="OK",X539="DISPENSADO"))),"OK","REVISAR"),IF(N540="Dispensado (ADR)",IF(AND(LEFT(Q540,11)="Condicional",W540&lt;&gt;"",S540&lt;&gt;"",ISNUMBER(T540),T540&gt;0,V540&lt;&gt;""),"DISPENSADO","REVISAR"),"PENDENTE"))</f>
        <v/>
      </c>
      <c r="Y540" s="10" t="inlineStr"/>
    </row>
    <row r="541" ht="112" customHeight="1">
      <c r="A541" s="3" t="n">
        <v>540</v>
      </c>
      <c r="B541" s="3" t="inlineStr">
        <is>
          <t>SL-S50-01</t>
        </is>
      </c>
      <c r="C541" s="9" t="inlineStr">
        <is>
          <t>v0.9.0</t>
        </is>
      </c>
      <c r="D541" s="9" t="inlineStr">
        <is>
          <t>S50</t>
        </is>
      </c>
      <c r="E541" s="3" t="inlineStr">
        <is>
          <t>Whiteboard / pesquisa</t>
        </is>
      </c>
      <c r="F541" s="3" t="inlineStr">
        <is>
          <t>Próprio</t>
        </is>
      </c>
      <c r="G541" s="3" t="inlineStr">
        <is>
          <t>Contrato</t>
        </is>
      </c>
      <c r="H541" s="3" t="inlineStr">
        <is>
          <t>Definir estado canônico do widget</t>
        </is>
      </c>
      <c r="I541" s="3" t="inlineStr">
        <is>
          <t>Persistir consulta, filtros, resultados escolhidos, execuções e revisão de síntese.</t>
        </is>
      </c>
      <c r="J541" s="3" t="inlineStr">
        <is>
          <t>schemas/research-widget-v0.json</t>
        </is>
      </c>
      <c r="K541" s="3" t="inlineStr">
        <is>
          <t>Estado pode ser reconstruído sem browser aberto ou cache do serviço.</t>
        </is>
      </c>
      <c r="L541" s="3" t="inlineStr">
        <is>
          <t>SL-S19-GATE; SL-S30-GATE; SL-S47-GATE; SL-S48-GATE; SL-S49-GATE</t>
        </is>
      </c>
      <c r="M541" s="3" t="inlineStr">
        <is>
          <t>R11; R14; R24; R25; R26; R31</t>
        </is>
      </c>
      <c r="N541" s="10" t="inlineStr">
        <is>
          <t>Não iniciado</t>
        </is>
      </c>
      <c r="O541" s="3" t="inlineStr">
        <is>
          <t>P0</t>
        </is>
      </c>
      <c r="P541" s="3" t="inlineStr">
        <is>
          <t>Médio</t>
        </is>
      </c>
      <c r="Q541" s="3" t="inlineStr">
        <is>
          <t>Obrigatória no escopo da versão</t>
        </is>
      </c>
      <c r="R541" s="10" t="inlineStr">
        <is>
          <t>Autor + agente de IA</t>
        </is>
      </c>
      <c r="S541" s="10" t="inlineStr"/>
      <c r="T541" s="11" t="inlineStr"/>
      <c r="U541" s="3" t="inlineStr">
        <is>
          <t>reports/S50/SL-S50-01.md</t>
        </is>
      </c>
      <c r="V541" s="10" t="inlineStr"/>
      <c r="W541" s="10" t="inlineStr"/>
      <c r="X541" s="3">
        <f>IF(N541="Concluído",IF(AND(S541&lt;&gt;"",ISNUMBER(T541),T541&gt;0,V541&lt;&gt;"",AND(OR(X210="OK",X210="DISPENSADO"),OR(X331="OK",X331="DISPENSADO"),OR(X518="OK",X518="DISPENSADO"),OR(X529="OK",X529="DISPENSADO"),OR(X540="OK",X540="DISPENSADO"))),"OK","REVISAR"),IF(N541="Dispensado (ADR)",IF(AND(LEFT(Q541,11)="Condicional",W541&lt;&gt;"",S541&lt;&gt;"",ISNUMBER(T541),T541&gt;0,V541&lt;&gt;""),"DISPENSADO","REVISAR"),"PENDENTE"))</f>
        <v/>
      </c>
      <c r="Y541" s="10" t="inlineStr"/>
    </row>
    <row r="542" ht="112" customHeight="1">
      <c r="A542" s="3" t="n">
        <v>541</v>
      </c>
      <c r="B542" s="3" t="inlineStr">
        <is>
          <t>SL-S50-02</t>
        </is>
      </c>
      <c r="C542" s="9" t="inlineStr">
        <is>
          <t>v0.9.0</t>
        </is>
      </c>
      <c r="D542" s="9" t="inlineStr">
        <is>
          <t>S50</t>
        </is>
      </c>
      <c r="E542" s="3" t="inlineStr">
        <is>
          <t>Whiteboard / pesquisa</t>
        </is>
      </c>
      <c r="F542" s="3" t="inlineStr">
        <is>
          <t>Próprio</t>
        </is>
      </c>
      <c r="G542" s="3" t="inlineStr">
        <is>
          <t>Implementação</t>
        </is>
      </c>
      <c r="H542" s="3" t="inlineStr">
        <is>
          <t>Criar UI de consulta</t>
        </is>
      </c>
      <c r="I542" s="3" t="inlineStr">
        <is>
          <t>Exibir destino/consentimento, filtros e execução cancelável.</t>
        </is>
      </c>
      <c r="J542" s="3" t="inlineStr">
        <is>
          <t>apps/desktop/src/widgets/research/query.ts</t>
        </is>
      </c>
      <c r="K542" s="3" t="inlineStr">
        <is>
          <t>Consulta privada não é enviada ao digitar sem ação/política explícita.</t>
        </is>
      </c>
      <c r="L542" s="3" t="inlineStr">
        <is>
          <t>SL-S50-01</t>
        </is>
      </c>
      <c r="M542" s="3" t="inlineStr">
        <is>
          <t>R11; R14; R24; R25; R26; R31</t>
        </is>
      </c>
      <c r="N542" s="10" t="inlineStr">
        <is>
          <t>Não iniciado</t>
        </is>
      </c>
      <c r="O542" s="3" t="inlineStr">
        <is>
          <t>P1</t>
        </is>
      </c>
      <c r="P542" s="3" t="inlineStr">
        <is>
          <t>Médio</t>
        </is>
      </c>
      <c r="Q542" s="3" t="inlineStr">
        <is>
          <t>Obrigatória no escopo da versão</t>
        </is>
      </c>
      <c r="R542" s="10" t="inlineStr">
        <is>
          <t>Autor + agente de IA</t>
        </is>
      </c>
      <c r="S542" s="10" t="inlineStr"/>
      <c r="T542" s="11" t="inlineStr"/>
      <c r="U542" s="3" t="inlineStr">
        <is>
          <t>reports/S50/SL-S50-02.md</t>
        </is>
      </c>
      <c r="V542" s="10" t="inlineStr"/>
      <c r="W542" s="10" t="inlineStr"/>
      <c r="X542" s="3">
        <f>IF(N542="Concluído",IF(AND(S542&lt;&gt;"",ISNUMBER(T542),T542&gt;0,V542&lt;&gt;"",AND(OR(X541="OK",X541="DISPENSADO"))),"OK","REVISAR"),IF(N542="Dispensado (ADR)",IF(AND(LEFT(Q542,11)="Condicional",W542&lt;&gt;"",S542&lt;&gt;"",ISNUMBER(T542),T542&gt;0,V542&lt;&gt;""),"DISPENSADO","REVISAR"),"PENDENTE"))</f>
        <v/>
      </c>
      <c r="Y542" s="10" t="inlineStr"/>
    </row>
    <row r="543" ht="112" customHeight="1">
      <c r="A543" s="3" t="n">
        <v>542</v>
      </c>
      <c r="B543" s="3" t="inlineStr">
        <is>
          <t>SL-S50-03</t>
        </is>
      </c>
      <c r="C543" s="9" t="inlineStr">
        <is>
          <t>v0.9.0</t>
        </is>
      </c>
      <c r="D543" s="9" t="inlineStr">
        <is>
          <t>S50</t>
        </is>
      </c>
      <c r="E543" s="3" t="inlineStr">
        <is>
          <t>Whiteboard / pesquisa</t>
        </is>
      </c>
      <c r="F543" s="3" t="inlineStr">
        <is>
          <t>Próprio</t>
        </is>
      </c>
      <c r="G543" s="3" t="inlineStr">
        <is>
          <t>Implementação</t>
        </is>
      </c>
      <c r="H543" s="3" t="inlineStr">
        <is>
          <t>Renderizar resultados seguros</t>
        </is>
      </c>
      <c r="I543" s="3" t="inlineStr">
        <is>
          <t>Mostrar títulos/snippets saneados e origem sem executar HTML.</t>
        </is>
      </c>
      <c r="J543" s="3" t="inlineStr">
        <is>
          <t>apps/desktop/src/widgets/research/results.ts</t>
        </is>
      </c>
      <c r="K543" s="3" t="inlineStr">
        <is>
          <t>Resultado de buscador não recebe aparência de texto completo já verificado.</t>
        </is>
      </c>
      <c r="L543" s="3" t="inlineStr">
        <is>
          <t>SL-S50-02</t>
        </is>
      </c>
      <c r="M543" s="3" t="inlineStr">
        <is>
          <t>R11; R14; R24; R25; R26; R31</t>
        </is>
      </c>
      <c r="N543" s="10" t="inlineStr">
        <is>
          <t>Não iniciado</t>
        </is>
      </c>
      <c r="O543" s="3" t="inlineStr">
        <is>
          <t>P1</t>
        </is>
      </c>
      <c r="P543" s="3" t="inlineStr">
        <is>
          <t>Médio</t>
        </is>
      </c>
      <c r="Q543" s="3" t="inlineStr">
        <is>
          <t>Obrigatória no escopo da versão</t>
        </is>
      </c>
      <c r="R543" s="10" t="inlineStr">
        <is>
          <t>Autor + agente de IA</t>
        </is>
      </c>
      <c r="S543" s="10" t="inlineStr"/>
      <c r="T543" s="11" t="inlineStr"/>
      <c r="U543" s="3" t="inlineStr">
        <is>
          <t>reports/S50/SL-S50-03.md</t>
        </is>
      </c>
      <c r="V543" s="10" t="inlineStr"/>
      <c r="W543" s="10" t="inlineStr"/>
      <c r="X543" s="3">
        <f>IF(N543="Concluído",IF(AND(S543&lt;&gt;"",ISNUMBER(T543),T543&gt;0,V543&lt;&gt;"",AND(OR(X542="OK",X542="DISPENSADO"))),"OK","REVISAR"),IF(N543="Dispensado (ADR)",IF(AND(LEFT(Q543,11)="Condicional",W543&lt;&gt;"",S543&lt;&gt;"",ISNUMBER(T543),T543&gt;0,V543&lt;&gt;""),"DISPENSADO","REVISAR"),"PENDENTE"))</f>
        <v/>
      </c>
      <c r="Y543" s="10" t="inlineStr"/>
    </row>
    <row r="544" ht="112" customHeight="1">
      <c r="A544" s="3" t="n">
        <v>543</v>
      </c>
      <c r="B544" s="3" t="inlineStr">
        <is>
          <t>SL-S50-04</t>
        </is>
      </c>
      <c r="C544" s="9" t="inlineStr">
        <is>
          <t>v0.9.0</t>
        </is>
      </c>
      <c r="D544" s="9" t="inlineStr">
        <is>
          <t>S50</t>
        </is>
      </c>
      <c r="E544" s="3" t="inlineStr">
        <is>
          <t>Whiteboard / pesquisa</t>
        </is>
      </c>
      <c r="F544" s="3" t="inlineStr">
        <is>
          <t>Próprio</t>
        </is>
      </c>
      <c r="G544" s="3" t="inlineStr">
        <is>
          <t>Implementação</t>
        </is>
      </c>
      <c r="H544" s="3" t="inlineStr">
        <is>
          <t>Selecionar e adquirir fontes</t>
        </is>
      </c>
      <c r="I544" s="3" t="inlineStr">
        <is>
          <t>Disparar fetch de itens aprovados e mostrar status individual.</t>
        </is>
      </c>
      <c r="J544" s="3" t="inlineStr">
        <is>
          <t>crates/widgets/src/research/acquire.rs</t>
        </is>
      </c>
      <c r="K544" s="3" t="inlineStr">
        <is>
          <t>Falha de uma fonte não perde seleção nem captura das demais.</t>
        </is>
      </c>
      <c r="L544" s="3" t="inlineStr">
        <is>
          <t>SL-S50-03</t>
        </is>
      </c>
      <c r="M544" s="3" t="inlineStr">
        <is>
          <t>R11; R14; R24; R25; R26; R31</t>
        </is>
      </c>
      <c r="N544" s="10" t="inlineStr">
        <is>
          <t>Não iniciado</t>
        </is>
      </c>
      <c r="O544" s="3" t="inlineStr">
        <is>
          <t>P1</t>
        </is>
      </c>
      <c r="P544" s="3" t="inlineStr">
        <is>
          <t>Médio</t>
        </is>
      </c>
      <c r="Q544" s="3" t="inlineStr">
        <is>
          <t>Obrigatória no escopo da versão</t>
        </is>
      </c>
      <c r="R544" s="10" t="inlineStr">
        <is>
          <t>Autor + agente de IA</t>
        </is>
      </c>
      <c r="S544" s="10" t="inlineStr"/>
      <c r="T544" s="11" t="inlineStr"/>
      <c r="U544" s="3" t="inlineStr">
        <is>
          <t>reports/S50/SL-S50-04.md</t>
        </is>
      </c>
      <c r="V544" s="10" t="inlineStr"/>
      <c r="W544" s="10" t="inlineStr"/>
      <c r="X544" s="3">
        <f>IF(N544="Concluído",IF(AND(S544&lt;&gt;"",ISNUMBER(T544),T544&gt;0,V544&lt;&gt;"",AND(OR(X543="OK",X543="DISPENSADO"))),"OK","REVISAR"),IF(N544="Dispensado (ADR)",IF(AND(LEFT(Q544,11)="Condicional",W544&lt;&gt;"",S544&lt;&gt;"",ISNUMBER(T544),T544&gt;0,V544&lt;&gt;""),"DISPENSADO","REVISAR"),"PENDENTE"))</f>
        <v/>
      </c>
      <c r="Y544" s="10" t="inlineStr"/>
    </row>
    <row r="545" ht="112" customHeight="1">
      <c r="A545" s="3" t="n">
        <v>544</v>
      </c>
      <c r="B545" s="3" t="inlineStr">
        <is>
          <t>SL-S50-05</t>
        </is>
      </c>
      <c r="C545" s="9" t="inlineStr">
        <is>
          <t>v0.9.0</t>
        </is>
      </c>
      <c r="D545" s="9" t="inlineStr">
        <is>
          <t>S50</t>
        </is>
      </c>
      <c r="E545" s="3" t="inlineStr">
        <is>
          <t>Whiteboard / pesquisa</t>
        </is>
      </c>
      <c r="F545" s="3" t="inlineStr">
        <is>
          <t>Próprio</t>
        </is>
      </c>
      <c r="G545" s="3" t="inlineStr">
        <is>
          <t>Implementação</t>
        </is>
      </c>
      <c r="H545" s="3" t="inlineStr">
        <is>
          <t>Persistir snapshots</t>
        </is>
      </c>
      <c r="I545" s="3" t="inlineStr">
        <is>
          <t>Salvar HTML/texto/assets autorizados com URL final, data, hash e mapa de fontes.</t>
        </is>
      </c>
      <c r="J545" s="3" t="inlineStr">
        <is>
          <t>crates/widgets/src/research/snapshot.rs</t>
        </is>
      </c>
      <c r="K545" s="3" t="inlineStr">
        <is>
          <t>Consulta posterior à web não altera o snapshot citado.</t>
        </is>
      </c>
      <c r="L545" s="3" t="inlineStr">
        <is>
          <t>SL-S50-04</t>
        </is>
      </c>
      <c r="M545" s="3" t="inlineStr">
        <is>
          <t>R11; R14; R24; R25; R26; R31</t>
        </is>
      </c>
      <c r="N545" s="10" t="inlineStr">
        <is>
          <t>Não iniciado</t>
        </is>
      </c>
      <c r="O545" s="3" t="inlineStr">
        <is>
          <t>P1</t>
        </is>
      </c>
      <c r="P545" s="3" t="inlineStr">
        <is>
          <t>Médio</t>
        </is>
      </c>
      <c r="Q545" s="3" t="inlineStr">
        <is>
          <t>Obrigatória no escopo da versão</t>
        </is>
      </c>
      <c r="R545" s="10" t="inlineStr">
        <is>
          <t>Autor + agente de IA</t>
        </is>
      </c>
      <c r="S545" s="10" t="inlineStr"/>
      <c r="T545" s="11" t="inlineStr"/>
      <c r="U545" s="3" t="inlineStr">
        <is>
          <t>reports/S50/SL-S50-05.md</t>
        </is>
      </c>
      <c r="V545" s="10" t="inlineStr"/>
      <c r="W545" s="10" t="inlineStr"/>
      <c r="X545" s="3">
        <f>IF(N545="Concluído",IF(AND(S545&lt;&gt;"",ISNUMBER(T545),T545&gt;0,V545&lt;&gt;"",AND(OR(X544="OK",X544="DISPENSADO"))),"OK","REVISAR"),IF(N545="Dispensado (ADR)",IF(AND(LEFT(Q545,11)="Condicional",W545&lt;&gt;"",S545&lt;&gt;"",ISNUMBER(T545),T545&gt;0,V545&lt;&gt;""),"DISPENSADO","REVISAR"),"PENDENTE"))</f>
        <v/>
      </c>
      <c r="Y545" s="10" t="inlineStr"/>
    </row>
    <row r="546" ht="112" customHeight="1">
      <c r="A546" s="3" t="n">
        <v>545</v>
      </c>
      <c r="B546" s="3" t="inlineStr">
        <is>
          <t>SL-S50-06</t>
        </is>
      </c>
      <c r="C546" s="9" t="inlineStr">
        <is>
          <t>v0.9.0</t>
        </is>
      </c>
      <c r="D546" s="9" t="inlineStr">
        <is>
          <t>S50</t>
        </is>
      </c>
      <c r="E546" s="3" t="inlineStr">
        <is>
          <t>Whiteboard / pesquisa</t>
        </is>
      </c>
      <c r="F546" s="3" t="inlineStr">
        <is>
          <t>Próprio</t>
        </is>
      </c>
      <c r="G546" s="3" t="inlineStr">
        <is>
          <t>Implementação</t>
        </is>
      </c>
      <c r="H546" s="3" t="inlineStr">
        <is>
          <t>Promover a Ingest/células</t>
        </is>
      </c>
      <c r="I546" s="3" t="inlineStr">
        <is>
          <t>Criar recorte ou referência de material sem duplicação destrutiva.</t>
        </is>
      </c>
      <c r="J546" s="3" t="inlineStr">
        <is>
          <t>crates/widgets/src/research/promote.rs</t>
        </is>
      </c>
      <c r="K546" s="3" t="inlineStr">
        <is>
          <t>Conteúdo e origem chegam ao mesmo protocolo de proveniência usado na Peça.</t>
        </is>
      </c>
      <c r="L546" s="3" t="inlineStr">
        <is>
          <t>SL-S50-05</t>
        </is>
      </c>
      <c r="M546" s="3" t="inlineStr">
        <is>
          <t>R11; R14; R24; R25; R26; R31</t>
        </is>
      </c>
      <c r="N546" s="10" t="inlineStr">
        <is>
          <t>Não iniciado</t>
        </is>
      </c>
      <c r="O546" s="3" t="inlineStr">
        <is>
          <t>P1</t>
        </is>
      </c>
      <c r="P546" s="3" t="inlineStr">
        <is>
          <t>Médio</t>
        </is>
      </c>
      <c r="Q546" s="3" t="inlineStr">
        <is>
          <t>Obrigatória no escopo da versão</t>
        </is>
      </c>
      <c r="R546" s="10" t="inlineStr">
        <is>
          <t>Autor + agente de IA</t>
        </is>
      </c>
      <c r="S546" s="10" t="inlineStr"/>
      <c r="T546" s="11" t="inlineStr"/>
      <c r="U546" s="3" t="inlineStr">
        <is>
          <t>reports/S50/SL-S50-06.md</t>
        </is>
      </c>
      <c r="V546" s="10" t="inlineStr"/>
      <c r="W546" s="10" t="inlineStr"/>
      <c r="X546" s="3">
        <f>IF(N546="Concluído",IF(AND(S546&lt;&gt;"",ISNUMBER(T546),T546&gt;0,V546&lt;&gt;"",AND(OR(X545="OK",X545="DISPENSADO"))),"OK","REVISAR"),IF(N546="Dispensado (ADR)",IF(AND(LEFT(Q546,11)="Condicional",W546&lt;&gt;"",S546&lt;&gt;"",ISNUMBER(T546),T546&gt;0,V546&lt;&gt;""),"DISPENSADO","REVISAR"),"PENDENTE"))</f>
        <v/>
      </c>
      <c r="Y546" s="10" t="inlineStr"/>
    </row>
    <row r="547" ht="112" customHeight="1">
      <c r="A547" s="3" t="n">
        <v>546</v>
      </c>
      <c r="B547" s="3" t="inlineStr">
        <is>
          <t>SL-S50-07</t>
        </is>
      </c>
      <c r="C547" s="9" t="inlineStr">
        <is>
          <t>v0.9.0</t>
        </is>
      </c>
      <c r="D547" s="9" t="inlineStr">
        <is>
          <t>S50</t>
        </is>
      </c>
      <c r="E547" s="3" t="inlineStr">
        <is>
          <t>Whiteboard / pesquisa</t>
        </is>
      </c>
      <c r="F547" s="3" t="inlineStr">
        <is>
          <t>Próprio</t>
        </is>
      </c>
      <c r="G547" s="3" t="inlineStr">
        <is>
          <t>Implementação</t>
        </is>
      </c>
      <c r="H547" s="3" t="inlineStr">
        <is>
          <t>Integrar síntese opcional</t>
        </is>
      </c>
      <c r="I547" s="3" t="inlineStr">
        <is>
          <t>Usar fontes adquiridas e Context/GenerationProvider, não apenas snippets.</t>
        </is>
      </c>
      <c r="J547" s="3" t="inlineStr">
        <is>
          <t>crates/widgets/src/research/summarize.rs</t>
        </is>
      </c>
      <c r="K547" s="3" t="inlineStr">
        <is>
          <t>Afirmações indicam quais fontes foram efetivamente lidas e cobertura parcial.</t>
        </is>
      </c>
      <c r="L547" s="3" t="inlineStr">
        <is>
          <t>SL-S50-06</t>
        </is>
      </c>
      <c r="M547" s="3" t="inlineStr">
        <is>
          <t>R11; R14; R24; R25; R26; R31</t>
        </is>
      </c>
      <c r="N547" s="10" t="inlineStr">
        <is>
          <t>Não iniciado</t>
        </is>
      </c>
      <c r="O547" s="3" t="inlineStr">
        <is>
          <t>P1</t>
        </is>
      </c>
      <c r="P547" s="3" t="inlineStr">
        <is>
          <t>Médio</t>
        </is>
      </c>
      <c r="Q547" s="3" t="inlineStr">
        <is>
          <t>Obrigatória no escopo da versão</t>
        </is>
      </c>
      <c r="R547" s="10" t="inlineStr">
        <is>
          <t>Autor + agente de IA</t>
        </is>
      </c>
      <c r="S547" s="10" t="inlineStr"/>
      <c r="T547" s="11" t="inlineStr"/>
      <c r="U547" s="3" t="inlineStr">
        <is>
          <t>reports/S50/SL-S50-07.md</t>
        </is>
      </c>
      <c r="V547" s="10" t="inlineStr"/>
      <c r="W547" s="10" t="inlineStr"/>
      <c r="X547" s="3">
        <f>IF(N547="Concluído",IF(AND(S547&lt;&gt;"",ISNUMBER(T547),T547&gt;0,V547&lt;&gt;"",AND(OR(X546="OK",X546="DISPENSADO"))),"OK","REVISAR"),IF(N547="Dispensado (ADR)",IF(AND(LEFT(Q547,11)="Condicional",W547&lt;&gt;"",S547&lt;&gt;"",ISNUMBER(T547),T547&gt;0,V547&lt;&gt;""),"DISPENSADO","REVISAR"),"PENDENTE"))</f>
        <v/>
      </c>
      <c r="Y547" s="10" t="inlineStr"/>
    </row>
    <row r="548" ht="112" customHeight="1">
      <c r="A548" s="3" t="n">
        <v>547</v>
      </c>
      <c r="B548" s="3" t="inlineStr">
        <is>
          <t>SL-S50-08</t>
        </is>
      </c>
      <c r="C548" s="9" t="inlineStr">
        <is>
          <t>v0.9.0</t>
        </is>
      </c>
      <c r="D548" s="9" t="inlineStr">
        <is>
          <t>S50</t>
        </is>
      </c>
      <c r="E548" s="3" t="inlineStr">
        <is>
          <t>Whiteboard / pesquisa</t>
        </is>
      </c>
      <c r="F548" s="3" t="inlineStr">
        <is>
          <t>Próprio</t>
        </is>
      </c>
      <c r="G548" s="3" t="inlineStr">
        <is>
          <t>Implementação</t>
        </is>
      </c>
      <c r="H548" s="3" t="inlineStr">
        <is>
          <t>Tratar atualização</t>
        </is>
      </c>
      <c r="I548" s="3" t="inlineStr">
        <is>
          <t>Comparar resultados/snapshots novos com síntese existente.</t>
        </is>
      </c>
      <c r="J548" s="3" t="inlineStr">
        <is>
          <t>apps/desktop/src/widgets/research/refresh.ts</t>
        </is>
      </c>
      <c r="K548" s="3" t="inlineStr">
        <is>
          <t>Atualização não sobrescreve texto editado nem citações anteriores silenciosamente.</t>
        </is>
      </c>
      <c r="L548" s="3" t="inlineStr">
        <is>
          <t>SL-S50-07</t>
        </is>
      </c>
      <c r="M548" s="3" t="inlineStr">
        <is>
          <t>R11; R14; R24; R25; R26; R31</t>
        </is>
      </c>
      <c r="N548" s="10" t="inlineStr">
        <is>
          <t>Não iniciado</t>
        </is>
      </c>
      <c r="O548" s="3" t="inlineStr">
        <is>
          <t>P1</t>
        </is>
      </c>
      <c r="P548" s="3" t="inlineStr">
        <is>
          <t>Médio</t>
        </is>
      </c>
      <c r="Q548" s="3" t="inlineStr">
        <is>
          <t>Obrigatória no escopo da versão</t>
        </is>
      </c>
      <c r="R548" s="10" t="inlineStr">
        <is>
          <t>Autor + agente de IA</t>
        </is>
      </c>
      <c r="S548" s="10" t="inlineStr"/>
      <c r="T548" s="11" t="inlineStr"/>
      <c r="U548" s="3" t="inlineStr">
        <is>
          <t>reports/S50/SL-S50-08.md</t>
        </is>
      </c>
      <c r="V548" s="10" t="inlineStr"/>
      <c r="W548" s="10" t="inlineStr"/>
      <c r="X548" s="3">
        <f>IF(N548="Concluído",IF(AND(S548&lt;&gt;"",ISNUMBER(T548),T548&gt;0,V548&lt;&gt;"",AND(OR(X547="OK",X547="DISPENSADO"))),"OK","REVISAR"),IF(N548="Dispensado (ADR)",IF(AND(LEFT(Q548,11)="Condicional",W548&lt;&gt;"",S548&lt;&gt;"",ISNUMBER(T548),T548&gt;0,V548&lt;&gt;""),"DISPENSADO","REVISAR"),"PENDENTE"))</f>
        <v/>
      </c>
      <c r="Y548" s="10" t="inlineStr"/>
    </row>
    <row r="549" ht="112" customHeight="1">
      <c r="A549" s="3" t="n">
        <v>548</v>
      </c>
      <c r="B549" s="3" t="inlineStr">
        <is>
          <t>SL-S50-09</t>
        </is>
      </c>
      <c r="C549" s="9" t="inlineStr">
        <is>
          <t>v0.9.0</t>
        </is>
      </c>
      <c r="D549" s="9" t="inlineStr">
        <is>
          <t>S50</t>
        </is>
      </c>
      <c r="E549" s="3" t="inlineStr">
        <is>
          <t>Whiteboard / pesquisa</t>
        </is>
      </c>
      <c r="F549" s="3" t="inlineStr">
        <is>
          <t>Próprio</t>
        </is>
      </c>
      <c r="G549" s="3" t="inlineStr">
        <is>
          <t>Teste</t>
        </is>
      </c>
      <c r="H549" s="3" t="inlineStr">
        <is>
          <t>Validar uso offline</t>
        </is>
      </c>
      <c r="I549" s="3" t="inlineStr">
        <is>
          <t>Abrir widget salvo e navegar pelas fontes preservadas com rede bloqueada.</t>
        </is>
      </c>
      <c r="J549" s="3" t="inlineStr">
        <is>
          <t>tests/widgets/research-offline/</t>
        </is>
      </c>
      <c r="K549" s="3" t="inlineStr">
        <is>
          <t>Pesquisa nova fica indisponível com explicação; leitura de snapshots continua funcional.</t>
        </is>
      </c>
      <c r="L549" s="3" t="inlineStr">
        <is>
          <t>SL-S50-08</t>
        </is>
      </c>
      <c r="M549" s="3" t="inlineStr">
        <is>
          <t>R11; R14; R24; R25; R26; R31</t>
        </is>
      </c>
      <c r="N549" s="10" t="inlineStr">
        <is>
          <t>Não iniciado</t>
        </is>
      </c>
      <c r="O549" s="3" t="inlineStr">
        <is>
          <t>P1</t>
        </is>
      </c>
      <c r="P549" s="3" t="inlineStr">
        <is>
          <t>Médio</t>
        </is>
      </c>
      <c r="Q549" s="3" t="inlineStr">
        <is>
          <t>Obrigatória no escopo da versão</t>
        </is>
      </c>
      <c r="R549" s="10" t="inlineStr">
        <is>
          <t>Autor + agente de IA</t>
        </is>
      </c>
      <c r="S549" s="10" t="inlineStr"/>
      <c r="T549" s="11" t="inlineStr"/>
      <c r="U549" s="3" t="inlineStr">
        <is>
          <t>reports/S50/SL-S50-09.md</t>
        </is>
      </c>
      <c r="V549" s="10" t="inlineStr"/>
      <c r="W549" s="10" t="inlineStr"/>
      <c r="X549" s="3">
        <f>IF(N549="Concluído",IF(AND(S549&lt;&gt;"",ISNUMBER(T549),T549&gt;0,V549&lt;&gt;"",AND(OR(X548="OK",X548="DISPENSADO"))),"OK","REVISAR"),IF(N549="Dispensado (ADR)",IF(AND(LEFT(Q549,11)="Condicional",W549&lt;&gt;"",S549&lt;&gt;"",ISNUMBER(T549),T549&gt;0,V549&lt;&gt;""),"DISPENSADO","REVISAR"),"PENDENTE"))</f>
        <v/>
      </c>
      <c r="Y549" s="10" t="inlineStr"/>
    </row>
    <row r="550" ht="112" customHeight="1">
      <c r="A550" s="3" t="n">
        <v>549</v>
      </c>
      <c r="B550" s="3" t="inlineStr">
        <is>
          <t>SL-S50-10</t>
        </is>
      </c>
      <c r="C550" s="9" t="inlineStr">
        <is>
          <t>v0.9.0</t>
        </is>
      </c>
      <c r="D550" s="9" t="inlineStr">
        <is>
          <t>S50</t>
        </is>
      </c>
      <c r="E550" s="3" t="inlineStr">
        <is>
          <t>Whiteboard / pesquisa</t>
        </is>
      </c>
      <c r="F550" s="3" t="inlineStr">
        <is>
          <t>Próprio</t>
        </is>
      </c>
      <c r="G550" s="3" t="inlineStr">
        <is>
          <t>Teste</t>
        </is>
      </c>
      <c r="H550" s="3" t="inlineStr">
        <is>
          <t>Executar jornada de pesquisa</t>
        </is>
      </c>
      <c r="I550" s="3" t="inlineStr">
        <is>
          <t>Buscar→capturar→recortar→conectar→inserir na Peça e verificar fonte/revisão.</t>
        </is>
      </c>
      <c r="J550" s="3" t="inlineStr">
        <is>
          <t>reports/widget/research-journey.md</t>
        </is>
      </c>
      <c r="K550" s="3" t="inlineStr">
        <is>
          <t>Cadeia integral permanece válida após reinício e limpeza de caches.</t>
        </is>
      </c>
      <c r="L550" s="3" t="inlineStr">
        <is>
          <t>SL-S50-09</t>
        </is>
      </c>
      <c r="M550" s="3" t="inlineStr">
        <is>
          <t>R11; R14; R24; R25; R26; R31</t>
        </is>
      </c>
      <c r="N550" s="10" t="inlineStr">
        <is>
          <t>Não iniciado</t>
        </is>
      </c>
      <c r="O550" s="3" t="inlineStr">
        <is>
          <t>P1</t>
        </is>
      </c>
      <c r="P550" s="3" t="inlineStr">
        <is>
          <t>Médio</t>
        </is>
      </c>
      <c r="Q550" s="3" t="inlineStr">
        <is>
          <t>Obrigatória no escopo da versão</t>
        </is>
      </c>
      <c r="R550" s="10" t="inlineStr">
        <is>
          <t>Autor + agente de IA</t>
        </is>
      </c>
      <c r="S550" s="10" t="inlineStr"/>
      <c r="T550" s="11" t="inlineStr"/>
      <c r="U550" s="3" t="inlineStr">
        <is>
          <t>reports/S50/SL-S50-10.md</t>
        </is>
      </c>
      <c r="V550" s="10" t="inlineStr"/>
      <c r="W550" s="10" t="inlineStr"/>
      <c r="X550" s="3">
        <f>IF(N550="Concluído",IF(AND(S550&lt;&gt;"",ISNUMBER(T550),T550&gt;0,V550&lt;&gt;"",AND(OR(X549="OK",X549="DISPENSADO"))),"OK","REVISAR"),IF(N550="Dispensado (ADR)",IF(AND(LEFT(Q550,11)="Condicional",W550&lt;&gt;"",S550&lt;&gt;"",ISNUMBER(T550),T550&gt;0,V550&lt;&gt;""),"DISPENSADO","REVISAR"),"PENDENTE"))</f>
        <v/>
      </c>
      <c r="Y550" s="10" t="inlineStr"/>
    </row>
    <row r="551" ht="98" customHeight="1">
      <c r="A551" s="3" t="n">
        <v>550</v>
      </c>
      <c r="B551" s="12" t="inlineStr">
        <is>
          <t>SL-S50-GATE</t>
        </is>
      </c>
      <c r="C551" s="9" t="inlineStr">
        <is>
          <t>v0.9.0</t>
        </is>
      </c>
      <c r="D551" s="9" t="inlineStr">
        <is>
          <t>S50</t>
        </is>
      </c>
      <c r="E551" s="3" t="inlineStr">
        <is>
          <t>Whiteboard / pesquisa</t>
        </is>
      </c>
      <c r="F551" s="3" t="inlineStr">
        <is>
          <t>Aceite humano</t>
        </is>
      </c>
      <c r="G551" s="12" t="inlineStr">
        <is>
          <t>Gate</t>
        </is>
      </c>
      <c r="H551" s="12" t="inlineStr">
        <is>
          <t>Aceitar S50 — Construir widget de pesquisa e snapshots</t>
        </is>
      </c>
      <c r="I551" s="3" t="inlineStr">
        <is>
          <t>Revisar as dez tarefas, executar a demonstração do sprint, confrontar critérios e registrar decisão go/no-go.</t>
        </is>
      </c>
      <c r="J551" s="3" t="inlineStr">
        <is>
          <t>reports/S50/acceptance.md</t>
        </is>
      </c>
      <c r="K551" s="3" t="inlineStr">
        <is>
          <t>Pesquisar, selecionar fontes, capturar, editar síntese e atualizar sem perda autoral. Todas as dependências aceitas; evidências vinculadas a revisão/ambiente; nenhum blocker de integridade/segurança.</t>
        </is>
      </c>
      <c r="L551" s="3" t="inlineStr">
        <is>
          <t>SL-S50-01; SL-S50-02; SL-S50-03; SL-S50-04; SL-S50-05; SL-S50-06; SL-S50-07; SL-S50-08; SL-S50-09; SL-S50-10</t>
        </is>
      </c>
      <c r="M551" s="3" t="inlineStr">
        <is>
          <t>R11; R14; R24; R25; R26; R31</t>
        </is>
      </c>
      <c r="N551" s="10" t="inlineStr">
        <is>
          <t>Não iniciado</t>
        </is>
      </c>
      <c r="O551" s="3" t="inlineStr">
        <is>
          <t>P0</t>
        </is>
      </c>
      <c r="P551" s="3" t="inlineStr">
        <is>
          <t>Médio</t>
        </is>
      </c>
      <c r="Q551" s="3" t="inlineStr">
        <is>
          <t>Obrigatória para fechar a versão aprovada</t>
        </is>
      </c>
      <c r="R551" s="10" t="inlineStr">
        <is>
          <t>Autor</t>
        </is>
      </c>
      <c r="S551" s="10" t="inlineStr"/>
      <c r="T551" s="11" t="inlineStr"/>
      <c r="U551" s="3" t="inlineStr">
        <is>
          <t>reports/S50/acceptance.md</t>
        </is>
      </c>
      <c r="V551" s="10" t="inlineStr"/>
      <c r="W551" s="10" t="inlineStr"/>
      <c r="X551" s="3">
        <f>IF(N551="Concluído",IF(AND(S551&lt;&gt;"",ISNUMBER(T551),T551&gt;0,V551&lt;&gt;"",AND(OR(X541="OK",X541="DISPENSADO"),OR(X542="OK",X542="DISPENSADO"),OR(X543="OK",X543="DISPENSADO"),OR(X544="OK",X544="DISPENSADO"),OR(X545="OK",X545="DISPENSADO"),OR(X546="OK",X546="DISPENSADO"),OR(X547="OK",X547="DISPENSADO"),OR(X548="OK",X548="DISPENSADO"),OR(X549="OK",X549="DISPENSADO"),OR(X550="OK",X550="DISPENSADO"))),"OK","REVISAR"),IF(N551="Dispensado (ADR)",IF(AND(LEFT(Q551,11)="Condicional",W551&lt;&gt;"",S551&lt;&gt;"",ISNUMBER(T551),T551&gt;0,V551&lt;&gt;""),"DISPENSADO","REVISAR"),"PENDENTE"))</f>
        <v/>
      </c>
      <c r="Y551" s="10" t="inlineStr"/>
    </row>
    <row r="552" ht="112" customHeight="1">
      <c r="A552" s="3" t="n">
        <v>551</v>
      </c>
      <c r="B552" s="3" t="inlineStr">
        <is>
          <t>SL-S51-01</t>
        </is>
      </c>
      <c r="C552" s="9" t="inlineStr">
        <is>
          <t>v0.9.0</t>
        </is>
      </c>
      <c r="D552" s="9" t="inlineStr">
        <is>
          <t>S51</t>
        </is>
      </c>
      <c r="E552" s="3" t="inlineStr">
        <is>
          <t>Copiloto / GenerationProvider</t>
        </is>
      </c>
      <c r="F552" s="3" t="inlineStr">
        <is>
          <t>Integração</t>
        </is>
      </c>
      <c r="G552" s="3" t="inlineStr">
        <is>
          <t>Contrato</t>
        </is>
      </c>
      <c r="H552" s="3" t="inlineStr">
        <is>
          <t>Definir ações editoriais</t>
        </is>
      </c>
      <c r="I552" s="3" t="inlineStr">
        <is>
          <t>Reescrever, resumir, criticar e expandir como propostas com revisão-base.</t>
        </is>
      </c>
      <c r="J552" s="3" t="inlineStr">
        <is>
          <t>schemas/editorial-proposal-v0.json</t>
        </is>
      </c>
      <c r="K552" s="3" t="inlineStr">
        <is>
          <t>Modelo não recebe operação genérica de substituir arquivo ou executar comando.</t>
        </is>
      </c>
      <c r="L552" s="3" t="inlineStr">
        <is>
          <t>SL-S21-GATE; SL-S32-GATE; SL-S46-GATE; SL-S50-GATE</t>
        </is>
      </c>
      <c r="M552" s="3" t="inlineStr">
        <is>
          <t>R08; R13; R23; R27; R31</t>
        </is>
      </c>
      <c r="N552" s="10" t="inlineStr">
        <is>
          <t>Não iniciado</t>
        </is>
      </c>
      <c r="O552" s="3" t="inlineStr">
        <is>
          <t>P0</t>
        </is>
      </c>
      <c r="P552" s="3" t="inlineStr">
        <is>
          <t>Crítico</t>
        </is>
      </c>
      <c r="Q552" s="3" t="inlineStr">
        <is>
          <t>Obrigatória no escopo da versão</t>
        </is>
      </c>
      <c r="R552" s="10" t="inlineStr">
        <is>
          <t>Autor + agente de IA</t>
        </is>
      </c>
      <c r="S552" s="10" t="inlineStr"/>
      <c r="T552" s="11" t="inlineStr"/>
      <c r="U552" s="3" t="inlineStr">
        <is>
          <t>reports/S51/SL-S51-01.md</t>
        </is>
      </c>
      <c r="V552" s="10" t="inlineStr"/>
      <c r="W552" s="10" t="inlineStr"/>
      <c r="X552" s="3">
        <f>IF(N552="Concluído",IF(AND(S552&lt;&gt;"",ISNUMBER(T552),T552&gt;0,V552&lt;&gt;"",AND(OR(X232="OK",X232="DISPENSADO"),OR(X353="OK",X353="DISPENSADO"),OR(X507="OK",X507="DISPENSADO"),OR(X551="OK",X551="DISPENSADO"))),"OK","REVISAR"),IF(N552="Dispensado (ADR)",IF(AND(LEFT(Q552,11)="Condicional",W552&lt;&gt;"",S552&lt;&gt;"",ISNUMBER(T552),T552&gt;0,V552&lt;&gt;""),"DISPENSADO","REVISAR"),"PENDENTE"))</f>
        <v/>
      </c>
      <c r="Y552" s="10" t="inlineStr"/>
    </row>
    <row r="553" ht="112" customHeight="1">
      <c r="A553" s="3" t="n">
        <v>552</v>
      </c>
      <c r="B553" s="3" t="inlineStr">
        <is>
          <t>SL-S51-02</t>
        </is>
      </c>
      <c r="C553" s="9" t="inlineStr">
        <is>
          <t>v0.9.0</t>
        </is>
      </c>
      <c r="D553" s="9" t="inlineStr">
        <is>
          <t>S51</t>
        </is>
      </c>
      <c r="E553" s="3" t="inlineStr">
        <is>
          <t>Copiloto / GenerationProvider</t>
        </is>
      </c>
      <c r="F553" s="3" t="inlineStr">
        <is>
          <t>Integração</t>
        </is>
      </c>
      <c r="G553" s="3" t="inlineStr">
        <is>
          <t>Implementação</t>
        </is>
      </c>
      <c r="H553" s="3" t="inlineStr">
        <is>
          <t>Criar adapters BYOK</t>
        </is>
      </c>
      <c r="I553" s="3" t="inlineStr">
        <is>
          <t>Integrar protocolos dos provedores aprovados preservando capabilities distintas.</t>
        </is>
      </c>
      <c r="J553" s="3" t="inlineStr">
        <is>
          <t>adapters/generation/remote/</t>
        </is>
      </c>
      <c r="K553" s="3" t="inlineStr">
        <is>
          <t>Compatibilidade OpenAI não é presumida para toda API; ausência de tools/schema é explícita.</t>
        </is>
      </c>
      <c r="L553" s="3" t="inlineStr">
        <is>
          <t>SL-S51-01</t>
        </is>
      </c>
      <c r="M553" s="3" t="inlineStr">
        <is>
          <t>R08; R13; R23; R27; R31</t>
        </is>
      </c>
      <c r="N553" s="10" t="inlineStr">
        <is>
          <t>Não iniciado</t>
        </is>
      </c>
      <c r="O553" s="3" t="inlineStr">
        <is>
          <t>P0</t>
        </is>
      </c>
      <c r="P553" s="3" t="inlineStr">
        <is>
          <t>Crítico</t>
        </is>
      </c>
      <c r="Q553" s="3" t="inlineStr">
        <is>
          <t>Obrigatória no escopo da versão</t>
        </is>
      </c>
      <c r="R553" s="10" t="inlineStr">
        <is>
          <t>Autor + agente de IA</t>
        </is>
      </c>
      <c r="S553" s="10" t="inlineStr"/>
      <c r="T553" s="11" t="inlineStr"/>
      <c r="U553" s="3" t="inlineStr">
        <is>
          <t>reports/S51/SL-S51-02.md</t>
        </is>
      </c>
      <c r="V553" s="10" t="inlineStr"/>
      <c r="W553" s="10" t="inlineStr"/>
      <c r="X553" s="3">
        <f>IF(N553="Concluído",IF(AND(S553&lt;&gt;"",ISNUMBER(T553),T553&gt;0,V553&lt;&gt;"",AND(OR(X552="OK",X552="DISPENSADO"))),"OK","REVISAR"),IF(N553="Dispensado (ADR)",IF(AND(LEFT(Q553,11)="Condicional",W553&lt;&gt;"",S553&lt;&gt;"",ISNUMBER(T553),T553&gt;0,V553&lt;&gt;""),"DISPENSADO","REVISAR"),"PENDENTE"))</f>
        <v/>
      </c>
      <c r="Y553" s="10" t="inlineStr"/>
    </row>
    <row r="554" ht="112" customHeight="1">
      <c r="A554" s="3" t="n">
        <v>553</v>
      </c>
      <c r="B554" s="3" t="inlineStr">
        <is>
          <t>SL-S51-03</t>
        </is>
      </c>
      <c r="C554" s="9" t="inlineStr">
        <is>
          <t>v0.9.0</t>
        </is>
      </c>
      <c r="D554" s="9" t="inlineStr">
        <is>
          <t>S51</t>
        </is>
      </c>
      <c r="E554" s="3" t="inlineStr">
        <is>
          <t>Copiloto / GenerationProvider</t>
        </is>
      </c>
      <c r="F554" s="3" t="inlineStr">
        <is>
          <t>Integração</t>
        </is>
      </c>
      <c r="G554" s="3" t="inlineStr">
        <is>
          <t>Implementação</t>
        </is>
      </c>
      <c r="H554" s="3" t="inlineStr">
        <is>
          <t>Gerenciar segredos e consentimento</t>
        </is>
      </c>
      <c r="I554" s="3" t="inlineStr">
        <is>
          <t>Aplicar escopo da Peça/fontes e armazenar chave no SO.</t>
        </is>
      </c>
      <c r="J554" s="3" t="inlineStr">
        <is>
          <t>crates/model-gateway/src/remote_policy.rs</t>
        </is>
      </c>
      <c r="K554" s="3" t="inlineStr">
        <is>
          <t>Trocar para remoto não envia automaticamente o contexto inteiro usado no modo local.</t>
        </is>
      </c>
      <c r="L554" s="3" t="inlineStr">
        <is>
          <t>SL-S51-02</t>
        </is>
      </c>
      <c r="M554" s="3" t="inlineStr">
        <is>
          <t>R08; R13; R23; R27; R31</t>
        </is>
      </c>
      <c r="N554" s="10" t="inlineStr">
        <is>
          <t>Não iniciado</t>
        </is>
      </c>
      <c r="O554" s="3" t="inlineStr">
        <is>
          <t>P0</t>
        </is>
      </c>
      <c r="P554" s="3" t="inlineStr">
        <is>
          <t>Crítico</t>
        </is>
      </c>
      <c r="Q554" s="3" t="inlineStr">
        <is>
          <t>Obrigatória no escopo da versão</t>
        </is>
      </c>
      <c r="R554" s="10" t="inlineStr">
        <is>
          <t>Autor + agente de IA</t>
        </is>
      </c>
      <c r="S554" s="10" t="inlineStr"/>
      <c r="T554" s="11" t="inlineStr"/>
      <c r="U554" s="3" t="inlineStr">
        <is>
          <t>reports/S51/SL-S51-03.md</t>
        </is>
      </c>
      <c r="V554" s="10" t="inlineStr"/>
      <c r="W554" s="10" t="inlineStr"/>
      <c r="X554" s="3">
        <f>IF(N554="Concluído",IF(AND(S554&lt;&gt;"",ISNUMBER(T554),T554&gt;0,V554&lt;&gt;"",AND(OR(X553="OK",X553="DISPENSADO"))),"OK","REVISAR"),IF(N554="Dispensado (ADR)",IF(AND(LEFT(Q554,11)="Condicional",W554&lt;&gt;"",S554&lt;&gt;"",ISNUMBER(T554),T554&gt;0,V554&lt;&gt;""),"DISPENSADO","REVISAR"),"PENDENTE"))</f>
        <v/>
      </c>
      <c r="Y554" s="10" t="inlineStr"/>
    </row>
    <row r="555" ht="112" customHeight="1">
      <c r="A555" s="3" t="n">
        <v>554</v>
      </c>
      <c r="B555" s="3" t="inlineStr">
        <is>
          <t>SL-S51-04</t>
        </is>
      </c>
      <c r="C555" s="9" t="inlineStr">
        <is>
          <t>v0.9.0</t>
        </is>
      </c>
      <c r="D555" s="9" t="inlineStr">
        <is>
          <t>S51</t>
        </is>
      </c>
      <c r="E555" s="3" t="inlineStr">
        <is>
          <t>Copiloto / GenerationProvider</t>
        </is>
      </c>
      <c r="F555" s="3" t="inlineStr">
        <is>
          <t>Integração</t>
        </is>
      </c>
      <c r="G555" s="3" t="inlineStr">
        <is>
          <t>Implementação</t>
        </is>
      </c>
      <c r="H555" s="3" t="inlineStr">
        <is>
          <t>Montar contexto editorial</t>
        </is>
      </c>
      <c r="I555" s="3" t="inlineStr">
        <is>
          <t>Combinar seleção, objetivos e evidências autorizadas sob budget.</t>
        </is>
      </c>
      <c r="J555" s="3" t="inlineStr">
        <is>
          <t>crates/copilot/src/context.rs</t>
        </is>
      </c>
      <c r="K555" s="3" t="inlineStr">
        <is>
          <t>Conteúdo fora do escopo não entra por link/citação indireta sem autorização.</t>
        </is>
      </c>
      <c r="L555" s="3" t="inlineStr">
        <is>
          <t>SL-S51-03</t>
        </is>
      </c>
      <c r="M555" s="3" t="inlineStr">
        <is>
          <t>R08; R13; R23; R27; R31</t>
        </is>
      </c>
      <c r="N555" s="10" t="inlineStr">
        <is>
          <t>Não iniciado</t>
        </is>
      </c>
      <c r="O555" s="3" t="inlineStr">
        <is>
          <t>P0</t>
        </is>
      </c>
      <c r="P555" s="3" t="inlineStr">
        <is>
          <t>Crítico</t>
        </is>
      </c>
      <c r="Q555" s="3" t="inlineStr">
        <is>
          <t>Obrigatória no escopo da versão</t>
        </is>
      </c>
      <c r="R555" s="10" t="inlineStr">
        <is>
          <t>Autor + agente de IA</t>
        </is>
      </c>
      <c r="S555" s="10" t="inlineStr"/>
      <c r="T555" s="11" t="inlineStr"/>
      <c r="U555" s="3" t="inlineStr">
        <is>
          <t>reports/S51/SL-S51-04.md</t>
        </is>
      </c>
      <c r="V555" s="10" t="inlineStr"/>
      <c r="W555" s="10" t="inlineStr"/>
      <c r="X555" s="3">
        <f>IF(N555="Concluído",IF(AND(S555&lt;&gt;"",ISNUMBER(T555),T555&gt;0,V555&lt;&gt;"",AND(OR(X554="OK",X554="DISPENSADO"))),"OK","REVISAR"),IF(N555="Dispensado (ADR)",IF(AND(LEFT(Q555,11)="Condicional",W555&lt;&gt;"",S555&lt;&gt;"",ISNUMBER(T555),T555&gt;0,V555&lt;&gt;""),"DISPENSADO","REVISAR"),"PENDENTE"))</f>
        <v/>
      </c>
      <c r="Y555" s="10" t="inlineStr"/>
    </row>
    <row r="556" ht="112" customHeight="1">
      <c r="A556" s="3" t="n">
        <v>555</v>
      </c>
      <c r="B556" s="3" t="inlineStr">
        <is>
          <t>SL-S51-05</t>
        </is>
      </c>
      <c r="C556" s="9" t="inlineStr">
        <is>
          <t>v0.9.0</t>
        </is>
      </c>
      <c r="D556" s="9" t="inlineStr">
        <is>
          <t>S51</t>
        </is>
      </c>
      <c r="E556" s="3" t="inlineStr">
        <is>
          <t>Copiloto / GenerationProvider</t>
        </is>
      </c>
      <c r="F556" s="3" t="inlineStr">
        <is>
          <t>Integração</t>
        </is>
      </c>
      <c r="G556" s="3" t="inlineStr">
        <is>
          <t>Implementação</t>
        </is>
      </c>
      <c r="H556" s="3" t="inlineStr">
        <is>
          <t>Executar geração cancelável</t>
        </is>
      </c>
      <c r="I556" s="3" t="inlineStr">
        <is>
          <t>Exibir streaming e estado parcial sem aplicar texto durante geração.</t>
        </is>
      </c>
      <c r="J556" s="3" t="inlineStr">
        <is>
          <t>crates/copilot/src/session.rs</t>
        </is>
      </c>
      <c r="K556" s="3" t="inlineStr">
        <is>
          <t>Cancelar mantém a Peça original e não registra proposta parcial como aceita.</t>
        </is>
      </c>
      <c r="L556" s="3" t="inlineStr">
        <is>
          <t>SL-S51-04</t>
        </is>
      </c>
      <c r="M556" s="3" t="inlineStr">
        <is>
          <t>R08; R13; R23; R27; R31</t>
        </is>
      </c>
      <c r="N556" s="10" t="inlineStr">
        <is>
          <t>Não iniciado</t>
        </is>
      </c>
      <c r="O556" s="3" t="inlineStr">
        <is>
          <t>P0</t>
        </is>
      </c>
      <c r="P556" s="3" t="inlineStr">
        <is>
          <t>Crítico</t>
        </is>
      </c>
      <c r="Q556" s="3" t="inlineStr">
        <is>
          <t>Obrigatória no escopo da versão</t>
        </is>
      </c>
      <c r="R556" s="10" t="inlineStr">
        <is>
          <t>Autor + agente de IA</t>
        </is>
      </c>
      <c r="S556" s="10" t="inlineStr"/>
      <c r="T556" s="11" t="inlineStr"/>
      <c r="U556" s="3" t="inlineStr">
        <is>
          <t>reports/S51/SL-S51-05.md</t>
        </is>
      </c>
      <c r="V556" s="10" t="inlineStr"/>
      <c r="W556" s="10" t="inlineStr"/>
      <c r="X556" s="3">
        <f>IF(N556="Concluído",IF(AND(S556&lt;&gt;"",ISNUMBER(T556),T556&gt;0,V556&lt;&gt;"",AND(OR(X555="OK",X555="DISPENSADO"))),"OK","REVISAR"),IF(N556="Dispensado (ADR)",IF(AND(LEFT(Q556,11)="Condicional",W556&lt;&gt;"",S556&lt;&gt;"",ISNUMBER(T556),T556&gt;0,V556&lt;&gt;""),"DISPENSADO","REVISAR"),"PENDENTE"))</f>
        <v/>
      </c>
      <c r="Y556" s="10" t="inlineStr"/>
    </row>
    <row r="557" ht="112" customHeight="1">
      <c r="A557" s="3" t="n">
        <v>556</v>
      </c>
      <c r="B557" s="3" t="inlineStr">
        <is>
          <t>SL-S51-06</t>
        </is>
      </c>
      <c r="C557" s="9" t="inlineStr">
        <is>
          <t>v0.9.0</t>
        </is>
      </c>
      <c r="D557" s="9" t="inlineStr">
        <is>
          <t>S51</t>
        </is>
      </c>
      <c r="E557" s="3" t="inlineStr">
        <is>
          <t>Copiloto / GenerationProvider</t>
        </is>
      </c>
      <c r="F557" s="3" t="inlineStr">
        <is>
          <t>Integração</t>
        </is>
      </c>
      <c r="G557" s="3" t="inlineStr">
        <is>
          <t>Implementação</t>
        </is>
      </c>
      <c r="H557" s="3" t="inlineStr">
        <is>
          <t>Criar diff por blocos</t>
        </is>
      </c>
      <c r="I557" s="3" t="inlineStr">
        <is>
          <t>Mostrar adições/remoções e referências alteradas.</t>
        </is>
      </c>
      <c r="J557" s="3" t="inlineStr">
        <is>
          <t>apps/desktop/src/copilot/diff.ts</t>
        </is>
      </c>
      <c r="K557" s="3" t="inlineStr">
        <is>
          <t>Usuário distingue mudança de argumento de simples formatação.</t>
        </is>
      </c>
      <c r="L557" s="3" t="inlineStr">
        <is>
          <t>SL-S51-05</t>
        </is>
      </c>
      <c r="M557" s="3" t="inlineStr">
        <is>
          <t>R08; R13; R23; R27; R31</t>
        </is>
      </c>
      <c r="N557" s="10" t="inlineStr">
        <is>
          <t>Não iniciado</t>
        </is>
      </c>
      <c r="O557" s="3" t="inlineStr">
        <is>
          <t>P0</t>
        </is>
      </c>
      <c r="P557" s="3" t="inlineStr">
        <is>
          <t>Crítico</t>
        </is>
      </c>
      <c r="Q557" s="3" t="inlineStr">
        <is>
          <t>Obrigatória no escopo da versão</t>
        </is>
      </c>
      <c r="R557" s="10" t="inlineStr">
        <is>
          <t>Autor + agente de IA</t>
        </is>
      </c>
      <c r="S557" s="10" t="inlineStr"/>
      <c r="T557" s="11" t="inlineStr"/>
      <c r="U557" s="3" t="inlineStr">
        <is>
          <t>reports/S51/SL-S51-06.md</t>
        </is>
      </c>
      <c r="V557" s="10" t="inlineStr"/>
      <c r="W557" s="10" t="inlineStr"/>
      <c r="X557" s="3">
        <f>IF(N557="Concluído",IF(AND(S557&lt;&gt;"",ISNUMBER(T557),T557&gt;0,V557&lt;&gt;"",AND(OR(X556="OK",X556="DISPENSADO"))),"OK","REVISAR"),IF(N557="Dispensado (ADR)",IF(AND(LEFT(Q557,11)="Condicional",W557&lt;&gt;"",S557&lt;&gt;"",ISNUMBER(T557),T557&gt;0,V557&lt;&gt;""),"DISPENSADO","REVISAR"),"PENDENTE"))</f>
        <v/>
      </c>
      <c r="Y557" s="10" t="inlineStr"/>
    </row>
    <row r="558" ht="112" customHeight="1">
      <c r="A558" s="3" t="n">
        <v>557</v>
      </c>
      <c r="B558" s="3" t="inlineStr">
        <is>
          <t>SL-S51-07</t>
        </is>
      </c>
      <c r="C558" s="9" t="inlineStr">
        <is>
          <t>v0.9.0</t>
        </is>
      </c>
      <c r="D558" s="9" t="inlineStr">
        <is>
          <t>S51</t>
        </is>
      </c>
      <c r="E558" s="3" t="inlineStr">
        <is>
          <t>Copiloto / GenerationProvider</t>
        </is>
      </c>
      <c r="F558" s="3" t="inlineStr">
        <is>
          <t>Integração</t>
        </is>
      </c>
      <c r="G558" s="3" t="inlineStr">
        <is>
          <t>Implementação</t>
        </is>
      </c>
      <c r="H558" s="3" t="inlineStr">
        <is>
          <t>Aplicar proposta atomicamente</t>
        </is>
      </c>
      <c r="I558" s="3" t="inlineStr">
        <is>
          <t>Validar base_revision e permitir aceite parcial conforme contrato.</t>
        </is>
      </c>
      <c r="J558" s="3" t="inlineStr">
        <is>
          <t>crates/copilot/src/apply.rs</t>
        </is>
      </c>
      <c r="K558" s="3" t="inlineStr">
        <is>
          <t>Peça editada durante geração gera conflito/rebase explícito, não overwrite.</t>
        </is>
      </c>
      <c r="L558" s="3" t="inlineStr">
        <is>
          <t>SL-S51-06</t>
        </is>
      </c>
      <c r="M558" s="3" t="inlineStr">
        <is>
          <t>R08; R13; R23; R27; R31</t>
        </is>
      </c>
      <c r="N558" s="10" t="inlineStr">
        <is>
          <t>Não iniciado</t>
        </is>
      </c>
      <c r="O558" s="3" t="inlineStr">
        <is>
          <t>P0</t>
        </is>
      </c>
      <c r="P558" s="3" t="inlineStr">
        <is>
          <t>Crítico</t>
        </is>
      </c>
      <c r="Q558" s="3" t="inlineStr">
        <is>
          <t>Obrigatória no escopo da versão</t>
        </is>
      </c>
      <c r="R558" s="10" t="inlineStr">
        <is>
          <t>Autor + agente de IA</t>
        </is>
      </c>
      <c r="S558" s="10" t="inlineStr"/>
      <c r="T558" s="11" t="inlineStr"/>
      <c r="U558" s="3" t="inlineStr">
        <is>
          <t>reports/S51/SL-S51-07.md</t>
        </is>
      </c>
      <c r="V558" s="10" t="inlineStr"/>
      <c r="W558" s="10" t="inlineStr"/>
      <c r="X558" s="3">
        <f>IF(N558="Concluído",IF(AND(S558&lt;&gt;"",ISNUMBER(T558),T558&gt;0,V558&lt;&gt;"",AND(OR(X557="OK",X557="DISPENSADO"))),"OK","REVISAR"),IF(N558="Dispensado (ADR)",IF(AND(LEFT(Q558,11)="Condicional",W558&lt;&gt;"",S558&lt;&gt;"",ISNUMBER(T558),T558&gt;0,V558&lt;&gt;""),"DISPENSADO","REVISAR"),"PENDENTE"))</f>
        <v/>
      </c>
      <c r="Y558" s="10" t="inlineStr"/>
    </row>
    <row r="559" ht="112" customHeight="1">
      <c r="A559" s="3" t="n">
        <v>558</v>
      </c>
      <c r="B559" s="3" t="inlineStr">
        <is>
          <t>SL-S51-08</t>
        </is>
      </c>
      <c r="C559" s="9" t="inlineStr">
        <is>
          <t>v0.9.0</t>
        </is>
      </c>
      <c r="D559" s="9" t="inlineStr">
        <is>
          <t>S51</t>
        </is>
      </c>
      <c r="E559" s="3" t="inlineStr">
        <is>
          <t>Copiloto / GenerationProvider</t>
        </is>
      </c>
      <c r="F559" s="3" t="inlineStr">
        <is>
          <t>Integração</t>
        </is>
      </c>
      <c r="G559" s="3" t="inlineStr">
        <is>
          <t>Implementação</t>
        </is>
      </c>
      <c r="H559" s="3" t="inlineStr">
        <is>
          <t>Registrar proveniência de IA</t>
        </is>
      </c>
      <c r="I559" s="3" t="inlineStr">
        <is>
          <t>Gravar provedor/modelo e evento aceito sem expor segredos.</t>
        </is>
      </c>
      <c r="J559" s="3" t="inlineStr">
        <is>
          <t>crates/copilot/src/provenance.rs</t>
        </is>
      </c>
      <c r="K559" s="3" t="inlineStr">
        <is>
          <t>IA é marcada como origem da proposta, não fonte independente do conteúdo factual.</t>
        </is>
      </c>
      <c r="L559" s="3" t="inlineStr">
        <is>
          <t>SL-S51-07</t>
        </is>
      </c>
      <c r="M559" s="3" t="inlineStr">
        <is>
          <t>R08; R13; R23; R27; R31</t>
        </is>
      </c>
      <c r="N559" s="10" t="inlineStr">
        <is>
          <t>Não iniciado</t>
        </is>
      </c>
      <c r="O559" s="3" t="inlineStr">
        <is>
          <t>P0</t>
        </is>
      </c>
      <c r="P559" s="3" t="inlineStr">
        <is>
          <t>Crítico</t>
        </is>
      </c>
      <c r="Q559" s="3" t="inlineStr">
        <is>
          <t>Obrigatória no escopo da versão</t>
        </is>
      </c>
      <c r="R559" s="10" t="inlineStr">
        <is>
          <t>Autor + agente de IA</t>
        </is>
      </c>
      <c r="S559" s="10" t="inlineStr"/>
      <c r="T559" s="11" t="inlineStr"/>
      <c r="U559" s="3" t="inlineStr">
        <is>
          <t>reports/S51/SL-S51-08.md</t>
        </is>
      </c>
      <c r="V559" s="10" t="inlineStr"/>
      <c r="W559" s="10" t="inlineStr"/>
      <c r="X559" s="3">
        <f>IF(N559="Concluído",IF(AND(S559&lt;&gt;"",ISNUMBER(T559),T559&gt;0,V559&lt;&gt;"",AND(OR(X558="OK",X558="DISPENSADO"))),"OK","REVISAR"),IF(N559="Dispensado (ADR)",IF(AND(LEFT(Q559,11)="Condicional",W559&lt;&gt;"",S559&lt;&gt;"",ISNUMBER(T559),T559&gt;0,V559&lt;&gt;""),"DISPENSADO","REVISAR"),"PENDENTE"))</f>
        <v/>
      </c>
      <c r="Y559" s="10" t="inlineStr"/>
    </row>
    <row r="560" ht="112" customHeight="1">
      <c r="A560" s="3" t="n">
        <v>559</v>
      </c>
      <c r="B560" s="3" t="inlineStr">
        <is>
          <t>SL-S51-09</t>
        </is>
      </c>
      <c r="C560" s="9" t="inlineStr">
        <is>
          <t>v0.9.0</t>
        </is>
      </c>
      <c r="D560" s="9" t="inlineStr">
        <is>
          <t>S51</t>
        </is>
      </c>
      <c r="E560" s="3" t="inlineStr">
        <is>
          <t>Copiloto / GenerationProvider</t>
        </is>
      </c>
      <c r="F560" s="3" t="inlineStr">
        <is>
          <t>Integração</t>
        </is>
      </c>
      <c r="G560" s="3" t="inlineStr">
        <is>
          <t>Teste</t>
        </is>
      </c>
      <c r="H560" s="3" t="inlineStr">
        <is>
          <t>Testar falhas e injeção</t>
        </is>
      </c>
      <c r="I560" s="3" t="inlineStr">
        <is>
          <t>Cobrir resposta sem referência, patch inválido, prompt hostil e provedor offline.</t>
        </is>
      </c>
      <c r="J560" s="3" t="inlineStr">
        <is>
          <t>tests/copilot/</t>
        </is>
      </c>
      <c r="K560" s="3" t="inlineStr">
        <is>
          <t>Nenhuma falha concede escrita fora do bloco/escopo autorizado.</t>
        </is>
      </c>
      <c r="L560" s="3" t="inlineStr">
        <is>
          <t>SL-S51-08</t>
        </is>
      </c>
      <c r="M560" s="3" t="inlineStr">
        <is>
          <t>R08; R13; R23; R27; R31</t>
        </is>
      </c>
      <c r="N560" s="10" t="inlineStr">
        <is>
          <t>Não iniciado</t>
        </is>
      </c>
      <c r="O560" s="3" t="inlineStr">
        <is>
          <t>P0</t>
        </is>
      </c>
      <c r="P560" s="3" t="inlineStr">
        <is>
          <t>Crítico</t>
        </is>
      </c>
      <c r="Q560" s="3" t="inlineStr">
        <is>
          <t>Obrigatória no escopo da versão</t>
        </is>
      </c>
      <c r="R560" s="10" t="inlineStr">
        <is>
          <t>Autor + agente de IA</t>
        </is>
      </c>
      <c r="S560" s="10" t="inlineStr"/>
      <c r="T560" s="11" t="inlineStr"/>
      <c r="U560" s="3" t="inlineStr">
        <is>
          <t>reports/S51/SL-S51-09.md</t>
        </is>
      </c>
      <c r="V560" s="10" t="inlineStr"/>
      <c r="W560" s="10" t="inlineStr"/>
      <c r="X560" s="3">
        <f>IF(N560="Concluído",IF(AND(S560&lt;&gt;"",ISNUMBER(T560),T560&gt;0,V560&lt;&gt;"",AND(OR(X559="OK",X559="DISPENSADO"))),"OK","REVISAR"),IF(N560="Dispensado (ADR)",IF(AND(LEFT(Q560,11)="Condicional",W560&lt;&gt;"",S560&lt;&gt;"",ISNUMBER(T560),T560&gt;0,V560&lt;&gt;""),"DISPENSADO","REVISAR"),"PENDENTE"))</f>
        <v/>
      </c>
      <c r="Y560" s="10" t="inlineStr"/>
    </row>
    <row r="561" ht="112" customHeight="1">
      <c r="A561" s="3" t="n">
        <v>560</v>
      </c>
      <c r="B561" s="3" t="inlineStr">
        <is>
          <t>SL-S51-10</t>
        </is>
      </c>
      <c r="C561" s="9" t="inlineStr">
        <is>
          <t>v0.9.0</t>
        </is>
      </c>
      <c r="D561" s="9" t="inlineStr">
        <is>
          <t>S51</t>
        </is>
      </c>
      <c r="E561" s="3" t="inlineStr">
        <is>
          <t>Copiloto / GenerationProvider</t>
        </is>
      </c>
      <c r="F561" s="3" t="inlineStr">
        <is>
          <t>Integração</t>
        </is>
      </c>
      <c r="G561" s="3" t="inlineStr">
        <is>
          <t>Teste</t>
        </is>
      </c>
      <c r="H561" s="3" t="inlineStr">
        <is>
          <t>Validar revisão e rollback</t>
        </is>
      </c>
      <c r="I561" s="3" t="inlineStr">
        <is>
          <t>Aceitar parte, desfazer e reconstruir histórico em modo offline.</t>
        </is>
      </c>
      <c r="J561" s="3" t="inlineStr">
        <is>
          <t>reports/copilot/editorial-acceptance.md</t>
        </is>
      </c>
      <c r="K561" s="3" t="inlineStr">
        <is>
          <t>Ação autoral é recuperável e o resultado não depende de conversa hospedada externamente.</t>
        </is>
      </c>
      <c r="L561" s="3" t="inlineStr">
        <is>
          <t>SL-S51-09</t>
        </is>
      </c>
      <c r="M561" s="3" t="inlineStr">
        <is>
          <t>R08; R13; R23; R27; R31</t>
        </is>
      </c>
      <c r="N561" s="10" t="inlineStr">
        <is>
          <t>Não iniciado</t>
        </is>
      </c>
      <c r="O561" s="3" t="inlineStr">
        <is>
          <t>P0</t>
        </is>
      </c>
      <c r="P561" s="3" t="inlineStr">
        <is>
          <t>Crítico</t>
        </is>
      </c>
      <c r="Q561" s="3" t="inlineStr">
        <is>
          <t>Obrigatória no escopo da versão</t>
        </is>
      </c>
      <c r="R561" s="10" t="inlineStr">
        <is>
          <t>Autor + agente de IA</t>
        </is>
      </c>
      <c r="S561" s="10" t="inlineStr"/>
      <c r="T561" s="11" t="inlineStr"/>
      <c r="U561" s="3" t="inlineStr">
        <is>
          <t>reports/S51/SL-S51-10.md</t>
        </is>
      </c>
      <c r="V561" s="10" t="inlineStr"/>
      <c r="W561" s="10" t="inlineStr"/>
      <c r="X561" s="3">
        <f>IF(N561="Concluído",IF(AND(S561&lt;&gt;"",ISNUMBER(T561),T561&gt;0,V561&lt;&gt;"",AND(OR(X560="OK",X560="DISPENSADO"))),"OK","REVISAR"),IF(N561="Dispensado (ADR)",IF(AND(LEFT(Q561,11)="Condicional",W561&lt;&gt;"",S561&lt;&gt;"",ISNUMBER(T561),T561&gt;0,V561&lt;&gt;""),"DISPENSADO","REVISAR"),"PENDENTE"))</f>
        <v/>
      </c>
      <c r="Y561" s="10" t="inlineStr"/>
    </row>
    <row r="562" ht="98" customHeight="1">
      <c r="A562" s="3" t="n">
        <v>561</v>
      </c>
      <c r="B562" s="12" t="inlineStr">
        <is>
          <t>SL-S51-GATE</t>
        </is>
      </c>
      <c r="C562" s="9" t="inlineStr">
        <is>
          <t>v0.9.0</t>
        </is>
      </c>
      <c r="D562" s="9" t="inlineStr">
        <is>
          <t>S51</t>
        </is>
      </c>
      <c r="E562" s="3" t="inlineStr">
        <is>
          <t>Copiloto / GenerationProvider</t>
        </is>
      </c>
      <c r="F562" s="3" t="inlineStr">
        <is>
          <t>Aceite humano</t>
        </is>
      </c>
      <c r="G562" s="12" t="inlineStr">
        <is>
          <t>Gate</t>
        </is>
      </c>
      <c r="H562" s="12" t="inlineStr">
        <is>
          <t>Aceitar S51 — Integrar copiloto editorial e BYOK</t>
        </is>
      </c>
      <c r="I562" s="3" t="inlineStr">
        <is>
          <t>Revisar as dez tarefas, executar a demonstração do sprint, confrontar critérios e registrar decisão go/no-go.</t>
        </is>
      </c>
      <c r="J562" s="3" t="inlineStr">
        <is>
          <t>reports/S51/acceptance.md</t>
        </is>
      </c>
      <c r="K562" s="3" t="inlineStr">
        <is>
          <t>Solicitar revisão de parágrafo, comparar proposta e aceitar somente blocos selecionados. Todas as dependências aceitas; evidências vinculadas a revisão/ambiente; nenhum blocker de integridade/segurança.</t>
        </is>
      </c>
      <c r="L562" s="3" t="inlineStr">
        <is>
          <t>SL-S51-01; SL-S51-02; SL-S51-03; SL-S51-04; SL-S51-05; SL-S51-06; SL-S51-07; SL-S51-08; SL-S51-09; SL-S51-10</t>
        </is>
      </c>
      <c r="M562" s="3" t="inlineStr">
        <is>
          <t>R08; R13; R23; R27; R31</t>
        </is>
      </c>
      <c r="N562" s="10" t="inlineStr">
        <is>
          <t>Não iniciado</t>
        </is>
      </c>
      <c r="O562" s="3" t="inlineStr">
        <is>
          <t>P0</t>
        </is>
      </c>
      <c r="P562" s="3" t="inlineStr">
        <is>
          <t>Crítico</t>
        </is>
      </c>
      <c r="Q562" s="3" t="inlineStr">
        <is>
          <t>Obrigatória para fechar a versão aprovada</t>
        </is>
      </c>
      <c r="R562" s="10" t="inlineStr">
        <is>
          <t>Autor</t>
        </is>
      </c>
      <c r="S562" s="10" t="inlineStr"/>
      <c r="T562" s="11" t="inlineStr"/>
      <c r="U562" s="3" t="inlineStr">
        <is>
          <t>reports/S51/acceptance.md</t>
        </is>
      </c>
      <c r="V562" s="10" t="inlineStr"/>
      <c r="W562" s="10" t="inlineStr"/>
      <c r="X562" s="3">
        <f>IF(N562="Concluído",IF(AND(S562&lt;&gt;"",ISNUMBER(T562),T562&gt;0,V562&lt;&gt;"",AND(OR(X552="OK",X552="DISPENSADO"),OR(X553="OK",X553="DISPENSADO"),OR(X554="OK",X554="DISPENSADO"),OR(X555="OK",X555="DISPENSADO"),OR(X556="OK",X556="DISPENSADO"),OR(X557="OK",X557="DISPENSADO"),OR(X558="OK",X558="DISPENSADO"),OR(X559="OK",X559="DISPENSADO"),OR(X560="OK",X560="DISPENSADO"),OR(X561="OK",X561="DISPENSADO"))),"OK","REVISAR"),IF(N562="Dispensado (ADR)",IF(AND(LEFT(Q562,11)="Condicional",W562&lt;&gt;"",S562&lt;&gt;"",ISNUMBER(T562),T562&gt;0,V562&lt;&gt;""),"DISPENSADO","REVISAR"),"PENDENTE"))</f>
        <v/>
      </c>
      <c r="Y562" s="10" t="inlineStr"/>
    </row>
    <row r="563" ht="112" customHeight="1">
      <c r="A563" s="3" t="n">
        <v>562</v>
      </c>
      <c r="B563" s="3" t="inlineStr">
        <is>
          <t>SL-S52-01</t>
        </is>
      </c>
      <c r="C563" s="9" t="inlineStr">
        <is>
          <t>v0.9.0</t>
        </is>
      </c>
      <c r="D563" s="9" t="inlineStr">
        <is>
          <t>S52</t>
        </is>
      </c>
      <c r="E563" s="3" t="inlineStr">
        <is>
          <t>IntentService / chat</t>
        </is>
      </c>
      <c r="F563" s="3" t="inlineStr">
        <is>
          <t>Próprio</t>
        </is>
      </c>
      <c r="G563" s="3" t="inlineStr">
        <is>
          <t>Contrato</t>
        </is>
      </c>
      <c r="H563" s="3" t="inlineStr">
        <is>
          <t>Definir intenções</t>
        </is>
      </c>
      <c r="I563" s="3" t="inlineStr">
        <is>
          <t>Persistir objetivos, hipóteses, temas, estado e limites de escopo.</t>
        </is>
      </c>
      <c r="J563" s="3" t="inlineStr">
        <is>
          <t>schemas/intention-v0.json</t>
        </is>
      </c>
      <c r="K563" s="3" t="inlineStr">
        <is>
          <t>Intenção possui identidade/revisão e não existe apenas em memória de chat.</t>
        </is>
      </c>
      <c r="L563" s="3" t="inlineStr">
        <is>
          <t>SL-S35-GATE; SL-S41-GATE; SL-S46-GATE; SL-S51-GATE</t>
        </is>
      </c>
      <c r="M563" s="3" t="inlineStr">
        <is>
          <t>R08; R18; R21; R23; R28</t>
        </is>
      </c>
      <c r="N563" s="10" t="inlineStr">
        <is>
          <t>Não iniciado</t>
        </is>
      </c>
      <c r="O563" s="3" t="inlineStr">
        <is>
          <t>P0</t>
        </is>
      </c>
      <c r="P563" s="3" t="inlineStr">
        <is>
          <t>Crítico</t>
        </is>
      </c>
      <c r="Q563" s="3" t="inlineStr">
        <is>
          <t>Obrigatória no escopo da versão</t>
        </is>
      </c>
      <c r="R563" s="10" t="inlineStr">
        <is>
          <t>Autor + agente de IA</t>
        </is>
      </c>
      <c r="S563" s="10" t="inlineStr"/>
      <c r="T563" s="11" t="inlineStr"/>
      <c r="U563" s="3" t="inlineStr">
        <is>
          <t>reports/S52/SL-S52-01.md</t>
        </is>
      </c>
      <c r="V563" s="10" t="inlineStr"/>
      <c r="W563" s="10" t="inlineStr"/>
      <c r="X563" s="3">
        <f>IF(N563="Concluído",IF(AND(S563&lt;&gt;"",ISNUMBER(T563),T563&gt;0,V563&lt;&gt;"",AND(OR(X386="OK",X386="DISPENSADO"),OR(X452="OK",X452="DISPENSADO"),OR(X507="OK",X507="DISPENSADO"),OR(X562="OK",X562="DISPENSADO"))),"OK","REVISAR"),IF(N563="Dispensado (ADR)",IF(AND(LEFT(Q563,11)="Condicional",W563&lt;&gt;"",S563&lt;&gt;"",ISNUMBER(T563),T563&gt;0,V563&lt;&gt;""),"DISPENSADO","REVISAR"),"PENDENTE"))</f>
        <v/>
      </c>
      <c r="Y563" s="10" t="inlineStr"/>
    </row>
    <row r="564" ht="112" customHeight="1">
      <c r="A564" s="3" t="n">
        <v>563</v>
      </c>
      <c r="B564" s="3" t="inlineStr">
        <is>
          <t>SL-S52-02</t>
        </is>
      </c>
      <c r="C564" s="9" t="inlineStr">
        <is>
          <t>v0.9.0</t>
        </is>
      </c>
      <c r="D564" s="9" t="inlineStr">
        <is>
          <t>S52</t>
        </is>
      </c>
      <c r="E564" s="3" t="inlineStr">
        <is>
          <t>IntentService / chat</t>
        </is>
      </c>
      <c r="F564" s="3" t="inlineStr">
        <is>
          <t>Próprio</t>
        </is>
      </c>
      <c r="G564" s="3" t="inlineStr">
        <is>
          <t>Implementação</t>
        </is>
      </c>
      <c r="H564" s="3" t="inlineStr">
        <is>
          <t>Criar UI de metas</t>
        </is>
      </c>
      <c r="I564" s="3" t="inlineStr">
        <is>
          <t>Editar, pausar e arquivar intenções com linguagem clara.</t>
        </is>
      </c>
      <c r="J564" s="3" t="inlineStr">
        <is>
          <t>apps/desktop/src/intentions/</t>
        </is>
      </c>
      <c r="K564" s="3" t="inlineStr">
        <is>
          <t>Pausar intenção interrompe novos jobs proativos sem apagar seus dados.</t>
        </is>
      </c>
      <c r="L564" s="3" t="inlineStr">
        <is>
          <t>SL-S52-01</t>
        </is>
      </c>
      <c r="M564" s="3" t="inlineStr">
        <is>
          <t>R08; R18; R21; R23; R28</t>
        </is>
      </c>
      <c r="N564" s="10" t="inlineStr">
        <is>
          <t>Não iniciado</t>
        </is>
      </c>
      <c r="O564" s="3" t="inlineStr">
        <is>
          <t>P0</t>
        </is>
      </c>
      <c r="P564" s="3" t="inlineStr">
        <is>
          <t>Crítico</t>
        </is>
      </c>
      <c r="Q564" s="3" t="inlineStr">
        <is>
          <t>Obrigatória no escopo da versão</t>
        </is>
      </c>
      <c r="R564" s="10" t="inlineStr">
        <is>
          <t>Autor + agente de IA</t>
        </is>
      </c>
      <c r="S564" s="10" t="inlineStr"/>
      <c r="T564" s="11" t="inlineStr"/>
      <c r="U564" s="3" t="inlineStr">
        <is>
          <t>reports/S52/SL-S52-02.md</t>
        </is>
      </c>
      <c r="V564" s="10" t="inlineStr"/>
      <c r="W564" s="10" t="inlineStr"/>
      <c r="X564" s="3">
        <f>IF(N564="Concluído",IF(AND(S564&lt;&gt;"",ISNUMBER(T564),T564&gt;0,V564&lt;&gt;"",AND(OR(X563="OK",X563="DISPENSADO"))),"OK","REVISAR"),IF(N564="Dispensado (ADR)",IF(AND(LEFT(Q564,11)="Condicional",W564&lt;&gt;"",S564&lt;&gt;"",ISNUMBER(T564),T564&gt;0,V564&lt;&gt;""),"DISPENSADO","REVISAR"),"PENDENTE"))</f>
        <v/>
      </c>
      <c r="Y564" s="10" t="inlineStr"/>
    </row>
    <row r="565" ht="112" customHeight="1">
      <c r="A565" s="3" t="n">
        <v>564</v>
      </c>
      <c r="B565" s="3" t="inlineStr">
        <is>
          <t>SL-S52-03</t>
        </is>
      </c>
      <c r="C565" s="9" t="inlineStr">
        <is>
          <t>v0.9.0</t>
        </is>
      </c>
      <c r="D565" s="9" t="inlineStr">
        <is>
          <t>S52</t>
        </is>
      </c>
      <c r="E565" s="3" t="inlineStr">
        <is>
          <t>IntentService / chat</t>
        </is>
      </c>
      <c r="F565" s="3" t="inlineStr">
        <is>
          <t>Próprio</t>
        </is>
      </c>
      <c r="G565" s="3" t="inlineStr">
        <is>
          <t>Implementação</t>
        </is>
      </c>
      <c r="H565" s="3" t="inlineStr">
        <is>
          <t>Recuperar afinidades</t>
        </is>
      </c>
      <c r="I565" s="3" t="inlineStr">
        <is>
          <t>Usar busca aprovada para selecionar materiais candidatos por intenção.</t>
        </is>
      </c>
      <c r="J565" s="3" t="inlineStr">
        <is>
          <t>crates/intentions/src/candidates.rs</t>
        </is>
      </c>
      <c r="K565" s="3" t="inlineStr">
        <is>
          <t>Threshold antigo de 0,85 não é aplicado sem calibração para o modelo escolhido.</t>
        </is>
      </c>
      <c r="L565" s="3" t="inlineStr">
        <is>
          <t>SL-S52-02</t>
        </is>
      </c>
      <c r="M565" s="3" t="inlineStr">
        <is>
          <t>R08; R18; R21; R23; R28</t>
        </is>
      </c>
      <c r="N565" s="10" t="inlineStr">
        <is>
          <t>Não iniciado</t>
        </is>
      </c>
      <c r="O565" s="3" t="inlineStr">
        <is>
          <t>P0</t>
        </is>
      </c>
      <c r="P565" s="3" t="inlineStr">
        <is>
          <t>Crítico</t>
        </is>
      </c>
      <c r="Q565" s="3" t="inlineStr">
        <is>
          <t>Obrigatória no escopo da versão</t>
        </is>
      </c>
      <c r="R565" s="10" t="inlineStr">
        <is>
          <t>Autor + agente de IA</t>
        </is>
      </c>
      <c r="S565" s="10" t="inlineStr"/>
      <c r="T565" s="11" t="inlineStr"/>
      <c r="U565" s="3" t="inlineStr">
        <is>
          <t>reports/S52/SL-S52-03.md</t>
        </is>
      </c>
      <c r="V565" s="10" t="inlineStr"/>
      <c r="W565" s="10" t="inlineStr"/>
      <c r="X565" s="3">
        <f>IF(N565="Concluído",IF(AND(S565&lt;&gt;"",ISNUMBER(T565),T565&gt;0,V565&lt;&gt;"",AND(OR(X564="OK",X564="DISPENSADO"))),"OK","REVISAR"),IF(N565="Dispensado (ADR)",IF(AND(LEFT(Q565,11)="Condicional",W565&lt;&gt;"",S565&lt;&gt;"",ISNUMBER(T565),T565&gt;0,V565&lt;&gt;""),"DISPENSADO","REVISAR"),"PENDENTE"))</f>
        <v/>
      </c>
      <c r="Y565" s="10" t="inlineStr"/>
    </row>
    <row r="566" ht="112" customHeight="1">
      <c r="A566" s="3" t="n">
        <v>565</v>
      </c>
      <c r="B566" s="3" t="inlineStr">
        <is>
          <t>SL-S52-04</t>
        </is>
      </c>
      <c r="C566" s="9" t="inlineStr">
        <is>
          <t>v0.9.0</t>
        </is>
      </c>
      <c r="D566" s="9" t="inlineStr">
        <is>
          <t>S52</t>
        </is>
      </c>
      <c r="E566" s="3" t="inlineStr">
        <is>
          <t>IntentService / chat</t>
        </is>
      </c>
      <c r="F566" s="3" t="inlineStr">
        <is>
          <t>Próprio</t>
        </is>
      </c>
      <c r="G566" s="3" t="inlineStr">
        <is>
          <t>Implementação</t>
        </is>
      </c>
      <c r="H566" s="3" t="inlineStr">
        <is>
          <t>Avaliar relevância opcional</t>
        </is>
      </c>
      <c r="I566" s="3" t="inlineStr">
        <is>
          <t>Usar Jev ou alternativa local conforme política e registrar critério.</t>
        </is>
      </c>
      <c r="J566" s="3" t="inlineStr">
        <is>
          <t>crates/intentions/src/evaluate.rs</t>
        </is>
      </c>
      <c r="K566" s="3" t="inlineStr">
        <is>
          <t>Intenção sensível não é enviada remotamente apenas porque Jev está configurado globalmente.</t>
        </is>
      </c>
      <c r="L566" s="3" t="inlineStr">
        <is>
          <t>SL-S52-03</t>
        </is>
      </c>
      <c r="M566" s="3" t="inlineStr">
        <is>
          <t>R08; R18; R21; R23; R28</t>
        </is>
      </c>
      <c r="N566" s="10" t="inlineStr">
        <is>
          <t>Não iniciado</t>
        </is>
      </c>
      <c r="O566" s="3" t="inlineStr">
        <is>
          <t>P0</t>
        </is>
      </c>
      <c r="P566" s="3" t="inlineStr">
        <is>
          <t>Crítico</t>
        </is>
      </c>
      <c r="Q566" s="3" t="inlineStr">
        <is>
          <t>Obrigatória no escopo da versão</t>
        </is>
      </c>
      <c r="R566" s="10" t="inlineStr">
        <is>
          <t>Autor + agente de IA</t>
        </is>
      </c>
      <c r="S566" s="10" t="inlineStr"/>
      <c r="T566" s="11" t="inlineStr"/>
      <c r="U566" s="3" t="inlineStr">
        <is>
          <t>reports/S52/SL-S52-04.md</t>
        </is>
      </c>
      <c r="V566" s="10" t="inlineStr"/>
      <c r="W566" s="10" t="inlineStr"/>
      <c r="X566" s="3">
        <f>IF(N566="Concluído",IF(AND(S566&lt;&gt;"",ISNUMBER(T566),T566&gt;0,V566&lt;&gt;"",AND(OR(X565="OK",X565="DISPENSADO"))),"OK","REVISAR"),IF(N566="Dispensado (ADR)",IF(AND(LEFT(Q566,11)="Condicional",W566&lt;&gt;"",S566&lt;&gt;"",ISNUMBER(T566),T566&gt;0,V566&lt;&gt;""),"DISPENSADO","REVISAR"),"PENDENTE"))</f>
        <v/>
      </c>
      <c r="Y566" s="10" t="inlineStr"/>
    </row>
    <row r="567" ht="112" customHeight="1">
      <c r="A567" s="3" t="n">
        <v>566</v>
      </c>
      <c r="B567" s="3" t="inlineStr">
        <is>
          <t>SL-S52-05</t>
        </is>
      </c>
      <c r="C567" s="9" t="inlineStr">
        <is>
          <t>v0.9.0</t>
        </is>
      </c>
      <c r="D567" s="9" t="inlineStr">
        <is>
          <t>S52</t>
        </is>
      </c>
      <c r="E567" s="3" t="inlineStr">
        <is>
          <t>IntentService / chat</t>
        </is>
      </c>
      <c r="F567" s="3" t="inlineStr">
        <is>
          <t>Próprio</t>
        </is>
      </c>
      <c r="G567" s="3" t="inlineStr">
        <is>
          <t>Implementação</t>
        </is>
      </c>
      <c r="H567" s="3" t="inlineStr">
        <is>
          <t>Deduplicar notificações</t>
        </is>
      </c>
      <c r="I567" s="3" t="inlineStr">
        <is>
          <t>Aplicar cooldown, motivo e limite de volume sem gerar spam.</t>
        </is>
      </c>
      <c r="J567" s="3" t="inlineStr">
        <is>
          <t>crates/intentions/src/notifications.rs</t>
        </is>
      </c>
      <c r="K567" s="3" t="inlineStr">
        <is>
          <t>Mesmo item reindexado não dispara sugestões duplicadas incessantemente.</t>
        </is>
      </c>
      <c r="L567" s="3" t="inlineStr">
        <is>
          <t>SL-S52-04</t>
        </is>
      </c>
      <c r="M567" s="3" t="inlineStr">
        <is>
          <t>R08; R18; R21; R23; R28</t>
        </is>
      </c>
      <c r="N567" s="10" t="inlineStr">
        <is>
          <t>Não iniciado</t>
        </is>
      </c>
      <c r="O567" s="3" t="inlineStr">
        <is>
          <t>P0</t>
        </is>
      </c>
      <c r="P567" s="3" t="inlineStr">
        <is>
          <t>Crítico</t>
        </is>
      </c>
      <c r="Q567" s="3" t="inlineStr">
        <is>
          <t>Obrigatória no escopo da versão</t>
        </is>
      </c>
      <c r="R567" s="10" t="inlineStr">
        <is>
          <t>Autor + agente de IA</t>
        </is>
      </c>
      <c r="S567" s="10" t="inlineStr"/>
      <c r="T567" s="11" t="inlineStr"/>
      <c r="U567" s="3" t="inlineStr">
        <is>
          <t>reports/S52/SL-S52-05.md</t>
        </is>
      </c>
      <c r="V567" s="10" t="inlineStr"/>
      <c r="W567" s="10" t="inlineStr"/>
      <c r="X567" s="3">
        <f>IF(N567="Concluído",IF(AND(S567&lt;&gt;"",ISNUMBER(T567),T567&gt;0,V567&lt;&gt;"",AND(OR(X566="OK",X566="DISPENSADO"))),"OK","REVISAR"),IF(N567="Dispensado (ADR)",IF(AND(LEFT(Q567,11)="Condicional",W567&lt;&gt;"",S567&lt;&gt;"",ISNUMBER(T567),T567&gt;0,V567&lt;&gt;""),"DISPENSADO","REVISAR"),"PENDENTE"))</f>
        <v/>
      </c>
      <c r="Y567" s="10" t="inlineStr"/>
    </row>
    <row r="568" ht="112" customHeight="1">
      <c r="A568" s="3" t="n">
        <v>567</v>
      </c>
      <c r="B568" s="3" t="inlineStr">
        <is>
          <t>SL-S52-06</t>
        </is>
      </c>
      <c r="C568" s="9" t="inlineStr">
        <is>
          <t>v0.9.0</t>
        </is>
      </c>
      <c r="D568" s="9" t="inlineStr">
        <is>
          <t>S52</t>
        </is>
      </c>
      <c r="E568" s="3" t="inlineStr">
        <is>
          <t>IntentService / chat</t>
        </is>
      </c>
      <c r="F568" s="3" t="inlineStr">
        <is>
          <t>Próprio</t>
        </is>
      </c>
      <c r="G568" s="3" t="inlineStr">
        <is>
          <t>Implementação</t>
        </is>
      </c>
      <c r="H568" s="3" t="inlineStr">
        <is>
          <t>Criar proposta de board</t>
        </is>
      </c>
      <c r="I568" s="3" t="inlineStr">
        <is>
          <t>Apresentar candidatos, relações sugeridas e fontes para confirmação.</t>
        </is>
      </c>
      <c r="J568" s="3" t="inlineStr">
        <is>
          <t>crates/intentions/src/board_proposal.rs</t>
        </is>
      </c>
      <c r="K568" s="3" t="inlineStr">
        <is>
          <t>Arestas propostas por IA não aparecem como desenhadas pelo usuário antes do aceite.</t>
        </is>
      </c>
      <c r="L568" s="3" t="inlineStr">
        <is>
          <t>SL-S52-05</t>
        </is>
      </c>
      <c r="M568" s="3" t="inlineStr">
        <is>
          <t>R08; R18; R21; R23; R28</t>
        </is>
      </c>
      <c r="N568" s="10" t="inlineStr">
        <is>
          <t>Não iniciado</t>
        </is>
      </c>
      <c r="O568" s="3" t="inlineStr">
        <is>
          <t>P0</t>
        </is>
      </c>
      <c r="P568" s="3" t="inlineStr">
        <is>
          <t>Crítico</t>
        </is>
      </c>
      <c r="Q568" s="3" t="inlineStr">
        <is>
          <t>Obrigatória no escopo da versão</t>
        </is>
      </c>
      <c r="R568" s="10" t="inlineStr">
        <is>
          <t>Autor + agente de IA</t>
        </is>
      </c>
      <c r="S568" s="10" t="inlineStr"/>
      <c r="T568" s="11" t="inlineStr"/>
      <c r="U568" s="3" t="inlineStr">
        <is>
          <t>reports/S52/SL-S52-06.md</t>
        </is>
      </c>
      <c r="V568" s="10" t="inlineStr"/>
      <c r="W568" s="10" t="inlineStr"/>
      <c r="X568" s="3">
        <f>IF(N568="Concluído",IF(AND(S568&lt;&gt;"",ISNUMBER(T568),T568&gt;0,V568&lt;&gt;"",AND(OR(X567="OK",X567="DISPENSADO"))),"OK","REVISAR"),IF(N568="Dispensado (ADR)",IF(AND(LEFT(Q568,11)="Condicional",W568&lt;&gt;"",S568&lt;&gt;"",ISNUMBER(T568),T568&gt;0,V568&lt;&gt;""),"DISPENSADO","REVISAR"),"PENDENTE"))</f>
        <v/>
      </c>
      <c r="Y568" s="10" t="inlineStr"/>
    </row>
    <row r="569" ht="112" customHeight="1">
      <c r="A569" s="3" t="n">
        <v>568</v>
      </c>
      <c r="B569" s="3" t="inlineStr">
        <is>
          <t>SL-S52-07</t>
        </is>
      </c>
      <c r="C569" s="9" t="inlineStr">
        <is>
          <t>v0.9.0</t>
        </is>
      </c>
      <c r="D569" s="9" t="inlineStr">
        <is>
          <t>S52</t>
        </is>
      </c>
      <c r="E569" s="3" t="inlineStr">
        <is>
          <t>IntentService / chat</t>
        </is>
      </c>
      <c r="F569" s="3" t="inlineStr">
        <is>
          <t>Próprio</t>
        </is>
      </c>
      <c r="G569" s="3" t="inlineStr">
        <is>
          <t>Implementação</t>
        </is>
      </c>
      <c r="H569" s="3" t="inlineStr">
        <is>
          <t>Criar chat global com escopo</t>
        </is>
      </c>
      <c r="I569" s="3" t="inlineStr">
        <is>
          <t>Selecionar workspace/acervo permitido e mostrar o escopo ativo.</t>
        </is>
      </c>
      <c r="J569" s="3" t="inlineStr">
        <is>
          <t>apps/desktop/src/chat/</t>
        </is>
      </c>
      <c r="K569" s="3" t="inlineStr">
        <is>
          <t>Global não significa acesso irrestrito automático a todos os arquivos do computador.</t>
        </is>
      </c>
      <c r="L569" s="3" t="inlineStr">
        <is>
          <t>SL-S52-06</t>
        </is>
      </c>
      <c r="M569" s="3" t="inlineStr">
        <is>
          <t>R08; R18; R21; R23; R28</t>
        </is>
      </c>
      <c r="N569" s="10" t="inlineStr">
        <is>
          <t>Não iniciado</t>
        </is>
      </c>
      <c r="O569" s="3" t="inlineStr">
        <is>
          <t>P0</t>
        </is>
      </c>
      <c r="P569" s="3" t="inlineStr">
        <is>
          <t>Crítico</t>
        </is>
      </c>
      <c r="Q569" s="3" t="inlineStr">
        <is>
          <t>Obrigatória no escopo da versão</t>
        </is>
      </c>
      <c r="R569" s="10" t="inlineStr">
        <is>
          <t>Autor + agente de IA</t>
        </is>
      </c>
      <c r="S569" s="10" t="inlineStr"/>
      <c r="T569" s="11" t="inlineStr"/>
      <c r="U569" s="3" t="inlineStr">
        <is>
          <t>reports/S52/SL-S52-07.md</t>
        </is>
      </c>
      <c r="V569" s="10" t="inlineStr"/>
      <c r="W569" s="10" t="inlineStr"/>
      <c r="X569" s="3">
        <f>IF(N569="Concluído",IF(AND(S569&lt;&gt;"",ISNUMBER(T569),T569&gt;0,V569&lt;&gt;"",AND(OR(X568="OK",X568="DISPENSADO"))),"OK","REVISAR"),IF(N569="Dispensado (ADR)",IF(AND(LEFT(Q569,11)="Condicional",W569&lt;&gt;"",S569&lt;&gt;"",ISNUMBER(T569),T569&gt;0,V569&lt;&gt;""),"DISPENSADO","REVISAR"),"PENDENTE"))</f>
        <v/>
      </c>
      <c r="Y569" s="10" t="inlineStr"/>
    </row>
    <row r="570" ht="112" customHeight="1">
      <c r="A570" s="3" t="n">
        <v>569</v>
      </c>
      <c r="B570" s="3" t="inlineStr">
        <is>
          <t>SL-S52-08</t>
        </is>
      </c>
      <c r="C570" s="9" t="inlineStr">
        <is>
          <t>v0.9.0</t>
        </is>
      </c>
      <c r="D570" s="9" t="inlineStr">
        <is>
          <t>S52</t>
        </is>
      </c>
      <c r="E570" s="3" t="inlineStr">
        <is>
          <t>IntentService / chat</t>
        </is>
      </c>
      <c r="F570" s="3" t="inlineStr">
        <is>
          <t>Próprio</t>
        </is>
      </c>
      <c r="G570" s="3" t="inlineStr">
        <is>
          <t>Implementação</t>
        </is>
      </c>
      <c r="H570" s="3" t="inlineStr">
        <is>
          <t>Persistir conversas/propostas</t>
        </is>
      </c>
      <c r="I570" s="3" t="inlineStr">
        <is>
          <t>Definir o que é histórico autoral versus execução efêmera.</t>
        </is>
      </c>
      <c r="J570" s="3" t="inlineStr">
        <is>
          <t>crates/chat/src/history.rs</t>
        </is>
      </c>
      <c r="K570" s="3" t="inlineStr">
        <is>
          <t>Conversa importante pode ser exportada; logs internos sensíveis não viram conteúdo do Vault por acidente.</t>
        </is>
      </c>
      <c r="L570" s="3" t="inlineStr">
        <is>
          <t>SL-S52-07</t>
        </is>
      </c>
      <c r="M570" s="3" t="inlineStr">
        <is>
          <t>R08; R18; R21; R23; R28</t>
        </is>
      </c>
      <c r="N570" s="10" t="inlineStr">
        <is>
          <t>Não iniciado</t>
        </is>
      </c>
      <c r="O570" s="3" t="inlineStr">
        <is>
          <t>P0</t>
        </is>
      </c>
      <c r="P570" s="3" t="inlineStr">
        <is>
          <t>Crítico</t>
        </is>
      </c>
      <c r="Q570" s="3" t="inlineStr">
        <is>
          <t>Obrigatória no escopo da versão</t>
        </is>
      </c>
      <c r="R570" s="10" t="inlineStr">
        <is>
          <t>Autor + agente de IA</t>
        </is>
      </c>
      <c r="S570" s="10" t="inlineStr"/>
      <c r="T570" s="11" t="inlineStr"/>
      <c r="U570" s="3" t="inlineStr">
        <is>
          <t>reports/S52/SL-S52-08.md</t>
        </is>
      </c>
      <c r="V570" s="10" t="inlineStr"/>
      <c r="W570" s="10" t="inlineStr"/>
      <c r="X570" s="3">
        <f>IF(N570="Concluído",IF(AND(S570&lt;&gt;"",ISNUMBER(T570),T570&gt;0,V570&lt;&gt;"",AND(OR(X569="OK",X569="DISPENSADO"))),"OK","REVISAR"),IF(N570="Dispensado (ADR)",IF(AND(LEFT(Q570,11)="Condicional",W570&lt;&gt;"",S570&lt;&gt;"",ISNUMBER(T570),T570&gt;0,V570&lt;&gt;""),"DISPENSADO","REVISAR"),"PENDENTE"))</f>
        <v/>
      </c>
      <c r="Y570" s="10" t="inlineStr"/>
    </row>
    <row r="571" ht="112" customHeight="1">
      <c r="A571" s="3" t="n">
        <v>570</v>
      </c>
      <c r="B571" s="3" t="inlineStr">
        <is>
          <t>SL-S52-09</t>
        </is>
      </c>
      <c r="C571" s="9" t="inlineStr">
        <is>
          <t>v0.9.0</t>
        </is>
      </c>
      <c r="D571" s="9" t="inlineStr">
        <is>
          <t>S52</t>
        </is>
      </c>
      <c r="E571" s="3" t="inlineStr">
        <is>
          <t>IntentService / chat</t>
        </is>
      </c>
      <c r="F571" s="3" t="inlineStr">
        <is>
          <t>Próprio</t>
        </is>
      </c>
      <c r="G571" s="3" t="inlineStr">
        <is>
          <t>Teste</t>
        </is>
      </c>
      <c r="H571" s="3" t="inlineStr">
        <is>
          <t>Testar mudança de intenção/escopo</t>
        </is>
      </c>
      <c r="I571" s="3" t="inlineStr">
        <is>
          <t>Alterar meta e revogar acesso enquanto job está em execução.</t>
        </is>
      </c>
      <c r="J571" s="3" t="inlineStr">
        <is>
          <t>tests/intentions/scope/</t>
        </is>
      </c>
      <c r="K571" s="3" t="inlineStr">
        <is>
          <t>Resultado antigo é rejeitado/reclassificado e não publica sugestão desautorizada.</t>
        </is>
      </c>
      <c r="L571" s="3" t="inlineStr">
        <is>
          <t>SL-S52-08</t>
        </is>
      </c>
      <c r="M571" s="3" t="inlineStr">
        <is>
          <t>R08; R18; R21; R23; R28</t>
        </is>
      </c>
      <c r="N571" s="10" t="inlineStr">
        <is>
          <t>Não iniciado</t>
        </is>
      </c>
      <c r="O571" s="3" t="inlineStr">
        <is>
          <t>P0</t>
        </is>
      </c>
      <c r="P571" s="3" t="inlineStr">
        <is>
          <t>Crítico</t>
        </is>
      </c>
      <c r="Q571" s="3" t="inlineStr">
        <is>
          <t>Obrigatória no escopo da versão</t>
        </is>
      </c>
      <c r="R571" s="10" t="inlineStr">
        <is>
          <t>Autor + agente de IA</t>
        </is>
      </c>
      <c r="S571" s="10" t="inlineStr"/>
      <c r="T571" s="11" t="inlineStr"/>
      <c r="U571" s="3" t="inlineStr">
        <is>
          <t>reports/S52/SL-S52-09.md</t>
        </is>
      </c>
      <c r="V571" s="10" t="inlineStr"/>
      <c r="W571" s="10" t="inlineStr"/>
      <c r="X571" s="3">
        <f>IF(N571="Concluído",IF(AND(S571&lt;&gt;"",ISNUMBER(T571),T571&gt;0,V571&lt;&gt;"",AND(OR(X570="OK",X570="DISPENSADO"))),"OK","REVISAR"),IF(N571="Dispensado (ADR)",IF(AND(LEFT(Q571,11)="Condicional",W571&lt;&gt;"",S571&lt;&gt;"",ISNUMBER(T571),T571&gt;0,V571&lt;&gt;""),"DISPENSADO","REVISAR"),"PENDENTE"))</f>
        <v/>
      </c>
      <c r="Y571" s="10" t="inlineStr"/>
    </row>
    <row r="572" ht="112" customHeight="1">
      <c r="A572" s="3" t="n">
        <v>571</v>
      </c>
      <c r="B572" s="3" t="inlineStr">
        <is>
          <t>SL-S52-10</t>
        </is>
      </c>
      <c r="C572" s="9" t="inlineStr">
        <is>
          <t>v0.9.0</t>
        </is>
      </c>
      <c r="D572" s="9" t="inlineStr">
        <is>
          <t>S52</t>
        </is>
      </c>
      <c r="E572" s="3" t="inlineStr">
        <is>
          <t>IntentService / chat</t>
        </is>
      </c>
      <c r="F572" s="3" t="inlineStr">
        <is>
          <t>Próprio</t>
        </is>
      </c>
      <c r="G572" s="3" t="inlineStr">
        <is>
          <t>Teste</t>
        </is>
      </c>
      <c r="H572" s="3" t="inlineStr">
        <is>
          <t>Avaliar utilidade e explicação</t>
        </is>
      </c>
      <c r="I572" s="3" t="inlineStr">
        <is>
          <t>Usar corpus de intenções com positivos/negativos e feedback do usuário.</t>
        </is>
      </c>
      <c r="J572" s="3" t="inlineStr">
        <is>
          <t>reports/intentions/evaluation.md</t>
        </is>
      </c>
      <c r="K572" s="3" t="inlineStr">
        <is>
          <t>Sugestões exibem motivo/evidências e podem ser rejeitadas sem reorganização forçada do acervo.</t>
        </is>
      </c>
      <c r="L572" s="3" t="inlineStr">
        <is>
          <t>SL-S52-09</t>
        </is>
      </c>
      <c r="M572" s="3" t="inlineStr">
        <is>
          <t>R08; R18; R21; R23; R28</t>
        </is>
      </c>
      <c r="N572" s="10" t="inlineStr">
        <is>
          <t>Não iniciado</t>
        </is>
      </c>
      <c r="O572" s="3" t="inlineStr">
        <is>
          <t>P0</t>
        </is>
      </c>
      <c r="P572" s="3" t="inlineStr">
        <is>
          <t>Crítico</t>
        </is>
      </c>
      <c r="Q572" s="3" t="inlineStr">
        <is>
          <t>Obrigatória no escopo da versão</t>
        </is>
      </c>
      <c r="R572" s="10" t="inlineStr">
        <is>
          <t>Autor + agente de IA</t>
        </is>
      </c>
      <c r="S572" s="10" t="inlineStr"/>
      <c r="T572" s="11" t="inlineStr"/>
      <c r="U572" s="3" t="inlineStr">
        <is>
          <t>reports/S52/SL-S52-10.md</t>
        </is>
      </c>
      <c r="V572" s="10" t="inlineStr"/>
      <c r="W572" s="10" t="inlineStr"/>
      <c r="X572" s="3">
        <f>IF(N572="Concluído",IF(AND(S572&lt;&gt;"",ISNUMBER(T572),T572&gt;0,V572&lt;&gt;"",AND(OR(X571="OK",X571="DISPENSADO"))),"OK","REVISAR"),IF(N572="Dispensado (ADR)",IF(AND(LEFT(Q572,11)="Condicional",W572&lt;&gt;"",S572&lt;&gt;"",ISNUMBER(T572),T572&gt;0,V572&lt;&gt;""),"DISPENSADO","REVISAR"),"PENDENTE"))</f>
        <v/>
      </c>
      <c r="Y572" s="10" t="inlineStr"/>
    </row>
    <row r="573" ht="98" customHeight="1">
      <c r="A573" s="3" t="n">
        <v>572</v>
      </c>
      <c r="B573" s="12" t="inlineStr">
        <is>
          <t>SL-S52-GATE</t>
        </is>
      </c>
      <c r="C573" s="9" t="inlineStr">
        <is>
          <t>v0.9.0</t>
        </is>
      </c>
      <c r="D573" s="9" t="inlineStr">
        <is>
          <t>S52</t>
        </is>
      </c>
      <c r="E573" s="3" t="inlineStr">
        <is>
          <t>IntentService / chat</t>
        </is>
      </c>
      <c r="F573" s="3" t="inlineStr">
        <is>
          <t>Aceite humano</t>
        </is>
      </c>
      <c r="G573" s="12" t="inlineStr">
        <is>
          <t>Gate</t>
        </is>
      </c>
      <c r="H573" s="12" t="inlineStr">
        <is>
          <t>Aceitar S52 — Implementar intenções, chat global e sugestões</t>
        </is>
      </c>
      <c r="I573" s="3" t="inlineStr">
        <is>
          <t>Revisar as dez tarefas, executar a demonstração do sprint, confrontar critérios e registrar decisão go/no-go.</t>
        </is>
      </c>
      <c r="J573" s="3" t="inlineStr">
        <is>
          <t>reports/S52/acceptance.md</t>
        </is>
      </c>
      <c r="K573" s="3" t="inlineStr">
        <is>
          <t>Material novo relevante produz sugestão explicável que só cria/altera board após confirmação. Todas as dependências aceitas; evidências vinculadas a revisão/ambiente; nenhum blocker de integridade/segurança.</t>
        </is>
      </c>
      <c r="L573" s="3" t="inlineStr">
        <is>
          <t>SL-S52-01; SL-S52-02; SL-S52-03; SL-S52-04; SL-S52-05; SL-S52-06; SL-S52-07; SL-S52-08; SL-S52-09; SL-S52-10</t>
        </is>
      </c>
      <c r="M573" s="3" t="inlineStr">
        <is>
          <t>R08; R18; R21; R23; R28</t>
        </is>
      </c>
      <c r="N573" s="10" t="inlineStr">
        <is>
          <t>Não iniciado</t>
        </is>
      </c>
      <c r="O573" s="3" t="inlineStr">
        <is>
          <t>P0</t>
        </is>
      </c>
      <c r="P573" s="3" t="inlineStr">
        <is>
          <t>Crítico</t>
        </is>
      </c>
      <c r="Q573" s="3" t="inlineStr">
        <is>
          <t>Obrigatória para fechar a versão aprovada</t>
        </is>
      </c>
      <c r="R573" s="10" t="inlineStr">
        <is>
          <t>Autor</t>
        </is>
      </c>
      <c r="S573" s="10" t="inlineStr"/>
      <c r="T573" s="11" t="inlineStr"/>
      <c r="U573" s="3" t="inlineStr">
        <is>
          <t>reports/S52/acceptance.md</t>
        </is>
      </c>
      <c r="V573" s="10" t="inlineStr"/>
      <c r="W573" s="10" t="inlineStr"/>
      <c r="X573" s="3">
        <f>IF(N573="Concluído",IF(AND(S573&lt;&gt;"",ISNUMBER(T573),T573&gt;0,V573&lt;&gt;"",AND(OR(X563="OK",X563="DISPENSADO"),OR(X564="OK",X564="DISPENSADO"),OR(X565="OK",X565="DISPENSADO"),OR(X566="OK",X566="DISPENSADO"),OR(X567="OK",X567="DISPENSADO"),OR(X568="OK",X568="DISPENSADO"),OR(X569="OK",X569="DISPENSADO"),OR(X570="OK",X570="DISPENSADO"),OR(X571="OK",X571="DISPENSADO"),OR(X572="OK",X572="DISPENSADO"))),"OK","REVISAR"),IF(N573="Dispensado (ADR)",IF(AND(LEFT(Q573,11)="Condicional",W573&lt;&gt;"",S573&lt;&gt;"",ISNUMBER(T573),T573&gt;0,V573&lt;&gt;""),"DISPENSADO","REVISAR"),"PENDENTE"))</f>
        <v/>
      </c>
      <c r="Y573" s="10" t="inlineStr"/>
    </row>
    <row r="574" ht="112" customHeight="1">
      <c r="A574" s="3" t="n">
        <v>573</v>
      </c>
      <c r="B574" s="3" t="inlineStr">
        <is>
          <t>SL-S53-01</t>
        </is>
      </c>
      <c r="C574" s="9" t="inlineStr">
        <is>
          <t>v0.9.0</t>
        </is>
      </c>
      <c r="D574" s="9" t="inlineStr">
        <is>
          <t>S53</t>
        </is>
      </c>
      <c r="E574" s="3" t="inlineStr">
        <is>
          <t>Produto / alpha integrada</t>
        </is>
      </c>
      <c r="F574" s="3" t="inlineStr">
        <is>
          <t>Integração</t>
        </is>
      </c>
      <c r="G574" s="3" t="inlineStr">
        <is>
          <t>Implementação</t>
        </is>
      </c>
      <c r="H574" s="3" t="inlineStr">
        <is>
          <t>Unificar IDs e navegação</t>
        </is>
      </c>
      <c r="I574" s="3" t="inlineStr">
        <is>
          <t>Resolver links entre Ingest, widget, célula, Peça e histórico por contrato comum.</t>
        </is>
      </c>
      <c r="J574" s="3" t="inlineStr">
        <is>
          <t>crates/app-core/src/navigation.rs</t>
        </is>
      </c>
      <c r="K574" s="3" t="inlineStr">
        <is>
          <t>Links não dependem de nomes de tela ou paths absolutos frágeis.</t>
        </is>
      </c>
      <c r="L574" s="3" t="inlineStr">
        <is>
          <t>SL-S30-GATE; SL-S36-GATE; SL-S41-GATE; SL-S46-GATE; SL-S50-GATE; SL-S51-GATE; SL-S52-GATE</t>
        </is>
      </c>
      <c r="M574" s="3" t="inlineStr">
        <is>
          <t>R02; R07; R11; R13; R14; R26; R28; R34</t>
        </is>
      </c>
      <c r="N574" s="10" t="inlineStr">
        <is>
          <t>Não iniciado</t>
        </is>
      </c>
      <c r="O574" s="3" t="inlineStr">
        <is>
          <t>P1</t>
        </is>
      </c>
      <c r="P574" s="3" t="inlineStr">
        <is>
          <t>Alto</t>
        </is>
      </c>
      <c r="Q574" s="3" t="inlineStr">
        <is>
          <t>Obrigatória no escopo da versão</t>
        </is>
      </c>
      <c r="R574" s="10" t="inlineStr">
        <is>
          <t>Autor + agente de IA</t>
        </is>
      </c>
      <c r="S574" s="10" t="inlineStr"/>
      <c r="T574" s="11" t="inlineStr"/>
      <c r="U574" s="3" t="inlineStr">
        <is>
          <t>reports/S53/SL-S53-01.md</t>
        </is>
      </c>
      <c r="V574" s="10" t="inlineStr"/>
      <c r="W574" s="10" t="inlineStr"/>
      <c r="X574" s="3">
        <f>IF(N574="Concluído",IF(AND(S574&lt;&gt;"",ISNUMBER(T574),T574&gt;0,V574&lt;&gt;"",AND(OR(X331="OK",X331="DISPENSADO"),OR(X397="OK",X397="DISPENSADO"),OR(X452="OK",X452="DISPENSADO"),OR(X507="OK",X507="DISPENSADO"),OR(X551="OK",X551="DISPENSADO"),OR(X562="OK",X562="DISPENSADO"),OR(X573="OK",X573="DISPENSADO"))),"OK","REVISAR"),IF(N574="Dispensado (ADR)",IF(AND(LEFT(Q574,11)="Condicional",W574&lt;&gt;"",S574&lt;&gt;"",ISNUMBER(T574),T574&gt;0,V574&lt;&gt;""),"DISPENSADO","REVISAR"),"PENDENTE"))</f>
        <v/>
      </c>
      <c r="Y574" s="10" t="inlineStr"/>
    </row>
    <row r="575" ht="112" customHeight="1">
      <c r="A575" s="3" t="n">
        <v>574</v>
      </c>
      <c r="B575" s="3" t="inlineStr">
        <is>
          <t>SL-S53-02</t>
        </is>
      </c>
      <c r="C575" s="9" t="inlineStr">
        <is>
          <t>v0.9.0</t>
        </is>
      </c>
      <c r="D575" s="9" t="inlineStr">
        <is>
          <t>S53</t>
        </is>
      </c>
      <c r="E575" s="3" t="inlineStr">
        <is>
          <t>Produto / alpha integrada</t>
        </is>
      </c>
      <c r="F575" s="3" t="inlineStr">
        <is>
          <t>Integração</t>
        </is>
      </c>
      <c r="G575" s="3" t="inlineStr">
        <is>
          <t>Implementação</t>
        </is>
      </c>
      <c r="H575" s="3" t="inlineStr">
        <is>
          <t>Harmonizar estados de operação</t>
        </is>
      </c>
      <c r="I575" s="3" t="inlineStr">
        <is>
          <t>Padronizar fila, erro, offline, revisão antiga e solicitação de permissão.</t>
        </is>
      </c>
      <c r="J575" s="3" t="inlineStr">
        <is>
          <t>apps/desktop/src/status-system/</t>
        </is>
      </c>
      <c r="K575" s="3" t="inlineStr">
        <is>
          <t>Mesmo estado não recebe significados contraditórios em fases diferentes.</t>
        </is>
      </c>
      <c r="L575" s="3" t="inlineStr">
        <is>
          <t>SL-S53-01</t>
        </is>
      </c>
      <c r="M575" s="3" t="inlineStr">
        <is>
          <t>R02; R07; R11; R13; R14; R26; R28; R34</t>
        </is>
      </c>
      <c r="N575" s="10" t="inlineStr">
        <is>
          <t>Não iniciado</t>
        </is>
      </c>
      <c r="O575" s="3" t="inlineStr">
        <is>
          <t>P1</t>
        </is>
      </c>
      <c r="P575" s="3" t="inlineStr">
        <is>
          <t>Alto</t>
        </is>
      </c>
      <c r="Q575" s="3" t="inlineStr">
        <is>
          <t>Obrigatória no escopo da versão</t>
        </is>
      </c>
      <c r="R575" s="10" t="inlineStr">
        <is>
          <t>Autor + agente de IA</t>
        </is>
      </c>
      <c r="S575" s="10" t="inlineStr"/>
      <c r="T575" s="11" t="inlineStr"/>
      <c r="U575" s="3" t="inlineStr">
        <is>
          <t>reports/S53/SL-S53-02.md</t>
        </is>
      </c>
      <c r="V575" s="10" t="inlineStr"/>
      <c r="W575" s="10" t="inlineStr"/>
      <c r="X575" s="3">
        <f>IF(N575="Concluído",IF(AND(S575&lt;&gt;"",ISNUMBER(T575),T575&gt;0,V575&lt;&gt;"",AND(OR(X574="OK",X574="DISPENSADO"))),"OK","REVISAR"),IF(N575="Dispensado (ADR)",IF(AND(LEFT(Q575,11)="Condicional",W575&lt;&gt;"",S575&lt;&gt;"",ISNUMBER(T575),T575&gt;0,V575&lt;&gt;""),"DISPENSADO","REVISAR"),"PENDENTE"))</f>
        <v/>
      </c>
      <c r="Y575" s="10" t="inlineStr"/>
    </row>
    <row r="576" ht="112" customHeight="1">
      <c r="A576" s="3" t="n">
        <v>575</v>
      </c>
      <c r="B576" s="3" t="inlineStr">
        <is>
          <t>SL-S53-03</t>
        </is>
      </c>
      <c r="C576" s="9" t="inlineStr">
        <is>
          <t>v0.9.0</t>
        </is>
      </c>
      <c r="D576" s="9" t="inlineStr">
        <is>
          <t>S53</t>
        </is>
      </c>
      <c r="E576" s="3" t="inlineStr">
        <is>
          <t>Produto / alpha integrada</t>
        </is>
      </c>
      <c r="F576" s="3" t="inlineStr">
        <is>
          <t>Integração</t>
        </is>
      </c>
      <c r="G576" s="3" t="inlineStr">
        <is>
          <t>Implementação</t>
        </is>
      </c>
      <c r="H576" s="3" t="inlineStr">
        <is>
          <t>Revisar fluxos de promoção</t>
        </is>
      </c>
      <c r="I576" s="3" t="inlineStr">
        <is>
          <t>Tornar clara a diferença entre referência, recorte, cópia e fork-on-insert.</t>
        </is>
      </c>
      <c r="J576" s="3" t="inlineStr">
        <is>
          <t>apps/desktop/src/flows/promote/</t>
        </is>
      </c>
      <c r="K576" s="3" t="inlineStr">
        <is>
          <t>Usuário consegue prever quais conteúdos serão independentes depois de cada ação.</t>
        </is>
      </c>
      <c r="L576" s="3" t="inlineStr">
        <is>
          <t>SL-S53-02</t>
        </is>
      </c>
      <c r="M576" s="3" t="inlineStr">
        <is>
          <t>R02; R07; R11; R13; R14; R26; R28; R34</t>
        </is>
      </c>
      <c r="N576" s="10" t="inlineStr">
        <is>
          <t>Não iniciado</t>
        </is>
      </c>
      <c r="O576" s="3" t="inlineStr">
        <is>
          <t>P1</t>
        </is>
      </c>
      <c r="P576" s="3" t="inlineStr">
        <is>
          <t>Alto</t>
        </is>
      </c>
      <c r="Q576" s="3" t="inlineStr">
        <is>
          <t>Obrigatória no escopo da versão</t>
        </is>
      </c>
      <c r="R576" s="10" t="inlineStr">
        <is>
          <t>Autor + agente de IA</t>
        </is>
      </c>
      <c r="S576" s="10" t="inlineStr"/>
      <c r="T576" s="11" t="inlineStr"/>
      <c r="U576" s="3" t="inlineStr">
        <is>
          <t>reports/S53/SL-S53-03.md</t>
        </is>
      </c>
      <c r="V576" s="10" t="inlineStr"/>
      <c r="W576" s="10" t="inlineStr"/>
      <c r="X576" s="3">
        <f>IF(N576="Concluído",IF(AND(S576&lt;&gt;"",ISNUMBER(T576),T576&gt;0,V576&lt;&gt;"",AND(OR(X575="OK",X575="DISPENSADO"))),"OK","REVISAR"),IF(N576="Dispensado (ADR)",IF(AND(LEFT(Q576,11)="Condicional",W576&lt;&gt;"",S576&lt;&gt;"",ISNUMBER(T576),T576&gt;0,V576&lt;&gt;""),"DISPENSADO","REVISAR"),"PENDENTE"))</f>
        <v/>
      </c>
      <c r="Y576" s="10" t="inlineStr"/>
    </row>
    <row r="577" ht="112" customHeight="1">
      <c r="A577" s="3" t="n">
        <v>576</v>
      </c>
      <c r="B577" s="3" t="inlineStr">
        <is>
          <t>SL-S53-04</t>
        </is>
      </c>
      <c r="C577" s="9" t="inlineStr">
        <is>
          <t>v0.9.0</t>
        </is>
      </c>
      <c r="D577" s="9" t="inlineStr">
        <is>
          <t>S53</t>
        </is>
      </c>
      <c r="E577" s="3" t="inlineStr">
        <is>
          <t>Produto / alpha integrada</t>
        </is>
      </c>
      <c r="F577" s="3" t="inlineStr">
        <is>
          <t>Integração</t>
        </is>
      </c>
      <c r="G577" s="3" t="inlineStr">
        <is>
          <t>Implementação</t>
        </is>
      </c>
      <c r="H577" s="3" t="inlineStr">
        <is>
          <t>Unificar painel de recursos</t>
        </is>
      </c>
      <c r="I577" s="3" t="inlineStr">
        <is>
          <t>Mostrar runtime/modelos/jobs e permitir pausar tarefas de fundo.</t>
        </is>
      </c>
      <c r="J577" s="3" t="inlineStr">
        <is>
          <t>apps/desktop/src/settings/resources/</t>
        </is>
      </c>
      <c r="K577" s="3" t="inlineStr">
        <is>
          <t>Diagnóstico inclui workers e browser, não apenas contador do frontend.</t>
        </is>
      </c>
      <c r="L577" s="3" t="inlineStr">
        <is>
          <t>SL-S53-03</t>
        </is>
      </c>
      <c r="M577" s="3" t="inlineStr">
        <is>
          <t>R02; R07; R11; R13; R14; R26; R28; R34</t>
        </is>
      </c>
      <c r="N577" s="10" t="inlineStr">
        <is>
          <t>Não iniciado</t>
        </is>
      </c>
      <c r="O577" s="3" t="inlineStr">
        <is>
          <t>P1</t>
        </is>
      </c>
      <c r="P577" s="3" t="inlineStr">
        <is>
          <t>Alto</t>
        </is>
      </c>
      <c r="Q577" s="3" t="inlineStr">
        <is>
          <t>Obrigatória no escopo da versão</t>
        </is>
      </c>
      <c r="R577" s="10" t="inlineStr">
        <is>
          <t>Autor + agente de IA</t>
        </is>
      </c>
      <c r="S577" s="10" t="inlineStr"/>
      <c r="T577" s="11" t="inlineStr"/>
      <c r="U577" s="3" t="inlineStr">
        <is>
          <t>reports/S53/SL-S53-04.md</t>
        </is>
      </c>
      <c r="V577" s="10" t="inlineStr"/>
      <c r="W577" s="10" t="inlineStr"/>
      <c r="X577" s="3">
        <f>IF(N577="Concluído",IF(AND(S577&lt;&gt;"",ISNUMBER(T577),T577&gt;0,V577&lt;&gt;"",AND(OR(X576="OK",X576="DISPENSADO"))),"OK","REVISAR"),IF(N577="Dispensado (ADR)",IF(AND(LEFT(Q577,11)="Condicional",W577&lt;&gt;"",S577&lt;&gt;"",ISNUMBER(T577),T577&gt;0,V577&lt;&gt;""),"DISPENSADO","REVISAR"),"PENDENTE"))</f>
        <v/>
      </c>
      <c r="Y577" s="10" t="inlineStr"/>
    </row>
    <row r="578" ht="112" customHeight="1">
      <c r="A578" s="3" t="n">
        <v>577</v>
      </c>
      <c r="B578" s="3" t="inlineStr">
        <is>
          <t>SL-S53-05</t>
        </is>
      </c>
      <c r="C578" s="9" t="inlineStr">
        <is>
          <t>v0.9.0</t>
        </is>
      </c>
      <c r="D578" s="9" t="inlineStr">
        <is>
          <t>S53</t>
        </is>
      </c>
      <c r="E578" s="3" t="inlineStr">
        <is>
          <t>Produto / alpha integrada</t>
        </is>
      </c>
      <c r="F578" s="3" t="inlineStr">
        <is>
          <t>Integração</t>
        </is>
      </c>
      <c r="G578" s="3" t="inlineStr">
        <is>
          <t>Teste</t>
        </is>
      </c>
      <c r="H578" s="3" t="inlineStr">
        <is>
          <t>Rodar jornada integral local</t>
        </is>
      </c>
      <c r="I578" s="3" t="inlineStr">
        <is>
          <t>Usar pacote de dados/modelos provisionado e rede bloqueada.</t>
        </is>
      </c>
      <c r="J578" s="3" t="inlineStr">
        <is>
          <t>reports/v0.9/local-journey.md</t>
        </is>
      </c>
      <c r="K578" s="3" t="inlineStr">
        <is>
          <t>Autoria, busca e contexto locais funcionam; web/Jev/BYOK mostram indisponibilidade sem fallback oculto.</t>
        </is>
      </c>
      <c r="L578" s="3" t="inlineStr">
        <is>
          <t>SL-S53-04</t>
        </is>
      </c>
      <c r="M578" s="3" t="inlineStr">
        <is>
          <t>R02; R07; R11; R13; R14; R26; R28; R34</t>
        </is>
      </c>
      <c r="N578" s="10" t="inlineStr">
        <is>
          <t>Não iniciado</t>
        </is>
      </c>
      <c r="O578" s="3" t="inlineStr">
        <is>
          <t>P1</t>
        </is>
      </c>
      <c r="P578" s="3" t="inlineStr">
        <is>
          <t>Alto</t>
        </is>
      </c>
      <c r="Q578" s="3" t="inlineStr">
        <is>
          <t>Obrigatória no escopo da versão</t>
        </is>
      </c>
      <c r="R578" s="10" t="inlineStr">
        <is>
          <t>Autor + agente de IA</t>
        </is>
      </c>
      <c r="S578" s="10" t="inlineStr"/>
      <c r="T578" s="11" t="inlineStr"/>
      <c r="U578" s="3" t="inlineStr">
        <is>
          <t>reports/S53/SL-S53-05.md</t>
        </is>
      </c>
      <c r="V578" s="10" t="inlineStr"/>
      <c r="W578" s="10" t="inlineStr"/>
      <c r="X578" s="3">
        <f>IF(N578="Concluído",IF(AND(S578&lt;&gt;"",ISNUMBER(T578),T578&gt;0,V578&lt;&gt;"",AND(OR(X577="OK",X577="DISPENSADO"))),"OK","REVISAR"),IF(N578="Dispensado (ADR)",IF(AND(LEFT(Q578,11)="Condicional",W578&lt;&gt;"",S578&lt;&gt;"",ISNUMBER(T578),T578&gt;0,V578&lt;&gt;""),"DISPENSADO","REVISAR"),"PENDENTE"))</f>
        <v/>
      </c>
      <c r="Y578" s="10" t="inlineStr"/>
    </row>
    <row r="579" ht="112" customHeight="1">
      <c r="A579" s="3" t="n">
        <v>578</v>
      </c>
      <c r="B579" s="3" t="inlineStr">
        <is>
          <t>SL-S53-06</t>
        </is>
      </c>
      <c r="C579" s="9" t="inlineStr">
        <is>
          <t>v0.9.0</t>
        </is>
      </c>
      <c r="D579" s="9" t="inlineStr">
        <is>
          <t>S53</t>
        </is>
      </c>
      <c r="E579" s="3" t="inlineStr">
        <is>
          <t>Produto / alpha integrada</t>
        </is>
      </c>
      <c r="F579" s="3" t="inlineStr">
        <is>
          <t>Integração</t>
        </is>
      </c>
      <c r="G579" s="3" t="inlineStr">
        <is>
          <t>Teste</t>
        </is>
      </c>
      <c r="H579" s="3" t="inlineStr">
        <is>
          <t>Rodar jornada conectada consentida</t>
        </is>
      </c>
      <c r="I579" s="3" t="inlineStr">
        <is>
          <t>Habilitar pesquisa/Jev/BYOK separadamente e registrar egress autorizado.</t>
        </is>
      </c>
      <c r="J579" s="3" t="inlineStr">
        <is>
          <t>reports/v0.9/connected-journey.md</t>
        </is>
      </c>
      <c r="K579" s="3" t="inlineStr">
        <is>
          <t>Ativar um provedor não autoriza todos os demais automaticamente.</t>
        </is>
      </c>
      <c r="L579" s="3" t="inlineStr">
        <is>
          <t>SL-S53-05</t>
        </is>
      </c>
      <c r="M579" s="3" t="inlineStr">
        <is>
          <t>R02; R07; R11; R13; R14; R26; R28; R34</t>
        </is>
      </c>
      <c r="N579" s="10" t="inlineStr">
        <is>
          <t>Não iniciado</t>
        </is>
      </c>
      <c r="O579" s="3" t="inlineStr">
        <is>
          <t>P1</t>
        </is>
      </c>
      <c r="P579" s="3" t="inlineStr">
        <is>
          <t>Alto</t>
        </is>
      </c>
      <c r="Q579" s="3" t="inlineStr">
        <is>
          <t>Obrigatória no escopo da versão</t>
        </is>
      </c>
      <c r="R579" s="10" t="inlineStr">
        <is>
          <t>Autor + agente de IA</t>
        </is>
      </c>
      <c r="S579" s="10" t="inlineStr"/>
      <c r="T579" s="11" t="inlineStr"/>
      <c r="U579" s="3" t="inlineStr">
        <is>
          <t>reports/S53/SL-S53-06.md</t>
        </is>
      </c>
      <c r="V579" s="10" t="inlineStr"/>
      <c r="W579" s="10" t="inlineStr"/>
      <c r="X579" s="3">
        <f>IF(N579="Concluído",IF(AND(S579&lt;&gt;"",ISNUMBER(T579),T579&gt;0,V579&lt;&gt;"",AND(OR(X578="OK",X578="DISPENSADO"))),"OK","REVISAR"),IF(N579="Dispensado (ADR)",IF(AND(LEFT(Q579,11)="Condicional",W579&lt;&gt;"",S579&lt;&gt;"",ISNUMBER(T579),T579&gt;0,V579&lt;&gt;""),"DISPENSADO","REVISAR"),"PENDENTE"))</f>
        <v/>
      </c>
      <c r="Y579" s="10" t="inlineStr"/>
    </row>
    <row r="580" ht="112" customHeight="1">
      <c r="A580" s="3" t="n">
        <v>579</v>
      </c>
      <c r="B580" s="3" t="inlineStr">
        <is>
          <t>SL-S53-07</t>
        </is>
      </c>
      <c r="C580" s="9" t="inlineStr">
        <is>
          <t>v0.9.0</t>
        </is>
      </c>
      <c r="D580" s="9" t="inlineStr">
        <is>
          <t>S53</t>
        </is>
      </c>
      <c r="E580" s="3" t="inlineStr">
        <is>
          <t>Produto / alpha integrada</t>
        </is>
      </c>
      <c r="F580" s="3" t="inlineStr">
        <is>
          <t>Integração</t>
        </is>
      </c>
      <c r="G580" s="3" t="inlineStr">
        <is>
          <t>Teste</t>
        </is>
      </c>
      <c r="H580" s="3" t="inlineStr">
        <is>
          <t>Apagar caches durante ensaio seguro</t>
        </is>
      </c>
      <c r="I580" s="3" t="inlineStr">
        <is>
          <t>Reabrir, reconstruir e comparar autoria/proveniência.</t>
        </is>
      </c>
      <c r="J580" s="3" t="inlineStr">
        <is>
          <t>reports/v0.9/reconstruction.md</t>
        </is>
      </c>
      <c r="K580" s="3" t="inlineStr">
        <is>
          <t>Nenhum motor contém a única cópia de conhecimento aceito.</t>
        </is>
      </c>
      <c r="L580" s="3" t="inlineStr">
        <is>
          <t>SL-S53-06</t>
        </is>
      </c>
      <c r="M580" s="3" t="inlineStr">
        <is>
          <t>R02; R07; R11; R13; R14; R26; R28; R34</t>
        </is>
      </c>
      <c r="N580" s="10" t="inlineStr">
        <is>
          <t>Não iniciado</t>
        </is>
      </c>
      <c r="O580" s="3" t="inlineStr">
        <is>
          <t>P1</t>
        </is>
      </c>
      <c r="P580" s="3" t="inlineStr">
        <is>
          <t>Alto</t>
        </is>
      </c>
      <c r="Q580" s="3" t="inlineStr">
        <is>
          <t>Obrigatória no escopo da versão</t>
        </is>
      </c>
      <c r="R580" s="10" t="inlineStr">
        <is>
          <t>Autor + agente de IA</t>
        </is>
      </c>
      <c r="S580" s="10" t="inlineStr"/>
      <c r="T580" s="11" t="inlineStr"/>
      <c r="U580" s="3" t="inlineStr">
        <is>
          <t>reports/S53/SL-S53-07.md</t>
        </is>
      </c>
      <c r="V580" s="10" t="inlineStr"/>
      <c r="W580" s="10" t="inlineStr"/>
      <c r="X580" s="3">
        <f>IF(N580="Concluído",IF(AND(S580&lt;&gt;"",ISNUMBER(T580),T580&gt;0,V580&lt;&gt;"",AND(OR(X579="OK",X579="DISPENSADO"))),"OK","REVISAR"),IF(N580="Dispensado (ADR)",IF(AND(LEFT(Q580,11)="Condicional",W580&lt;&gt;"",S580&lt;&gt;"",ISNUMBER(T580),T580&gt;0,V580&lt;&gt;""),"DISPENSADO","REVISAR"),"PENDENTE"))</f>
        <v/>
      </c>
      <c r="Y580" s="10" t="inlineStr"/>
    </row>
    <row r="581" ht="112" customHeight="1">
      <c r="A581" s="3" t="n">
        <v>580</v>
      </c>
      <c r="B581" s="3" t="inlineStr">
        <is>
          <t>SL-S53-08</t>
        </is>
      </c>
      <c r="C581" s="9" t="inlineStr">
        <is>
          <t>v0.9.0</t>
        </is>
      </c>
      <c r="D581" s="9" t="inlineStr">
        <is>
          <t>S53</t>
        </is>
      </c>
      <c r="E581" s="3" t="inlineStr">
        <is>
          <t>Produto / alpha integrada</t>
        </is>
      </c>
      <c r="F581" s="3" t="inlineStr">
        <is>
          <t>Integração</t>
        </is>
      </c>
      <c r="G581" s="3" t="inlineStr">
        <is>
          <t>Governança</t>
        </is>
      </c>
      <c r="H581" s="3" t="inlineStr">
        <is>
          <t>Congelar funcionalidades v1</t>
        </is>
      </c>
      <c r="I581" s="3" t="inlineStr">
        <is>
          <t>Inventariar requisitos ainda pendentes de homologação/portabilidade.</t>
        </is>
      </c>
      <c r="J581" s="3" t="inlineStr">
        <is>
          <t>docs/release/v1-freeze.md</t>
        </is>
      </c>
      <c r="K581" s="3" t="inlineStr">
        <is>
          <t>Lacunas não são renomeadas como feature pronta; escopo novo vai para proposta pós-v1.</t>
        </is>
      </c>
      <c r="L581" s="3" t="inlineStr">
        <is>
          <t>SL-S53-07</t>
        </is>
      </c>
      <c r="M581" s="3" t="inlineStr">
        <is>
          <t>R02; R07; R11; R13; R14; R26; R28; R34</t>
        </is>
      </c>
      <c r="N581" s="10" t="inlineStr">
        <is>
          <t>Não iniciado</t>
        </is>
      </c>
      <c r="O581" s="3" t="inlineStr">
        <is>
          <t>P1</t>
        </is>
      </c>
      <c r="P581" s="3" t="inlineStr">
        <is>
          <t>Alto</t>
        </is>
      </c>
      <c r="Q581" s="3" t="inlineStr">
        <is>
          <t>Obrigatória no escopo da versão</t>
        </is>
      </c>
      <c r="R581" s="10" t="inlineStr">
        <is>
          <t>Autor</t>
        </is>
      </c>
      <c r="S581" s="10" t="inlineStr"/>
      <c r="T581" s="11" t="inlineStr"/>
      <c r="U581" s="3" t="inlineStr">
        <is>
          <t>reports/S53/SL-S53-08.md</t>
        </is>
      </c>
      <c r="V581" s="10" t="inlineStr"/>
      <c r="W581" s="10" t="inlineStr"/>
      <c r="X581" s="3">
        <f>IF(N581="Concluído",IF(AND(S581&lt;&gt;"",ISNUMBER(T581),T581&gt;0,V581&lt;&gt;"",AND(OR(X580="OK",X580="DISPENSADO"))),"OK","REVISAR"),IF(N581="Dispensado (ADR)",IF(AND(LEFT(Q581,11)="Condicional",W581&lt;&gt;"",S581&lt;&gt;"",ISNUMBER(T581),T581&gt;0,V581&lt;&gt;""),"DISPENSADO","REVISAR"),"PENDENTE"))</f>
        <v/>
      </c>
      <c r="Y581" s="10" t="inlineStr"/>
    </row>
    <row r="582" ht="112" customHeight="1">
      <c r="A582" s="3" t="n">
        <v>581</v>
      </c>
      <c r="B582" s="3" t="inlineStr">
        <is>
          <t>SL-S53-09</t>
        </is>
      </c>
      <c r="C582" s="9" t="inlineStr">
        <is>
          <t>v0.9.0</t>
        </is>
      </c>
      <c r="D582" s="9" t="inlineStr">
        <is>
          <t>S53</t>
        </is>
      </c>
      <c r="E582" s="3" t="inlineStr">
        <is>
          <t>Produto / alpha integrada</t>
        </is>
      </c>
      <c r="F582" s="3" t="inlineStr">
        <is>
          <t>Integração</t>
        </is>
      </c>
      <c r="G582" s="3" t="inlineStr">
        <is>
          <t>Governança</t>
        </is>
      </c>
      <c r="H582" s="3" t="inlineStr">
        <is>
          <t>Triar defeitos</t>
        </is>
      </c>
      <c r="I582" s="3" t="inlineStr">
        <is>
          <t>Classificar integridade/segurança, função essencial, recursos e polimento.</t>
        </is>
      </c>
      <c r="J582" s="3" t="inlineStr">
        <is>
          <t>reports/v0.9/defect-register.csv</t>
        </is>
      </c>
      <c r="K582" s="3" t="inlineStr">
        <is>
          <t>Defeito crítico tem owner e bloqueio; não é adiado a v2 para concluir v1 artificialmente.</t>
        </is>
      </c>
      <c r="L582" s="3" t="inlineStr">
        <is>
          <t>SL-S53-08</t>
        </is>
      </c>
      <c r="M582" s="3" t="inlineStr">
        <is>
          <t>R02; R07; R11; R13; R14; R26; R28; R34</t>
        </is>
      </c>
      <c r="N582" s="10" t="inlineStr">
        <is>
          <t>Não iniciado</t>
        </is>
      </c>
      <c r="O582" s="3" t="inlineStr">
        <is>
          <t>P1</t>
        </is>
      </c>
      <c r="P582" s="3" t="inlineStr">
        <is>
          <t>Alto</t>
        </is>
      </c>
      <c r="Q582" s="3" t="inlineStr">
        <is>
          <t>Obrigatória no escopo da versão</t>
        </is>
      </c>
      <c r="R582" s="10" t="inlineStr">
        <is>
          <t>Autor</t>
        </is>
      </c>
      <c r="S582" s="10" t="inlineStr"/>
      <c r="T582" s="11" t="inlineStr"/>
      <c r="U582" s="3" t="inlineStr">
        <is>
          <t>reports/S53/SL-S53-09.md</t>
        </is>
      </c>
      <c r="V582" s="10" t="inlineStr"/>
      <c r="W582" s="10" t="inlineStr"/>
      <c r="X582" s="3">
        <f>IF(N582="Concluído",IF(AND(S582&lt;&gt;"",ISNUMBER(T582),T582&gt;0,V582&lt;&gt;"",AND(OR(X581="OK",X581="DISPENSADO"))),"OK","REVISAR"),IF(N582="Dispensado (ADR)",IF(AND(LEFT(Q582,11)="Condicional",W582&lt;&gt;"",S582&lt;&gt;"",ISNUMBER(T582),T582&gt;0,V582&lt;&gt;""),"DISPENSADO","REVISAR"),"PENDENTE"))</f>
        <v/>
      </c>
      <c r="Y582" s="10" t="inlineStr"/>
    </row>
    <row r="583" ht="112" customHeight="1">
      <c r="A583" s="3" t="n">
        <v>582</v>
      </c>
      <c r="B583" s="3" t="inlineStr">
        <is>
          <t>SL-S53-10</t>
        </is>
      </c>
      <c r="C583" s="9" t="inlineStr">
        <is>
          <t>v0.9.0</t>
        </is>
      </c>
      <c r="D583" s="9" t="inlineStr">
        <is>
          <t>S53</t>
        </is>
      </c>
      <c r="E583" s="3" t="inlineStr">
        <is>
          <t>Produto / alpha integrada</t>
        </is>
      </c>
      <c r="F583" s="3" t="inlineStr">
        <is>
          <t>Integração</t>
        </is>
      </c>
      <c r="G583" s="3" t="inlineStr">
        <is>
          <t>Release</t>
        </is>
      </c>
      <c r="H583" s="3" t="inlineStr">
        <is>
          <t>Publicar alpha integrada</t>
        </is>
      </c>
      <c r="I583" s="3" t="inlineStr">
        <is>
          <t>Distribuir somente capacidades testadas e pedir feedback com diagnóstico saneado.</t>
        </is>
      </c>
      <c r="J583" s="3" t="inlineStr">
        <is>
          <t>release/v0.9.0/</t>
        </is>
      </c>
      <c r="K583" s="3" t="inlineStr">
        <is>
          <t>Alpha não é anunciada como release estável ou como prova de todas as metas do RFC.</t>
        </is>
      </c>
      <c r="L583" s="3" t="inlineStr">
        <is>
          <t>SL-S53-09</t>
        </is>
      </c>
      <c r="M583" s="3" t="inlineStr">
        <is>
          <t>R02; R07; R11; R13; R14; R26; R28; R34</t>
        </is>
      </c>
      <c r="N583" s="10" t="inlineStr">
        <is>
          <t>Não iniciado</t>
        </is>
      </c>
      <c r="O583" s="3" t="inlineStr">
        <is>
          <t>P1</t>
        </is>
      </c>
      <c r="P583" s="3" t="inlineStr">
        <is>
          <t>Alto</t>
        </is>
      </c>
      <c r="Q583" s="3" t="inlineStr">
        <is>
          <t>Obrigatória no escopo da versão</t>
        </is>
      </c>
      <c r="R583" s="10" t="inlineStr">
        <is>
          <t>Autor</t>
        </is>
      </c>
      <c r="S583" s="10" t="inlineStr"/>
      <c r="T583" s="11" t="inlineStr"/>
      <c r="U583" s="3" t="inlineStr">
        <is>
          <t>reports/S53/SL-S53-10.md</t>
        </is>
      </c>
      <c r="V583" s="10" t="inlineStr"/>
      <c r="W583" s="10" t="inlineStr"/>
      <c r="X583" s="3">
        <f>IF(N583="Concluído",IF(AND(S583&lt;&gt;"",ISNUMBER(T583),T583&gt;0,V583&lt;&gt;"",AND(OR(X582="OK",X582="DISPENSADO"))),"OK","REVISAR"),IF(N583="Dispensado (ADR)",IF(AND(LEFT(Q583,11)="Condicional",W583&lt;&gt;"",S583&lt;&gt;"",ISNUMBER(T583),T583&gt;0,V583&lt;&gt;""),"DISPENSADO","REVISAR"),"PENDENTE"))</f>
        <v/>
      </c>
      <c r="Y583" s="10" t="inlineStr"/>
    </row>
    <row r="584" ht="98" customHeight="1">
      <c r="A584" s="3" t="n">
        <v>583</v>
      </c>
      <c r="B584" s="12" t="inlineStr">
        <is>
          <t>SL-S53-GATE</t>
        </is>
      </c>
      <c r="C584" s="9" t="inlineStr">
        <is>
          <t>v0.9.0</t>
        </is>
      </c>
      <c r="D584" s="9" t="inlineStr">
        <is>
          <t>S53</t>
        </is>
      </c>
      <c r="E584" s="3" t="inlineStr">
        <is>
          <t>Produto / alpha integrada</t>
        </is>
      </c>
      <c r="F584" s="3" t="inlineStr">
        <is>
          <t>Aceite humano</t>
        </is>
      </c>
      <c r="G584" s="12" t="inlineStr">
        <is>
          <t>Gate</t>
        </is>
      </c>
      <c r="H584" s="12" t="inlineStr">
        <is>
          <t>Aceitar S53 — Integrar o ciclo completo e congelar funcionalidades</t>
        </is>
      </c>
      <c r="I584" s="3" t="inlineStr">
        <is>
          <t>Revisar as dez tarefas, executar a demonstração do sprint, confrontar critérios e registrar decisão go/no-go.</t>
        </is>
      </c>
      <c r="J584" s="3" t="inlineStr">
        <is>
          <t>reports/S53/acceptance.md</t>
        </is>
      </c>
      <c r="K584" s="3" t="inlineStr">
        <is>
          <t>Capturar fonte, pesquisar, conectar, produzir Peça e comprovar origem e reconstrução. Todas as dependências aceitas; evidências vinculadas a revisão/ambiente; nenhum blocker de integridade/segurança.</t>
        </is>
      </c>
      <c r="L584" s="3" t="inlineStr">
        <is>
          <t>SL-S53-01; SL-S53-02; SL-S53-03; SL-S53-04; SL-S53-05; SL-S53-06; SL-S53-07; SL-S53-08; SL-S53-09; SL-S53-10</t>
        </is>
      </c>
      <c r="M584" s="3" t="inlineStr">
        <is>
          <t>R02; R07; R11; R13; R14; R26; R28; R34</t>
        </is>
      </c>
      <c r="N584" s="10" t="inlineStr">
        <is>
          <t>Não iniciado</t>
        </is>
      </c>
      <c r="O584" s="3" t="inlineStr">
        <is>
          <t>P0</t>
        </is>
      </c>
      <c r="P584" s="3" t="inlineStr">
        <is>
          <t>Alto</t>
        </is>
      </c>
      <c r="Q584" s="3" t="inlineStr">
        <is>
          <t>Obrigatória para fechar a versão aprovada</t>
        </is>
      </c>
      <c r="R584" s="10" t="inlineStr">
        <is>
          <t>Autor</t>
        </is>
      </c>
      <c r="S584" s="10" t="inlineStr"/>
      <c r="T584" s="11" t="inlineStr"/>
      <c r="U584" s="3" t="inlineStr">
        <is>
          <t>reports/S53/acceptance.md</t>
        </is>
      </c>
      <c r="V584" s="10" t="inlineStr"/>
      <c r="W584" s="10" t="inlineStr"/>
      <c r="X584" s="3">
        <f>IF(N584="Concluído",IF(AND(S584&lt;&gt;"",ISNUMBER(T584),T584&gt;0,V584&lt;&gt;"",AND(OR(X574="OK",X574="DISPENSADO"),OR(X575="OK",X575="DISPENSADO"),OR(X576="OK",X576="DISPENSADO"),OR(X577="OK",X577="DISPENSADO"),OR(X578="OK",X578="DISPENSADO"),OR(X579="OK",X579="DISPENSADO"),OR(X580="OK",X580="DISPENSADO"),OR(X581="OK",X581="DISPENSADO"),OR(X582="OK",X582="DISPENSADO"),OR(X583="OK",X583="DISPENSADO"))),"OK","REVISAR"),IF(N584="Dispensado (ADR)",IF(AND(LEFT(Q584,11)="Condicional",W584&lt;&gt;"",S584&lt;&gt;"",ISNUMBER(T584),T584&gt;0,V584&lt;&gt;""),"DISPENSADO","REVISAR"),"PENDENTE"))</f>
        <v/>
      </c>
      <c r="Y584" s="10" t="inlineStr"/>
    </row>
    <row r="585" ht="112" customHeight="1">
      <c r="A585" s="3" t="n">
        <v>584</v>
      </c>
      <c r="B585" s="3" t="inlineStr">
        <is>
          <t>SL-S54-01</t>
        </is>
      </c>
      <c r="C585" s="9" t="inlineStr">
        <is>
          <t>v1.0.0-beta.1</t>
        </is>
      </c>
      <c r="D585" s="9" t="inlineStr">
        <is>
          <t>S54</t>
        </is>
      </c>
      <c r="E585" s="3" t="inlineStr">
        <is>
          <t>Segurança / todos os motores</t>
        </is>
      </c>
      <c r="F585" s="3" t="inlineStr">
        <is>
          <t>Próprio</t>
        </is>
      </c>
      <c r="G585" s="3" t="inlineStr">
        <is>
          <t>Teste</t>
        </is>
      </c>
      <c r="H585" s="3" t="inlineStr">
        <is>
          <t>Revalidar modelo de ameaças</t>
        </is>
      </c>
      <c r="I585" s="3" t="inlineStr">
        <is>
          <t>Atualizar superfícies após todas as integrações e revisar privilégios efetivos.</t>
        </is>
      </c>
      <c r="J585" s="3" t="inlineStr">
        <is>
          <t>docs/security/threat-model-v1.md</t>
        </is>
      </c>
      <c r="K585" s="3" t="inlineStr">
        <is>
          <t>Nenhum runtime/endpoint novo fica fora do inventário de fronteiras.</t>
        </is>
      </c>
      <c r="L585" s="3" t="inlineStr">
        <is>
          <t>SL-S53-GATE</t>
        </is>
      </c>
      <c r="M585" s="3" t="inlineStr">
        <is>
          <t>R05; R06; R08; R30; R34</t>
        </is>
      </c>
      <c r="N585" s="10" t="inlineStr">
        <is>
          <t>Não iniciado</t>
        </is>
      </c>
      <c r="O585" s="3" t="inlineStr">
        <is>
          <t>P0</t>
        </is>
      </c>
      <c r="P585" s="3" t="inlineStr">
        <is>
          <t>Crítico</t>
        </is>
      </c>
      <c r="Q585" s="3" t="inlineStr">
        <is>
          <t>Obrigatória no escopo da versão</t>
        </is>
      </c>
      <c r="R585" s="10" t="inlineStr">
        <is>
          <t>Autor + agente de IA</t>
        </is>
      </c>
      <c r="S585" s="10" t="inlineStr"/>
      <c r="T585" s="11" t="inlineStr"/>
      <c r="U585" s="3" t="inlineStr">
        <is>
          <t>reports/S54/SL-S54-01.md</t>
        </is>
      </c>
      <c r="V585" s="10" t="inlineStr"/>
      <c r="W585" s="10" t="inlineStr"/>
      <c r="X585" s="3">
        <f>IF(N585="Concluído",IF(AND(S585&lt;&gt;"",ISNUMBER(T585),T585&gt;0,V585&lt;&gt;"",AND(OR(X584="OK",X584="DISPENSADO"))),"OK","REVISAR"),IF(N585="Dispensado (ADR)",IF(AND(LEFT(Q585,11)="Condicional",W585&lt;&gt;"",S585&lt;&gt;"",ISNUMBER(T585),T585&gt;0,V585&lt;&gt;""),"DISPENSADO","REVISAR"),"PENDENTE"))</f>
        <v/>
      </c>
      <c r="Y585" s="10" t="inlineStr"/>
    </row>
    <row r="586" ht="112" customHeight="1">
      <c r="A586" s="3" t="n">
        <v>585</v>
      </c>
      <c r="B586" s="3" t="inlineStr">
        <is>
          <t>SL-S54-02</t>
        </is>
      </c>
      <c r="C586" s="9" t="inlineStr">
        <is>
          <t>v1.0.0-beta.1</t>
        </is>
      </c>
      <c r="D586" s="9" t="inlineStr">
        <is>
          <t>S54</t>
        </is>
      </c>
      <c r="E586" s="3" t="inlineStr">
        <is>
          <t>Segurança / todos os motores</t>
        </is>
      </c>
      <c r="F586" s="3" t="inlineStr">
        <is>
          <t>Próprio</t>
        </is>
      </c>
      <c r="G586" s="3" t="inlineStr">
        <is>
          <t>Teste</t>
        </is>
      </c>
      <c r="H586" s="3" t="inlineStr">
        <is>
          <t>Fuzzar codecs/protocolos</t>
        </is>
      </c>
      <c r="I586" s="3" t="inlineStr">
        <is>
          <t>Cobrir Markdown, YAML, JSON, MPK, respostas de workers e patches editoriais.</t>
        </is>
      </c>
      <c r="J586" s="3" t="inlineStr">
        <is>
          <t>tests/fuzz/</t>
        </is>
      </c>
      <c r="K586" s="3" t="inlineStr">
        <is>
          <t>Crashes e consumo excessivo reproduzíveis viram regressões, não arquivos descartados sem análise.</t>
        </is>
      </c>
      <c r="L586" s="3" t="inlineStr">
        <is>
          <t>SL-S54-01</t>
        </is>
      </c>
      <c r="M586" s="3" t="inlineStr">
        <is>
          <t>R05; R06; R08; R30; R34</t>
        </is>
      </c>
      <c r="N586" s="10" t="inlineStr">
        <is>
          <t>Não iniciado</t>
        </is>
      </c>
      <c r="O586" s="3" t="inlineStr">
        <is>
          <t>P0</t>
        </is>
      </c>
      <c r="P586" s="3" t="inlineStr">
        <is>
          <t>Crítico</t>
        </is>
      </c>
      <c r="Q586" s="3" t="inlineStr">
        <is>
          <t>Obrigatória no escopo da versão</t>
        </is>
      </c>
      <c r="R586" s="10" t="inlineStr">
        <is>
          <t>Autor + agente de IA</t>
        </is>
      </c>
      <c r="S586" s="10" t="inlineStr"/>
      <c r="T586" s="11" t="inlineStr"/>
      <c r="U586" s="3" t="inlineStr">
        <is>
          <t>reports/S54/SL-S54-02.md</t>
        </is>
      </c>
      <c r="V586" s="10" t="inlineStr"/>
      <c r="W586" s="10" t="inlineStr"/>
      <c r="X586" s="3">
        <f>IF(N586="Concluído",IF(AND(S586&lt;&gt;"",ISNUMBER(T586),T586&gt;0,V586&lt;&gt;"",AND(OR(X585="OK",X585="DISPENSADO"))),"OK","REVISAR"),IF(N586="Dispensado (ADR)",IF(AND(LEFT(Q586,11)="Condicional",W586&lt;&gt;"",S586&lt;&gt;"",ISNUMBER(T586),T586&gt;0,V586&lt;&gt;""),"DISPENSADO","REVISAR"),"PENDENTE"))</f>
        <v/>
      </c>
      <c r="Y586" s="10" t="inlineStr"/>
    </row>
    <row r="587" ht="112" customHeight="1">
      <c r="A587" s="3" t="n">
        <v>586</v>
      </c>
      <c r="B587" s="3" t="inlineStr">
        <is>
          <t>SL-S54-03</t>
        </is>
      </c>
      <c r="C587" s="9" t="inlineStr">
        <is>
          <t>v1.0.0-beta.1</t>
        </is>
      </c>
      <c r="D587" s="9" t="inlineStr">
        <is>
          <t>S54</t>
        </is>
      </c>
      <c r="E587" s="3" t="inlineStr">
        <is>
          <t>Segurança / todos os motores</t>
        </is>
      </c>
      <c r="F587" s="3" t="inlineStr">
        <is>
          <t>Próprio</t>
        </is>
      </c>
      <c r="G587" s="3" t="inlineStr">
        <is>
          <t>Teste</t>
        </is>
      </c>
      <c r="H587" s="3" t="inlineStr">
        <is>
          <t>Repetir ataques de filesystem</t>
        </is>
      </c>
      <c r="I587" s="3" t="inlineStr">
        <is>
          <t>Executar TOCTOU/junction/symlink nas operações reais dos motores.</t>
        </is>
      </c>
      <c r="J587" s="3" t="inlineStr">
        <is>
          <t>reports/security/fs-integration.json</t>
        </is>
      </c>
      <c r="K587" s="3" t="inlineStr">
        <is>
          <t>Proteção do Core não é contornada por parser/browser com acesso direto amplo.</t>
        </is>
      </c>
      <c r="L587" s="3" t="inlineStr">
        <is>
          <t>SL-S54-02</t>
        </is>
      </c>
      <c r="M587" s="3" t="inlineStr">
        <is>
          <t>R05; R06; R08; R30; R34</t>
        </is>
      </c>
      <c r="N587" s="10" t="inlineStr">
        <is>
          <t>Não iniciado</t>
        </is>
      </c>
      <c r="O587" s="3" t="inlineStr">
        <is>
          <t>P0</t>
        </is>
      </c>
      <c r="P587" s="3" t="inlineStr">
        <is>
          <t>Crítico</t>
        </is>
      </c>
      <c r="Q587" s="3" t="inlineStr">
        <is>
          <t>Obrigatória no escopo da versão</t>
        </is>
      </c>
      <c r="R587" s="10" t="inlineStr">
        <is>
          <t>Autor + agente de IA</t>
        </is>
      </c>
      <c r="S587" s="10" t="inlineStr"/>
      <c r="T587" s="11" t="inlineStr"/>
      <c r="U587" s="3" t="inlineStr">
        <is>
          <t>reports/S54/SL-S54-03.md</t>
        </is>
      </c>
      <c r="V587" s="10" t="inlineStr"/>
      <c r="W587" s="10" t="inlineStr"/>
      <c r="X587" s="3">
        <f>IF(N587="Concluído",IF(AND(S587&lt;&gt;"",ISNUMBER(T587),T587&gt;0,V587&lt;&gt;"",AND(OR(X586="OK",X586="DISPENSADO"))),"OK","REVISAR"),IF(N587="Dispensado (ADR)",IF(AND(LEFT(Q587,11)="Condicional",W587&lt;&gt;"",S587&lt;&gt;"",ISNUMBER(T587),T587&gt;0,V587&lt;&gt;""),"DISPENSADO","REVISAR"),"PENDENTE"))</f>
        <v/>
      </c>
      <c r="Y587" s="10" t="inlineStr"/>
    </row>
    <row r="588" ht="112" customHeight="1">
      <c r="A588" s="3" t="n">
        <v>587</v>
      </c>
      <c r="B588" s="3" t="inlineStr">
        <is>
          <t>SL-S54-04</t>
        </is>
      </c>
      <c r="C588" s="9" t="inlineStr">
        <is>
          <t>v1.0.0-beta.1</t>
        </is>
      </c>
      <c r="D588" s="9" t="inlineStr">
        <is>
          <t>S54</t>
        </is>
      </c>
      <c r="E588" s="3" t="inlineStr">
        <is>
          <t>Segurança / todos os motores</t>
        </is>
      </c>
      <c r="F588" s="3" t="inlineStr">
        <is>
          <t>Próprio</t>
        </is>
      </c>
      <c r="G588" s="3" t="inlineStr">
        <is>
          <t>Teste</t>
        </is>
      </c>
      <c r="H588" s="3" t="inlineStr">
        <is>
          <t>Repetir ataques de rede</t>
        </is>
      </c>
      <c r="I588" s="3" t="inlineStr">
        <is>
          <t>Testar SSRF, serviços locais, redirects e subrequests de browser.</t>
        </is>
      </c>
      <c r="J588" s="3" t="inlineStr">
        <is>
          <t>reports/security/network-integration.json</t>
        </is>
      </c>
      <c r="K588" s="3" t="inlineStr">
        <is>
          <t>LocalAI, SearxNG e segredos não são alcançados por conteúdo adquirido sem autorização.</t>
        </is>
      </c>
      <c r="L588" s="3" t="inlineStr">
        <is>
          <t>SL-S54-03</t>
        </is>
      </c>
      <c r="M588" s="3" t="inlineStr">
        <is>
          <t>R05; R06; R08; R30; R34</t>
        </is>
      </c>
      <c r="N588" s="10" t="inlineStr">
        <is>
          <t>Não iniciado</t>
        </is>
      </c>
      <c r="O588" s="3" t="inlineStr">
        <is>
          <t>P0</t>
        </is>
      </c>
      <c r="P588" s="3" t="inlineStr">
        <is>
          <t>Crítico</t>
        </is>
      </c>
      <c r="Q588" s="3" t="inlineStr">
        <is>
          <t>Obrigatória no escopo da versão</t>
        </is>
      </c>
      <c r="R588" s="10" t="inlineStr">
        <is>
          <t>Autor + agente de IA</t>
        </is>
      </c>
      <c r="S588" s="10" t="inlineStr"/>
      <c r="T588" s="11" t="inlineStr"/>
      <c r="U588" s="3" t="inlineStr">
        <is>
          <t>reports/S54/SL-S54-04.md</t>
        </is>
      </c>
      <c r="V588" s="10" t="inlineStr"/>
      <c r="W588" s="10" t="inlineStr"/>
      <c r="X588" s="3">
        <f>IF(N588="Concluído",IF(AND(S588&lt;&gt;"",ISNUMBER(T588),T588&gt;0,V588&lt;&gt;"",AND(OR(X587="OK",X587="DISPENSADO"))),"OK","REVISAR"),IF(N588="Dispensado (ADR)",IF(AND(LEFT(Q588,11)="Condicional",W588&lt;&gt;"",S588&lt;&gt;"",ISNUMBER(T588),T588&gt;0,V588&lt;&gt;""),"DISPENSADO","REVISAR"),"PENDENTE"))</f>
        <v/>
      </c>
      <c r="Y588" s="10" t="inlineStr"/>
    </row>
    <row r="589" ht="112" customHeight="1">
      <c r="A589" s="3" t="n">
        <v>588</v>
      </c>
      <c r="B589" s="3" t="inlineStr">
        <is>
          <t>SL-S54-05</t>
        </is>
      </c>
      <c r="C589" s="9" t="inlineStr">
        <is>
          <t>v1.0.0-beta.1</t>
        </is>
      </c>
      <c r="D589" s="9" t="inlineStr">
        <is>
          <t>S54</t>
        </is>
      </c>
      <c r="E589" s="3" t="inlineStr">
        <is>
          <t>Segurança / todos os motores</t>
        </is>
      </c>
      <c r="F589" s="3" t="inlineStr">
        <is>
          <t>Próprio</t>
        </is>
      </c>
      <c r="G589" s="3" t="inlineStr">
        <is>
          <t>Teste</t>
        </is>
      </c>
      <c r="H589" s="3" t="inlineStr">
        <is>
          <t>Red-team de prompt injection</t>
        </is>
      </c>
      <c r="I589" s="3" t="inlineStr">
        <is>
          <t>Misturar instruções hostis com documentos/citações e propostas de geração.</t>
        </is>
      </c>
      <c r="J589" s="3" t="inlineStr">
        <is>
          <t>reports/security/prompt-injection.json</t>
        </is>
      </c>
      <c r="K589" s="3" t="inlineStr">
        <is>
          <t>Ataque pode afetar texto gerado, mas não altera permissões nem executa ações proibidas.</t>
        </is>
      </c>
      <c r="L589" s="3" t="inlineStr">
        <is>
          <t>SL-S54-04</t>
        </is>
      </c>
      <c r="M589" s="3" t="inlineStr">
        <is>
          <t>R05; R06; R08; R30; R34</t>
        </is>
      </c>
      <c r="N589" s="10" t="inlineStr">
        <is>
          <t>Não iniciado</t>
        </is>
      </c>
      <c r="O589" s="3" t="inlineStr">
        <is>
          <t>P0</t>
        </is>
      </c>
      <c r="P589" s="3" t="inlineStr">
        <is>
          <t>Crítico</t>
        </is>
      </c>
      <c r="Q589" s="3" t="inlineStr">
        <is>
          <t>Obrigatória no escopo da versão</t>
        </is>
      </c>
      <c r="R589" s="10" t="inlineStr">
        <is>
          <t>Autor + agente de IA</t>
        </is>
      </c>
      <c r="S589" s="10" t="inlineStr"/>
      <c r="T589" s="11" t="inlineStr"/>
      <c r="U589" s="3" t="inlineStr">
        <is>
          <t>reports/S54/SL-S54-05.md</t>
        </is>
      </c>
      <c r="V589" s="10" t="inlineStr"/>
      <c r="W589" s="10" t="inlineStr"/>
      <c r="X589" s="3">
        <f>IF(N589="Concluído",IF(AND(S589&lt;&gt;"",ISNUMBER(T589),T589&gt;0,V589&lt;&gt;"",AND(OR(X588="OK",X588="DISPENSADO"))),"OK","REVISAR"),IF(N589="Dispensado (ADR)",IF(AND(LEFT(Q589,11)="Condicional",W589&lt;&gt;"",S589&lt;&gt;"",ISNUMBER(T589),T589&gt;0,V589&lt;&gt;""),"DISPENSADO","REVISAR"),"PENDENTE"))</f>
        <v/>
      </c>
      <c r="Y589" s="10" t="inlineStr"/>
    </row>
    <row r="590" ht="112" customHeight="1">
      <c r="A590" s="3" t="n">
        <v>589</v>
      </c>
      <c r="B590" s="3" t="inlineStr">
        <is>
          <t>SL-S54-06</t>
        </is>
      </c>
      <c r="C590" s="9" t="inlineStr">
        <is>
          <t>v1.0.0-beta.1</t>
        </is>
      </c>
      <c r="D590" s="9" t="inlineStr">
        <is>
          <t>S54</t>
        </is>
      </c>
      <c r="E590" s="3" t="inlineStr">
        <is>
          <t>Segurança / todos os motores</t>
        </is>
      </c>
      <c r="F590" s="3" t="inlineStr">
        <is>
          <t>Próprio</t>
        </is>
      </c>
      <c r="G590" s="3" t="inlineStr">
        <is>
          <t>Teste</t>
        </is>
      </c>
      <c r="H590" s="3" t="inlineStr">
        <is>
          <t>Auditar credenciais/logs</t>
        </is>
      </c>
      <c r="I590" s="3" t="inlineStr">
        <is>
          <t>Procurar chaves, conteúdos privados e metadados sensíveis em exports e diagnóstico.</t>
        </is>
      </c>
      <c r="J590" s="3" t="inlineStr">
        <is>
          <t>reports/security/secrets.json</t>
        </is>
      </c>
      <c r="K590" s="3" t="inlineStr">
        <is>
          <t>Dados-semente não vazam; logging detalhado exige opt-in e saneamento.</t>
        </is>
      </c>
      <c r="L590" s="3" t="inlineStr">
        <is>
          <t>SL-S54-05</t>
        </is>
      </c>
      <c r="M590" s="3" t="inlineStr">
        <is>
          <t>R05; R06; R08; R30; R34</t>
        </is>
      </c>
      <c r="N590" s="10" t="inlineStr">
        <is>
          <t>Não iniciado</t>
        </is>
      </c>
      <c r="O590" s="3" t="inlineStr">
        <is>
          <t>P0</t>
        </is>
      </c>
      <c r="P590" s="3" t="inlineStr">
        <is>
          <t>Crítico</t>
        </is>
      </c>
      <c r="Q590" s="3" t="inlineStr">
        <is>
          <t>Obrigatória no escopo da versão</t>
        </is>
      </c>
      <c r="R590" s="10" t="inlineStr">
        <is>
          <t>Autor + agente de IA</t>
        </is>
      </c>
      <c r="S590" s="10" t="inlineStr"/>
      <c r="T590" s="11" t="inlineStr"/>
      <c r="U590" s="3" t="inlineStr">
        <is>
          <t>reports/S54/SL-S54-06.md</t>
        </is>
      </c>
      <c r="V590" s="10" t="inlineStr"/>
      <c r="W590" s="10" t="inlineStr"/>
      <c r="X590" s="3">
        <f>IF(N590="Concluído",IF(AND(S590&lt;&gt;"",ISNUMBER(T590),T590&gt;0,V590&lt;&gt;"",AND(OR(X589="OK",X589="DISPENSADO"))),"OK","REVISAR"),IF(N590="Dispensado (ADR)",IF(AND(LEFT(Q590,11)="Condicional",W590&lt;&gt;"",S590&lt;&gt;"",ISNUMBER(T590),T590&gt;0,V590&lt;&gt;""),"DISPENSADO","REVISAR"),"PENDENTE"))</f>
        <v/>
      </c>
      <c r="Y590" s="10" t="inlineStr"/>
    </row>
    <row r="591" ht="112" customHeight="1">
      <c r="A591" s="3" t="n">
        <v>590</v>
      </c>
      <c r="B591" s="3" t="inlineStr">
        <is>
          <t>SL-S54-07</t>
        </is>
      </c>
      <c r="C591" s="9" t="inlineStr">
        <is>
          <t>v1.0.0-beta.1</t>
        </is>
      </c>
      <c r="D591" s="9" t="inlineStr">
        <is>
          <t>S54</t>
        </is>
      </c>
      <c r="E591" s="3" t="inlineStr">
        <is>
          <t>Segurança / todos os motores</t>
        </is>
      </c>
      <c r="F591" s="3" t="inlineStr">
        <is>
          <t>Próprio</t>
        </is>
      </c>
      <c r="G591" s="3" t="inlineStr">
        <is>
          <t>Implementação</t>
        </is>
      </c>
      <c r="H591" s="3" t="inlineStr">
        <is>
          <t>Corrigir vulnerabilidades encontradas</t>
        </is>
      </c>
      <c r="I591" s="3" t="inlineStr">
        <is>
          <t>Priorizar causa raiz e adicionar teste que falha antes do patch.</t>
        </is>
      </c>
      <c r="J591" s="3" t="inlineStr">
        <is>
          <t>security/fixes/</t>
        </is>
      </c>
      <c r="K591" s="3" t="inlineStr">
        <is>
          <t>Achado crítico não fica apenas documentado como risco aceito para publicar estável.</t>
        </is>
      </c>
      <c r="L591" s="3" t="inlineStr">
        <is>
          <t>SL-S54-06</t>
        </is>
      </c>
      <c r="M591" s="3" t="inlineStr">
        <is>
          <t>R05; R06; R08; R30; R34</t>
        </is>
      </c>
      <c r="N591" s="10" t="inlineStr">
        <is>
          <t>Não iniciado</t>
        </is>
      </c>
      <c r="O591" s="3" t="inlineStr">
        <is>
          <t>P0</t>
        </is>
      </c>
      <c r="P591" s="3" t="inlineStr">
        <is>
          <t>Crítico</t>
        </is>
      </c>
      <c r="Q591" s="3" t="inlineStr">
        <is>
          <t>Obrigatória no escopo da versão</t>
        </is>
      </c>
      <c r="R591" s="10" t="inlineStr">
        <is>
          <t>Autor + agente de IA</t>
        </is>
      </c>
      <c r="S591" s="10" t="inlineStr"/>
      <c r="T591" s="11" t="inlineStr"/>
      <c r="U591" s="3" t="inlineStr">
        <is>
          <t>reports/S54/SL-S54-07.md</t>
        </is>
      </c>
      <c r="V591" s="10" t="inlineStr"/>
      <c r="W591" s="10" t="inlineStr"/>
      <c r="X591" s="3">
        <f>IF(N591="Concluído",IF(AND(S591&lt;&gt;"",ISNUMBER(T591),T591&gt;0,V591&lt;&gt;"",AND(OR(X590="OK",X590="DISPENSADO"))),"OK","REVISAR"),IF(N591="Dispensado (ADR)",IF(AND(LEFT(Q591,11)="Condicional",W591&lt;&gt;"",S591&lt;&gt;"",ISNUMBER(T591),T591&gt;0,V591&lt;&gt;""),"DISPENSADO","REVISAR"),"PENDENTE"))</f>
        <v/>
      </c>
      <c r="Y591" s="10" t="inlineStr"/>
    </row>
    <row r="592" ht="112" customHeight="1">
      <c r="A592" s="3" t="n">
        <v>591</v>
      </c>
      <c r="B592" s="3" t="inlineStr">
        <is>
          <t>SL-S54-08</t>
        </is>
      </c>
      <c r="C592" s="9" t="inlineStr">
        <is>
          <t>v1.0.0-beta.1</t>
        </is>
      </c>
      <c r="D592" s="9" t="inlineStr">
        <is>
          <t>S54</t>
        </is>
      </c>
      <c r="E592" s="3" t="inlineStr">
        <is>
          <t>Segurança / todos os motores</t>
        </is>
      </c>
      <c r="F592" s="3" t="inlineStr">
        <is>
          <t>Próprio</t>
        </is>
      </c>
      <c r="G592" s="3" t="inlineStr">
        <is>
          <t>Upstream</t>
        </is>
      </c>
      <c r="H592" s="3" t="inlineStr">
        <is>
          <t>Auditar dependências e patches</t>
        </is>
      </c>
      <c r="I592" s="3" t="inlineStr">
        <is>
          <t>Conferir avisos, CVEs relevantes e necessidade de atualização controlada.</t>
        </is>
      </c>
      <c r="J592" s="3" t="inlineStr">
        <is>
          <t>compliance/security-review-v1.json</t>
        </is>
      </c>
      <c r="K592" s="3" t="inlineStr">
        <is>
          <t>Atualização passa regressões; ausência de CVE não é tratada como garantia de segurança.</t>
        </is>
      </c>
      <c r="L592" s="3" t="inlineStr">
        <is>
          <t>SL-S54-07</t>
        </is>
      </c>
      <c r="M592" s="3" t="inlineStr">
        <is>
          <t>R05; R06; R08; R30; R34</t>
        </is>
      </c>
      <c r="N592" s="10" t="inlineStr">
        <is>
          <t>Não iniciado</t>
        </is>
      </c>
      <c r="O592" s="3" t="inlineStr">
        <is>
          <t>P0</t>
        </is>
      </c>
      <c r="P592" s="3" t="inlineStr">
        <is>
          <t>Crítico</t>
        </is>
      </c>
      <c r="Q592" s="3" t="inlineStr">
        <is>
          <t>Obrigatória no escopo da versão</t>
        </is>
      </c>
      <c r="R592" s="10" t="inlineStr">
        <is>
          <t>Autor + agente de IA</t>
        </is>
      </c>
      <c r="S592" s="10" t="inlineStr"/>
      <c r="T592" s="11" t="inlineStr"/>
      <c r="U592" s="3" t="inlineStr">
        <is>
          <t>reports/S54/SL-S54-08.md</t>
        </is>
      </c>
      <c r="V592" s="10" t="inlineStr"/>
      <c r="W592" s="10" t="inlineStr"/>
      <c r="X592" s="3">
        <f>IF(N592="Concluído",IF(AND(S592&lt;&gt;"",ISNUMBER(T592),T592&gt;0,V592&lt;&gt;"",AND(OR(X591="OK",X591="DISPENSADO"))),"OK","REVISAR"),IF(N592="Dispensado (ADR)",IF(AND(LEFT(Q592,11)="Condicional",W592&lt;&gt;"",S592&lt;&gt;"",ISNUMBER(T592),T592&gt;0,V592&lt;&gt;""),"DISPENSADO","REVISAR"),"PENDENTE"))</f>
        <v/>
      </c>
      <c r="Y592" s="10" t="inlineStr"/>
    </row>
    <row r="593" ht="112" customHeight="1">
      <c r="A593" s="3" t="n">
        <v>592</v>
      </c>
      <c r="B593" s="3" t="inlineStr">
        <is>
          <t>SL-S54-09</t>
        </is>
      </c>
      <c r="C593" s="9" t="inlineStr">
        <is>
          <t>v1.0.0-beta.1</t>
        </is>
      </c>
      <c r="D593" s="9" t="inlineStr">
        <is>
          <t>S54</t>
        </is>
      </c>
      <c r="E593" s="3" t="inlineStr">
        <is>
          <t>Segurança / todos os motores</t>
        </is>
      </c>
      <c r="F593" s="3" t="inlineStr">
        <is>
          <t>Próprio</t>
        </is>
      </c>
      <c r="G593" s="3" t="inlineStr">
        <is>
          <t>Teste</t>
        </is>
      </c>
      <c r="H593" s="3" t="inlineStr">
        <is>
          <t>Validar fail-closed</t>
        </is>
      </c>
      <c r="I593" s="3" t="inlineStr">
        <is>
          <t>Remover mecanismo obrigatório de sandbox e tentar iniciar recurso dependente.</t>
        </is>
      </c>
      <c r="J593" s="3" t="inlineStr">
        <is>
          <t>tests/security/missing-capability/</t>
        </is>
      </c>
      <c r="K593" s="3" t="inlineStr">
        <is>
          <t>Função é bloqueada claramente em vez de rodar sem contenção.</t>
        </is>
      </c>
      <c r="L593" s="3" t="inlineStr">
        <is>
          <t>SL-S54-08</t>
        </is>
      </c>
      <c r="M593" s="3" t="inlineStr">
        <is>
          <t>R05; R06; R08; R30; R34</t>
        </is>
      </c>
      <c r="N593" s="10" t="inlineStr">
        <is>
          <t>Não iniciado</t>
        </is>
      </c>
      <c r="O593" s="3" t="inlineStr">
        <is>
          <t>P0</t>
        </is>
      </c>
      <c r="P593" s="3" t="inlineStr">
        <is>
          <t>Crítico</t>
        </is>
      </c>
      <c r="Q593" s="3" t="inlineStr">
        <is>
          <t>Obrigatória no escopo da versão</t>
        </is>
      </c>
      <c r="R593" s="10" t="inlineStr">
        <is>
          <t>Autor + agente de IA</t>
        </is>
      </c>
      <c r="S593" s="10" t="inlineStr"/>
      <c r="T593" s="11" t="inlineStr"/>
      <c r="U593" s="3" t="inlineStr">
        <is>
          <t>reports/S54/SL-S54-09.md</t>
        </is>
      </c>
      <c r="V593" s="10" t="inlineStr"/>
      <c r="W593" s="10" t="inlineStr"/>
      <c r="X593" s="3">
        <f>IF(N593="Concluído",IF(AND(S593&lt;&gt;"",ISNUMBER(T593),T593&gt;0,V593&lt;&gt;"",AND(OR(X592="OK",X592="DISPENSADO"))),"OK","REVISAR"),IF(N593="Dispensado (ADR)",IF(AND(LEFT(Q593,11)="Condicional",W593&lt;&gt;"",S593&lt;&gt;"",ISNUMBER(T593),T593&gt;0,V593&lt;&gt;""),"DISPENSADO","REVISAR"),"PENDENTE"))</f>
        <v/>
      </c>
      <c r="Y593" s="10" t="inlineStr"/>
    </row>
    <row r="594" ht="112" customHeight="1">
      <c r="A594" s="3" t="n">
        <v>593</v>
      </c>
      <c r="B594" s="3" t="inlineStr">
        <is>
          <t>SL-S54-10</t>
        </is>
      </c>
      <c r="C594" s="9" t="inlineStr">
        <is>
          <t>v1.0.0-beta.1</t>
        </is>
      </c>
      <c r="D594" s="9" t="inlineStr">
        <is>
          <t>S54</t>
        </is>
      </c>
      <c r="E594" s="3" t="inlineStr">
        <is>
          <t>Segurança / todos os motores</t>
        </is>
      </c>
      <c r="F594" s="3" t="inlineStr">
        <is>
          <t>Próprio</t>
        </is>
      </c>
      <c r="G594" s="3" t="inlineStr">
        <is>
          <t>Governança</t>
        </is>
      </c>
      <c r="H594" s="3" t="inlineStr">
        <is>
          <t>Fechar gate de segurança</t>
        </is>
      </c>
      <c r="I594" s="3" t="inlineStr">
        <is>
          <t>Revisar evidências manualmente e registrar limites residuais não críticos.</t>
        </is>
      </c>
      <c r="J594" s="3" t="inlineStr">
        <is>
          <t>reports/security/v1-signoff.md</t>
        </is>
      </c>
      <c r="K594" s="3" t="inlineStr">
        <is>
          <t>Aprovação identifica exatamente versões/perfis testados e não afirma segurança absoluta.</t>
        </is>
      </c>
      <c r="L594" s="3" t="inlineStr">
        <is>
          <t>SL-S54-09</t>
        </is>
      </c>
      <c r="M594" s="3" t="inlineStr">
        <is>
          <t>R05; R06; R08; R30; R34</t>
        </is>
      </c>
      <c r="N594" s="10" t="inlineStr">
        <is>
          <t>Não iniciado</t>
        </is>
      </c>
      <c r="O594" s="3" t="inlineStr">
        <is>
          <t>P0</t>
        </is>
      </c>
      <c r="P594" s="3" t="inlineStr">
        <is>
          <t>Crítico</t>
        </is>
      </c>
      <c r="Q594" s="3" t="inlineStr">
        <is>
          <t>Obrigatória no escopo da versão</t>
        </is>
      </c>
      <c r="R594" s="10" t="inlineStr">
        <is>
          <t>Autor</t>
        </is>
      </c>
      <c r="S594" s="10" t="inlineStr"/>
      <c r="T594" s="11" t="inlineStr"/>
      <c r="U594" s="3" t="inlineStr">
        <is>
          <t>reports/S54/SL-S54-10.md</t>
        </is>
      </c>
      <c r="V594" s="10" t="inlineStr"/>
      <c r="W594" s="10" t="inlineStr"/>
      <c r="X594" s="3">
        <f>IF(N594="Concluído",IF(AND(S594&lt;&gt;"",ISNUMBER(T594),T594&gt;0,V594&lt;&gt;"",AND(OR(X593="OK",X593="DISPENSADO"))),"OK","REVISAR"),IF(N594="Dispensado (ADR)",IF(AND(LEFT(Q594,11)="Condicional",W594&lt;&gt;"",S594&lt;&gt;"",ISNUMBER(T594),T594&gt;0,V594&lt;&gt;""),"DISPENSADO","REVISAR"),"PENDENTE"))</f>
        <v/>
      </c>
      <c r="Y594" s="10" t="inlineStr"/>
    </row>
    <row r="595" ht="98" customHeight="1">
      <c r="A595" s="3" t="n">
        <v>594</v>
      </c>
      <c r="B595" s="12" t="inlineStr">
        <is>
          <t>SL-S54-GATE</t>
        </is>
      </c>
      <c r="C595" s="9" t="inlineStr">
        <is>
          <t>v1.0.0-beta.1</t>
        </is>
      </c>
      <c r="D595" s="9" t="inlineStr">
        <is>
          <t>S54</t>
        </is>
      </c>
      <c r="E595" s="3" t="inlineStr">
        <is>
          <t>Segurança / todos os motores</t>
        </is>
      </c>
      <c r="F595" s="3" t="inlineStr">
        <is>
          <t>Aceite humano</t>
        </is>
      </c>
      <c r="G595" s="12" t="inlineStr">
        <is>
          <t>Gate</t>
        </is>
      </c>
      <c r="H595" s="12" t="inlineStr">
        <is>
          <t>Aceitar S54 — Executar hardening e auditoria adversarial</t>
        </is>
      </c>
      <c r="I595" s="3" t="inlineStr">
        <is>
          <t>Revisar as dez tarefas, executar a demonstração do sprint, confrontar critérios e registrar decisão go/no-go.</t>
        </is>
      </c>
      <c r="J595" s="3" t="inlineStr">
        <is>
          <t>reports/S54/acceptance.md</t>
        </is>
      </c>
      <c r="K595" s="3" t="inlineStr">
        <is>
          <t>Ataques de arquivo, web, prompt e processo falham sem afetar outros workspaces. Todas as dependências aceitas; evidências vinculadas a revisão/ambiente; nenhum blocker de integridade/segurança.</t>
        </is>
      </c>
      <c r="L595" s="3" t="inlineStr">
        <is>
          <t>SL-S54-01; SL-S54-02; SL-S54-03; SL-S54-04; SL-S54-05; SL-S54-06; SL-S54-07; SL-S54-08; SL-S54-09; SL-S54-10</t>
        </is>
      </c>
      <c r="M595" s="3" t="inlineStr">
        <is>
          <t>R05; R06; R08; R30; R34</t>
        </is>
      </c>
      <c r="N595" s="10" t="inlineStr">
        <is>
          <t>Não iniciado</t>
        </is>
      </c>
      <c r="O595" s="3" t="inlineStr">
        <is>
          <t>P0</t>
        </is>
      </c>
      <c r="P595" s="3" t="inlineStr">
        <is>
          <t>Crítico</t>
        </is>
      </c>
      <c r="Q595" s="3" t="inlineStr">
        <is>
          <t>Obrigatória para fechar a versão aprovada</t>
        </is>
      </c>
      <c r="R595" s="10" t="inlineStr">
        <is>
          <t>Autor</t>
        </is>
      </c>
      <c r="S595" s="10" t="inlineStr"/>
      <c r="T595" s="11" t="inlineStr"/>
      <c r="U595" s="3" t="inlineStr">
        <is>
          <t>reports/S54/acceptance.md</t>
        </is>
      </c>
      <c r="V595" s="10" t="inlineStr"/>
      <c r="W595" s="10" t="inlineStr"/>
      <c r="X595" s="3">
        <f>IF(N595="Concluído",IF(AND(S595&lt;&gt;"",ISNUMBER(T595),T595&gt;0,V595&lt;&gt;"",AND(OR(X585="OK",X585="DISPENSADO"),OR(X586="OK",X586="DISPENSADO"),OR(X587="OK",X587="DISPENSADO"),OR(X588="OK",X588="DISPENSADO"),OR(X589="OK",X589="DISPENSADO"),OR(X590="OK",X590="DISPENSADO"),OR(X591="OK",X591="DISPENSADO"),OR(X592="OK",X592="DISPENSADO"),OR(X593="OK",X593="DISPENSADO"),OR(X594="OK",X594="DISPENSADO"))),"OK","REVISAR"),IF(N595="Dispensado (ADR)",IF(AND(LEFT(Q595,11)="Condicional",W595&lt;&gt;"",S595&lt;&gt;"",ISNUMBER(T595),T595&gt;0,V595&lt;&gt;""),"DISPENSADO","REVISAR"),"PENDENTE"))</f>
        <v/>
      </c>
      <c r="Y595" s="10" t="inlineStr"/>
    </row>
    <row r="596" ht="112" customHeight="1">
      <c r="A596" s="3" t="n">
        <v>595</v>
      </c>
      <c r="B596" s="3" t="inlineStr">
        <is>
          <t>SL-S55-01</t>
        </is>
      </c>
      <c r="C596" s="9" t="inlineStr">
        <is>
          <t>v1.0.0-beta.1</t>
        </is>
      </c>
      <c r="D596" s="9" t="inlineStr">
        <is>
          <t>S55</t>
        </is>
      </c>
      <c r="E596" s="3" t="inlineStr">
        <is>
          <t>ResourceSupervisor / benchmarks</t>
        </is>
      </c>
      <c r="F596" s="3" t="inlineStr">
        <is>
          <t>Próprio</t>
        </is>
      </c>
      <c r="G596" s="3" t="inlineStr">
        <is>
          <t>Teste</t>
        </is>
      </c>
      <c r="H596" s="3" t="inlineStr">
        <is>
          <t>Fixar ambiente de homologação</t>
        </is>
      </c>
      <c r="I596" s="3" t="inlineStr">
        <is>
          <t>Registrar hardware, SO, drivers, armazenamento, dataset e versões dos modelos.</t>
        </is>
      </c>
      <c r="J596" s="3" t="inlineStr">
        <is>
          <t>bench/profiles/v1.yaml</t>
        </is>
      </c>
      <c r="K596" s="3" t="inlineStr">
        <is>
          <t>Resultado de VM/CI não é confundido com perfil de desktop real.</t>
        </is>
      </c>
      <c r="L596" s="3" t="inlineStr">
        <is>
          <t>SL-S54-GATE</t>
        </is>
      </c>
      <c r="M596" s="3" t="inlineStr">
        <is>
          <t>R09; R12; R20; R23; R34</t>
        </is>
      </c>
      <c r="N596" s="10" t="inlineStr">
        <is>
          <t>Não iniciado</t>
        </is>
      </c>
      <c r="O596" s="3" t="inlineStr">
        <is>
          <t>P1</t>
        </is>
      </c>
      <c r="P596" s="3" t="inlineStr">
        <is>
          <t>Alto</t>
        </is>
      </c>
      <c r="Q596" s="3" t="inlineStr">
        <is>
          <t>Obrigatória no escopo da versão</t>
        </is>
      </c>
      <c r="R596" s="10" t="inlineStr">
        <is>
          <t>Autor + agente de IA</t>
        </is>
      </c>
      <c r="S596" s="10" t="inlineStr"/>
      <c r="T596" s="11" t="inlineStr"/>
      <c r="U596" s="3" t="inlineStr">
        <is>
          <t>reports/S55/SL-S55-01.md</t>
        </is>
      </c>
      <c r="V596" s="10" t="inlineStr"/>
      <c r="W596" s="10" t="inlineStr"/>
      <c r="X596" s="3">
        <f>IF(N596="Concluído",IF(AND(S596&lt;&gt;"",ISNUMBER(T596),T596&gt;0,V596&lt;&gt;"",AND(OR(X595="OK",X595="DISPENSADO"))),"OK","REVISAR"),IF(N596="Dispensado (ADR)",IF(AND(LEFT(Q596,11)="Condicional",W596&lt;&gt;"",S596&lt;&gt;"",ISNUMBER(T596),T596&gt;0,V596&lt;&gt;""),"DISPENSADO","REVISAR"),"PENDENTE"))</f>
        <v/>
      </c>
      <c r="Y596" s="10" t="inlineStr"/>
    </row>
    <row r="597" ht="112" customHeight="1">
      <c r="A597" s="3" t="n">
        <v>596</v>
      </c>
      <c r="B597" s="3" t="inlineStr">
        <is>
          <t>SL-S55-02</t>
        </is>
      </c>
      <c r="C597" s="9" t="inlineStr">
        <is>
          <t>v1.0.0-beta.1</t>
        </is>
      </c>
      <c r="D597" s="9" t="inlineStr">
        <is>
          <t>S55</t>
        </is>
      </c>
      <c r="E597" s="3" t="inlineStr">
        <is>
          <t>ResourceSupervisor / benchmarks</t>
        </is>
      </c>
      <c r="F597" s="3" t="inlineStr">
        <is>
          <t>Próprio</t>
        </is>
      </c>
      <c r="G597" s="3" t="inlineStr">
        <is>
          <t>Teste</t>
        </is>
      </c>
      <c r="H597" s="3" t="inlineStr">
        <is>
          <t>Medir idle agregado</t>
        </is>
      </c>
      <c r="I597" s="3" t="inlineStr">
        <is>
          <t>Contar Core, WebView, GPU/auxiliares pertinentes e serviços sob gestão.</t>
        </is>
      </c>
      <c r="J597" s="3" t="inlineStr">
        <is>
          <t>reports/perf/idle-v1.json</t>
        </is>
      </c>
      <c r="K597" s="3" t="inlineStr">
        <is>
          <t>Meta de 350 MB é avaliada no perfil aprovado, sem omitir processos pesados.</t>
        </is>
      </c>
      <c r="L597" s="3" t="inlineStr">
        <is>
          <t>SL-S55-01</t>
        </is>
      </c>
      <c r="M597" s="3" t="inlineStr">
        <is>
          <t>R09; R12; R20; R23; R34</t>
        </is>
      </c>
      <c r="N597" s="10" t="inlineStr">
        <is>
          <t>Não iniciado</t>
        </is>
      </c>
      <c r="O597" s="3" t="inlineStr">
        <is>
          <t>P1</t>
        </is>
      </c>
      <c r="P597" s="3" t="inlineStr">
        <is>
          <t>Alto</t>
        </is>
      </c>
      <c r="Q597" s="3" t="inlineStr">
        <is>
          <t>Obrigatória no escopo da versão</t>
        </is>
      </c>
      <c r="R597" s="10" t="inlineStr">
        <is>
          <t>Autor + agente de IA</t>
        </is>
      </c>
      <c r="S597" s="10" t="inlineStr"/>
      <c r="T597" s="11" t="inlineStr"/>
      <c r="U597" s="3" t="inlineStr">
        <is>
          <t>reports/S55/SL-S55-02.md</t>
        </is>
      </c>
      <c r="V597" s="10" t="inlineStr"/>
      <c r="W597" s="10" t="inlineStr"/>
      <c r="X597" s="3">
        <f>IF(N597="Concluído",IF(AND(S597&lt;&gt;"",ISNUMBER(T597),T597&gt;0,V597&lt;&gt;"",AND(OR(X596="OK",X596="DISPENSADO"))),"OK","REVISAR"),IF(N597="Dispensado (ADR)",IF(AND(LEFT(Q597,11)="Condicional",W597&lt;&gt;"",S597&lt;&gt;"",ISNUMBER(T597),T597&gt;0,V597&lt;&gt;""),"DISPENSADO","REVISAR"),"PENDENTE"))</f>
        <v/>
      </c>
      <c r="Y597" s="10" t="inlineStr"/>
    </row>
    <row r="598" ht="112" customHeight="1">
      <c r="A598" s="3" t="n">
        <v>597</v>
      </c>
      <c r="B598" s="3" t="inlineStr">
        <is>
          <t>SL-S55-03</t>
        </is>
      </c>
      <c r="C598" s="9" t="inlineStr">
        <is>
          <t>v1.0.0-beta.1</t>
        </is>
      </c>
      <c r="D598" s="9" t="inlineStr">
        <is>
          <t>S55</t>
        </is>
      </c>
      <c r="E598" s="3" t="inlineStr">
        <is>
          <t>ResourceSupervisor / benchmarks</t>
        </is>
      </c>
      <c r="F598" s="3" t="inlineStr">
        <is>
          <t>Próprio</t>
        </is>
      </c>
      <c r="G598" s="3" t="inlineStr">
        <is>
          <t>Teste</t>
        </is>
      </c>
      <c r="H598" s="3" t="inlineStr">
        <is>
          <t>Medir startup e ack</t>
        </is>
      </c>
      <c r="I598" s="3" t="inlineStr">
        <is>
          <t>Distinguir primeiro uso, caches quentes/frios e aceitação versus conclusão de comando.</t>
        </is>
      </c>
      <c r="J598" s="3" t="inlineStr">
        <is>
          <t>reports/perf/startup-ipc-v1.json</t>
        </is>
      </c>
      <c r="K598" s="3" t="inlineStr">
        <is>
          <t>Meta de 2,2 s/150 ms possui definição e dados por percentil.</t>
        </is>
      </c>
      <c r="L598" s="3" t="inlineStr">
        <is>
          <t>SL-S55-02</t>
        </is>
      </c>
      <c r="M598" s="3" t="inlineStr">
        <is>
          <t>R09; R12; R20; R23; R34</t>
        </is>
      </c>
      <c r="N598" s="10" t="inlineStr">
        <is>
          <t>Não iniciado</t>
        </is>
      </c>
      <c r="O598" s="3" t="inlineStr">
        <is>
          <t>P1</t>
        </is>
      </c>
      <c r="P598" s="3" t="inlineStr">
        <is>
          <t>Alto</t>
        </is>
      </c>
      <c r="Q598" s="3" t="inlineStr">
        <is>
          <t>Obrigatória no escopo da versão</t>
        </is>
      </c>
      <c r="R598" s="10" t="inlineStr">
        <is>
          <t>Autor + agente de IA</t>
        </is>
      </c>
      <c r="S598" s="10" t="inlineStr"/>
      <c r="T598" s="11" t="inlineStr"/>
      <c r="U598" s="3" t="inlineStr">
        <is>
          <t>reports/S55/SL-S55-03.md</t>
        </is>
      </c>
      <c r="V598" s="10" t="inlineStr"/>
      <c r="W598" s="10" t="inlineStr"/>
      <c r="X598" s="3">
        <f>IF(N598="Concluído",IF(AND(S598&lt;&gt;"",ISNUMBER(T598),T598&gt;0,V598&lt;&gt;"",AND(OR(X597="OK",X597="DISPENSADO"))),"OK","REVISAR"),IF(N598="Dispensado (ADR)",IF(AND(LEFT(Q598,11)="Condicional",W598&lt;&gt;"",S598&lt;&gt;"",ISNUMBER(T598),T598&gt;0,V598&lt;&gt;""),"DISPENSADO","REVISAR"),"PENDENTE"))</f>
        <v/>
      </c>
      <c r="Y598" s="10" t="inlineStr"/>
    </row>
    <row r="599" ht="112" customHeight="1">
      <c r="A599" s="3" t="n">
        <v>598</v>
      </c>
      <c r="B599" s="3" t="inlineStr">
        <is>
          <t>SL-S55-04</t>
        </is>
      </c>
      <c r="C599" s="9" t="inlineStr">
        <is>
          <t>v1.0.0-beta.1</t>
        </is>
      </c>
      <c r="D599" s="9" t="inlineStr">
        <is>
          <t>S55</t>
        </is>
      </c>
      <c r="E599" s="3" t="inlineStr">
        <is>
          <t>ResourceSupervisor / benchmarks</t>
        </is>
      </c>
      <c r="F599" s="3" t="inlineStr">
        <is>
          <t>Próprio</t>
        </is>
      </c>
      <c r="G599" s="3" t="inlineStr">
        <is>
          <t>Teste</t>
        </is>
      </c>
      <c r="H599" s="3" t="inlineStr">
        <is>
          <t>Medir indexação leve</t>
        </is>
      </c>
      <c r="I599" s="3" t="inlineStr">
        <is>
          <t>Validar 650 MB no perfil definido e registrar OCR/STT separadamente.</t>
        </is>
      </c>
      <c r="J599" s="3" t="inlineStr">
        <is>
          <t>reports/perf/indexing-v1.json</t>
        </is>
      </c>
      <c r="K599" s="3" t="inlineStr">
        <is>
          <t>Pipelines pesados não recebem exceção implícita ao requisito.</t>
        </is>
      </c>
      <c r="L599" s="3" t="inlineStr">
        <is>
          <t>SL-S55-03</t>
        </is>
      </c>
      <c r="M599" s="3" t="inlineStr">
        <is>
          <t>R09; R12; R20; R23; R34</t>
        </is>
      </c>
      <c r="N599" s="10" t="inlineStr">
        <is>
          <t>Não iniciado</t>
        </is>
      </c>
      <c r="O599" s="3" t="inlineStr">
        <is>
          <t>P1</t>
        </is>
      </c>
      <c r="P599" s="3" t="inlineStr">
        <is>
          <t>Alto</t>
        </is>
      </c>
      <c r="Q599" s="3" t="inlineStr">
        <is>
          <t>Obrigatória no escopo da versão</t>
        </is>
      </c>
      <c r="R599" s="10" t="inlineStr">
        <is>
          <t>Autor + agente de IA</t>
        </is>
      </c>
      <c r="S599" s="10" t="inlineStr"/>
      <c r="T599" s="11" t="inlineStr"/>
      <c r="U599" s="3" t="inlineStr">
        <is>
          <t>reports/S55/SL-S55-04.md</t>
        </is>
      </c>
      <c r="V599" s="10" t="inlineStr"/>
      <c r="W599" s="10" t="inlineStr"/>
      <c r="X599" s="3">
        <f>IF(N599="Concluído",IF(AND(S599&lt;&gt;"",ISNUMBER(T599),T599&gt;0,V599&lt;&gt;"",AND(OR(X598="OK",X598="DISPENSADO"))),"OK","REVISAR"),IF(N599="Dispensado (ADR)",IF(AND(LEFT(Q599,11)="Condicional",W599&lt;&gt;"",S599&lt;&gt;"",ISNUMBER(T599),T599&gt;0,V599&lt;&gt;""),"DISPENSADO","REVISAR"),"PENDENTE"))</f>
        <v/>
      </c>
      <c r="Y599" s="10" t="inlineStr"/>
    </row>
    <row r="600" ht="112" customHeight="1">
      <c r="A600" s="3" t="n">
        <v>599</v>
      </c>
      <c r="B600" s="3" t="inlineStr">
        <is>
          <t>SL-S55-05</t>
        </is>
      </c>
      <c r="C600" s="9" t="inlineStr">
        <is>
          <t>v1.0.0-beta.1</t>
        </is>
      </c>
      <c r="D600" s="9" t="inlineStr">
        <is>
          <t>S55</t>
        </is>
      </c>
      <c r="E600" s="3" t="inlineStr">
        <is>
          <t>ResourceSupervisor / benchmarks</t>
        </is>
      </c>
      <c r="F600" s="3" t="inlineStr">
        <is>
          <t>Próprio</t>
        </is>
      </c>
      <c r="G600" s="3" t="inlineStr">
        <is>
          <t>Teste</t>
        </is>
      </c>
      <c r="H600" s="3" t="inlineStr">
        <is>
          <t>Medir inferência e unload</t>
        </is>
      </c>
      <c r="I600" s="3" t="inlineStr">
        <is>
          <t>Avaliar 2,8 GB, contexto, simultaneidade e liberação após ociosidade.</t>
        </is>
      </c>
      <c r="J600" s="3" t="inlineStr">
        <is>
          <t>reports/perf/inference-v1.json</t>
        </is>
      </c>
      <c r="K600" s="3" t="inlineStr">
        <is>
          <t>Pesos, KV/cache e runtime são contabilizados; não há claim baseado só no tamanho GGUF.</t>
        </is>
      </c>
      <c r="L600" s="3" t="inlineStr">
        <is>
          <t>SL-S55-04</t>
        </is>
      </c>
      <c r="M600" s="3" t="inlineStr">
        <is>
          <t>R09; R12; R20; R23; R34</t>
        </is>
      </c>
      <c r="N600" s="10" t="inlineStr">
        <is>
          <t>Não iniciado</t>
        </is>
      </c>
      <c r="O600" s="3" t="inlineStr">
        <is>
          <t>P1</t>
        </is>
      </c>
      <c r="P600" s="3" t="inlineStr">
        <is>
          <t>Alto</t>
        </is>
      </c>
      <c r="Q600" s="3" t="inlineStr">
        <is>
          <t>Obrigatória no escopo da versão</t>
        </is>
      </c>
      <c r="R600" s="10" t="inlineStr">
        <is>
          <t>Autor + agente de IA</t>
        </is>
      </c>
      <c r="S600" s="10" t="inlineStr"/>
      <c r="T600" s="11" t="inlineStr"/>
      <c r="U600" s="3" t="inlineStr">
        <is>
          <t>reports/S55/SL-S55-05.md</t>
        </is>
      </c>
      <c r="V600" s="10" t="inlineStr"/>
      <c r="W600" s="10" t="inlineStr"/>
      <c r="X600" s="3">
        <f>IF(N600="Concluído",IF(AND(S600&lt;&gt;"",ISNUMBER(T600),T600&gt;0,V600&lt;&gt;"",AND(OR(X599="OK",X599="DISPENSADO"))),"OK","REVISAR"),IF(N600="Dispensado (ADR)",IF(AND(LEFT(Q600,11)="Condicional",W600&lt;&gt;"",S600&lt;&gt;"",ISNUMBER(T600),T600&gt;0,V600&lt;&gt;""),"DISPENSADO","REVISAR"),"PENDENTE"))</f>
        <v/>
      </c>
      <c r="Y600" s="10" t="inlineStr"/>
    </row>
    <row r="601" ht="112" customHeight="1">
      <c r="A601" s="3" t="n">
        <v>600</v>
      </c>
      <c r="B601" s="3" t="inlineStr">
        <is>
          <t>SL-S55-06</t>
        </is>
      </c>
      <c r="C601" s="9" t="inlineStr">
        <is>
          <t>v1.0.0-beta.1</t>
        </is>
      </c>
      <c r="D601" s="9" t="inlineStr">
        <is>
          <t>S55</t>
        </is>
      </c>
      <c r="E601" s="3" t="inlineStr">
        <is>
          <t>ResourceSupervisor / benchmarks</t>
        </is>
      </c>
      <c r="F601" s="3" t="inlineStr">
        <is>
          <t>Próprio</t>
        </is>
      </c>
      <c r="G601" s="3" t="inlineStr">
        <is>
          <t>Teste</t>
        </is>
      </c>
      <c r="H601" s="3" t="inlineStr">
        <is>
          <t>Medir cena complexa</t>
        </is>
      </c>
      <c r="I601" s="3" t="inlineStr">
        <is>
          <t>Coletar frame time em 100/1.000 nós com textos/imagens/arestas.</t>
        </is>
      </c>
      <c r="J601" s="3" t="inlineStr">
        <is>
          <t>reports/perf/canvas-v1.json</t>
        </is>
      </c>
      <c r="K601" s="3" t="inlineStr">
        <is>
          <t>LOD não ganha desempenho apagando dados ou desativando interação sem aviso.</t>
        </is>
      </c>
      <c r="L601" s="3" t="inlineStr">
        <is>
          <t>SL-S55-05</t>
        </is>
      </c>
      <c r="M601" s="3" t="inlineStr">
        <is>
          <t>R09; R12; R20; R23; R34</t>
        </is>
      </c>
      <c r="N601" s="10" t="inlineStr">
        <is>
          <t>Não iniciado</t>
        </is>
      </c>
      <c r="O601" s="3" t="inlineStr">
        <is>
          <t>P1</t>
        </is>
      </c>
      <c r="P601" s="3" t="inlineStr">
        <is>
          <t>Alto</t>
        </is>
      </c>
      <c r="Q601" s="3" t="inlineStr">
        <is>
          <t>Obrigatória no escopo da versão</t>
        </is>
      </c>
      <c r="R601" s="10" t="inlineStr">
        <is>
          <t>Autor + agente de IA</t>
        </is>
      </c>
      <c r="S601" s="10" t="inlineStr"/>
      <c r="T601" s="11" t="inlineStr"/>
      <c r="U601" s="3" t="inlineStr">
        <is>
          <t>reports/S55/SL-S55-06.md</t>
        </is>
      </c>
      <c r="V601" s="10" t="inlineStr"/>
      <c r="W601" s="10" t="inlineStr"/>
      <c r="X601" s="3">
        <f>IF(N601="Concluído",IF(AND(S601&lt;&gt;"",ISNUMBER(T601),T601&gt;0,V601&lt;&gt;"",AND(OR(X600="OK",X600="DISPENSADO"))),"OK","REVISAR"),IF(N601="Dispensado (ADR)",IF(AND(LEFT(Q601,11)="Condicional",W601&lt;&gt;"",S601&lt;&gt;"",ISNUMBER(T601),T601&gt;0,V601&lt;&gt;""),"DISPENSADO","REVISAR"),"PENDENTE"))</f>
        <v/>
      </c>
      <c r="Y601" s="10" t="inlineStr"/>
    </row>
    <row r="602" ht="112" customHeight="1">
      <c r="A602" s="3" t="n">
        <v>601</v>
      </c>
      <c r="B602" s="3" t="inlineStr">
        <is>
          <t>SL-S55-07</t>
        </is>
      </c>
      <c r="C602" s="9" t="inlineStr">
        <is>
          <t>v1.0.0-beta.1</t>
        </is>
      </c>
      <c r="D602" s="9" t="inlineStr">
        <is>
          <t>S55</t>
        </is>
      </c>
      <c r="E602" s="3" t="inlineStr">
        <is>
          <t>ResourceSupervisor / benchmarks</t>
        </is>
      </c>
      <c r="F602" s="3" t="inlineStr">
        <is>
          <t>Próprio</t>
        </is>
      </c>
      <c r="G602" s="3" t="inlineStr">
        <is>
          <t>Implementação</t>
        </is>
      </c>
      <c r="H602" s="3" t="inlineStr">
        <is>
          <t>Corrigir gargalos demonstrados</t>
        </is>
      </c>
      <c r="I602" s="3" t="inlineStr">
        <is>
          <t>Atacar hotspots de startup, renderer, indexador e serialização identificados no profiler.</t>
        </is>
      </c>
      <c r="J602" s="3" t="inlineStr">
        <is>
          <t>perf/fixes-v1/</t>
        </is>
      </c>
      <c r="K602" s="3" t="inlineStr">
        <is>
          <t>Otimização mantém suítes funcionais e mostra comparação antes/depois.</t>
        </is>
      </c>
      <c r="L602" s="3" t="inlineStr">
        <is>
          <t>SL-S55-06</t>
        </is>
      </c>
      <c r="M602" s="3" t="inlineStr">
        <is>
          <t>R09; R12; R20; R23; R34</t>
        </is>
      </c>
      <c r="N602" s="10" t="inlineStr">
        <is>
          <t>Não iniciado</t>
        </is>
      </c>
      <c r="O602" s="3" t="inlineStr">
        <is>
          <t>P1</t>
        </is>
      </c>
      <c r="P602" s="3" t="inlineStr">
        <is>
          <t>Alto</t>
        </is>
      </c>
      <c r="Q602" s="3" t="inlineStr">
        <is>
          <t>Obrigatória no escopo da versão</t>
        </is>
      </c>
      <c r="R602" s="10" t="inlineStr">
        <is>
          <t>Autor + agente de IA</t>
        </is>
      </c>
      <c r="S602" s="10" t="inlineStr"/>
      <c r="T602" s="11" t="inlineStr"/>
      <c r="U602" s="3" t="inlineStr">
        <is>
          <t>reports/S55/SL-S55-07.md</t>
        </is>
      </c>
      <c r="V602" s="10" t="inlineStr"/>
      <c r="W602" s="10" t="inlineStr"/>
      <c r="X602" s="3">
        <f>IF(N602="Concluído",IF(AND(S602&lt;&gt;"",ISNUMBER(T602),T602&gt;0,V602&lt;&gt;"",AND(OR(X601="OK",X601="DISPENSADO"))),"OK","REVISAR"),IF(N602="Dispensado (ADR)",IF(AND(LEFT(Q602,11)="Condicional",W602&lt;&gt;"",S602&lt;&gt;"",ISNUMBER(T602),T602&gt;0,V602&lt;&gt;""),"DISPENSADO","REVISAR"),"PENDENTE"))</f>
        <v/>
      </c>
      <c r="Y602" s="10" t="inlineStr"/>
    </row>
    <row r="603" ht="112" customHeight="1">
      <c r="A603" s="3" t="n">
        <v>602</v>
      </c>
      <c r="B603" s="3" t="inlineStr">
        <is>
          <t>SL-S55-08</t>
        </is>
      </c>
      <c r="C603" s="9" t="inlineStr">
        <is>
          <t>v1.0.0-beta.1</t>
        </is>
      </c>
      <c r="D603" s="9" t="inlineStr">
        <is>
          <t>S55</t>
        </is>
      </c>
      <c r="E603" s="3" t="inlineStr">
        <is>
          <t>ResourceSupervisor / benchmarks</t>
        </is>
      </c>
      <c r="F603" s="3" t="inlineStr">
        <is>
          <t>Próprio</t>
        </is>
      </c>
      <c r="G603" s="3" t="inlineStr">
        <is>
          <t>Implementação</t>
        </is>
      </c>
      <c r="H603" s="3" t="inlineStr">
        <is>
          <t>Aplicar backpressure</t>
        </is>
      </c>
      <c r="I603" s="3" t="inlineStr">
        <is>
          <t>Pausar/reduzir jobs quando recursos se aproximam do perfil autorizado.</t>
        </is>
      </c>
      <c r="J603" s="3" t="inlineStr">
        <is>
          <t>crates/resources/src/backpressure.rs</t>
        </is>
      </c>
      <c r="K603" s="3" t="inlineStr">
        <is>
          <t>UI continua utilizável e cancelamento tem efeito; não há thrashing contínuo de modelos.</t>
        </is>
      </c>
      <c r="L603" s="3" t="inlineStr">
        <is>
          <t>SL-S55-07</t>
        </is>
      </c>
      <c r="M603" s="3" t="inlineStr">
        <is>
          <t>R09; R12; R20; R23; R34</t>
        </is>
      </c>
      <c r="N603" s="10" t="inlineStr">
        <is>
          <t>Não iniciado</t>
        </is>
      </c>
      <c r="O603" s="3" t="inlineStr">
        <is>
          <t>P1</t>
        </is>
      </c>
      <c r="P603" s="3" t="inlineStr">
        <is>
          <t>Alto</t>
        </is>
      </c>
      <c r="Q603" s="3" t="inlineStr">
        <is>
          <t>Obrigatória no escopo da versão</t>
        </is>
      </c>
      <c r="R603" s="10" t="inlineStr">
        <is>
          <t>Autor + agente de IA</t>
        </is>
      </c>
      <c r="S603" s="10" t="inlineStr"/>
      <c r="T603" s="11" t="inlineStr"/>
      <c r="U603" s="3" t="inlineStr">
        <is>
          <t>reports/S55/SL-S55-08.md</t>
        </is>
      </c>
      <c r="V603" s="10" t="inlineStr"/>
      <c r="W603" s="10" t="inlineStr"/>
      <c r="X603" s="3">
        <f>IF(N603="Concluído",IF(AND(S603&lt;&gt;"",ISNUMBER(T603),T603&gt;0,V603&lt;&gt;"",AND(OR(X602="OK",X602="DISPENSADO"))),"OK","REVISAR"),IF(N603="Dispensado (ADR)",IF(AND(LEFT(Q603,11)="Condicional",W603&lt;&gt;"",S603&lt;&gt;"",ISNUMBER(T603),T603&gt;0,V603&lt;&gt;""),"DISPENSADO","REVISAR"),"PENDENTE"))</f>
        <v/>
      </c>
      <c r="Y603" s="10" t="inlineStr"/>
    </row>
    <row r="604" ht="112" customHeight="1">
      <c r="A604" s="3" t="n">
        <v>603</v>
      </c>
      <c r="B604" s="3" t="inlineStr">
        <is>
          <t>SL-S55-09</t>
        </is>
      </c>
      <c r="C604" s="9" t="inlineStr">
        <is>
          <t>v1.0.0-beta.1</t>
        </is>
      </c>
      <c r="D604" s="9" t="inlineStr">
        <is>
          <t>S55</t>
        </is>
      </c>
      <c r="E604" s="3" t="inlineStr">
        <is>
          <t>ResourceSupervisor / benchmarks</t>
        </is>
      </c>
      <c r="F604" s="3" t="inlineStr">
        <is>
          <t>Próprio</t>
        </is>
      </c>
      <c r="G604" s="3" t="inlineStr">
        <is>
          <t>Implementação</t>
        </is>
      </c>
      <c r="H604" s="3" t="inlineStr">
        <is>
          <t>Explicar degradação</t>
        </is>
      </c>
      <c r="I604" s="3" t="inlineStr">
        <is>
          <t>Informar capacidade indisponível, pacote menor ou tarefa pendente sem fallback externo.</t>
        </is>
      </c>
      <c r="J604" s="3" t="inlineStr">
        <is>
          <t>apps/desktop/src/resources/degradation.ts</t>
        </is>
      </c>
      <c r="K604" s="3" t="inlineStr">
        <is>
          <t>Hardware insuficiente não dispara nuvem nem altera conteúdo por truncamento oculto.</t>
        </is>
      </c>
      <c r="L604" s="3" t="inlineStr">
        <is>
          <t>SL-S55-08</t>
        </is>
      </c>
      <c r="M604" s="3" t="inlineStr">
        <is>
          <t>R09; R12; R20; R23; R34</t>
        </is>
      </c>
      <c r="N604" s="10" t="inlineStr">
        <is>
          <t>Não iniciado</t>
        </is>
      </c>
      <c r="O604" s="3" t="inlineStr">
        <is>
          <t>P1</t>
        </is>
      </c>
      <c r="P604" s="3" t="inlineStr">
        <is>
          <t>Alto</t>
        </is>
      </c>
      <c r="Q604" s="3" t="inlineStr">
        <is>
          <t>Obrigatória no escopo da versão</t>
        </is>
      </c>
      <c r="R604" s="10" t="inlineStr">
        <is>
          <t>Autor + agente de IA</t>
        </is>
      </c>
      <c r="S604" s="10" t="inlineStr"/>
      <c r="T604" s="11" t="inlineStr"/>
      <c r="U604" s="3" t="inlineStr">
        <is>
          <t>reports/S55/SL-S55-09.md</t>
        </is>
      </c>
      <c r="V604" s="10" t="inlineStr"/>
      <c r="W604" s="10" t="inlineStr"/>
      <c r="X604" s="3">
        <f>IF(N604="Concluído",IF(AND(S604&lt;&gt;"",ISNUMBER(T604),T604&gt;0,V604&lt;&gt;"",AND(OR(X603="OK",X603="DISPENSADO"))),"OK","REVISAR"),IF(N604="Dispensado (ADR)",IF(AND(LEFT(Q604,11)="Condicional",W604&lt;&gt;"",S604&lt;&gt;"",ISNUMBER(T604),T604&gt;0,V604&lt;&gt;""),"DISPENSADO","REVISAR"),"PENDENTE"))</f>
        <v/>
      </c>
      <c r="Y604" s="10" t="inlineStr"/>
    </row>
    <row r="605" ht="112" customHeight="1">
      <c r="A605" s="3" t="n">
        <v>604</v>
      </c>
      <c r="B605" s="3" t="inlineStr">
        <is>
          <t>SL-S55-10</t>
        </is>
      </c>
      <c r="C605" s="9" t="inlineStr">
        <is>
          <t>v1.0.0-beta.1</t>
        </is>
      </c>
      <c r="D605" s="9" t="inlineStr">
        <is>
          <t>S55</t>
        </is>
      </c>
      <c r="E605" s="3" t="inlineStr">
        <is>
          <t>ResourceSupervisor / benchmarks</t>
        </is>
      </c>
      <c r="F605" s="3" t="inlineStr">
        <is>
          <t>Próprio</t>
        </is>
      </c>
      <c r="G605" s="3" t="inlineStr">
        <is>
          <t>Decisão</t>
        </is>
      </c>
      <c r="H605" s="3" t="inlineStr">
        <is>
          <t>Ratificar perfil final</t>
        </is>
      </c>
      <c r="I605" s="3" t="inlineStr">
        <is>
          <t>Corrigir até cumprir ou reabrir ADR-007 explicitamente antes do release.</t>
        </is>
      </c>
      <c r="J605" s="3" t="inlineStr">
        <is>
          <t>reports/perf/v1-signoff.md</t>
        </is>
      </c>
      <c r="K605" s="3" t="inlineStr">
        <is>
          <t>Meta não atingida não recebe selo verde; desvios não são escondidos no changelog.</t>
        </is>
      </c>
      <c r="L605" s="3" t="inlineStr">
        <is>
          <t>SL-S55-09</t>
        </is>
      </c>
      <c r="M605" s="3" t="inlineStr">
        <is>
          <t>R09; R12; R20; R23; R34</t>
        </is>
      </c>
      <c r="N605" s="10" t="inlineStr">
        <is>
          <t>Não iniciado</t>
        </is>
      </c>
      <c r="O605" s="3" t="inlineStr">
        <is>
          <t>P0</t>
        </is>
      </c>
      <c r="P605" s="3" t="inlineStr">
        <is>
          <t>Alto</t>
        </is>
      </c>
      <c r="Q605" s="3" t="inlineStr">
        <is>
          <t>Obrigatória no escopo da versão</t>
        </is>
      </c>
      <c r="R605" s="10" t="inlineStr">
        <is>
          <t>Autor</t>
        </is>
      </c>
      <c r="S605" s="10" t="inlineStr"/>
      <c r="T605" s="11" t="inlineStr"/>
      <c r="U605" s="3" t="inlineStr">
        <is>
          <t>reports/S55/SL-S55-10.md</t>
        </is>
      </c>
      <c r="V605" s="10" t="inlineStr"/>
      <c r="W605" s="10" t="inlineStr"/>
      <c r="X605" s="3">
        <f>IF(N605="Concluído",IF(AND(S605&lt;&gt;"",ISNUMBER(T605),T605&gt;0,V605&lt;&gt;"",AND(OR(X604="OK",X604="DISPENSADO"))),"OK","REVISAR"),IF(N605="Dispensado (ADR)",IF(AND(LEFT(Q605,11)="Condicional",W605&lt;&gt;"",S605&lt;&gt;"",ISNUMBER(T605),T605&gt;0,V605&lt;&gt;""),"DISPENSADO","REVISAR"),"PENDENTE"))</f>
        <v/>
      </c>
      <c r="Y605" s="10" t="inlineStr"/>
    </row>
    <row r="606" ht="98" customHeight="1">
      <c r="A606" s="3" t="n">
        <v>605</v>
      </c>
      <c r="B606" s="12" t="inlineStr">
        <is>
          <t>SL-S55-GATE</t>
        </is>
      </c>
      <c r="C606" s="9" t="inlineStr">
        <is>
          <t>v1.0.0-beta.1</t>
        </is>
      </c>
      <c r="D606" s="9" t="inlineStr">
        <is>
          <t>S55</t>
        </is>
      </c>
      <c r="E606" s="3" t="inlineStr">
        <is>
          <t>ResourceSupervisor / benchmarks</t>
        </is>
      </c>
      <c r="F606" s="3" t="inlineStr">
        <is>
          <t>Aceite humano</t>
        </is>
      </c>
      <c r="G606" s="12" t="inlineStr">
        <is>
          <t>Gate</t>
        </is>
      </c>
      <c r="H606" s="12" t="inlineStr">
        <is>
          <t>Aceitar S55 — Homologar performance e degradação por hardware</t>
        </is>
      </c>
      <c r="I606" s="3" t="inlineStr">
        <is>
          <t>Revisar as dez tarefas, executar a demonstração do sprint, confrontar critérios e registrar decisão go/no-go.</t>
        </is>
      </c>
      <c r="J606" s="3" t="inlineStr">
        <is>
          <t>reports/S55/acceptance.md</t>
        </is>
      </c>
      <c r="K606" s="3" t="inlineStr">
        <is>
          <t>Repetir benchmarks com dados brutos e observar retorno real a idle após tarefas pesadas. Todas as dependências aceitas; evidências vinculadas a revisão/ambiente; nenhum blocker de integridade/segurança.</t>
        </is>
      </c>
      <c r="L606" s="3" t="inlineStr">
        <is>
          <t>SL-S55-01; SL-S55-02; SL-S55-03; SL-S55-04; SL-S55-05; SL-S55-06; SL-S55-07; SL-S55-08; SL-S55-09; SL-S55-10</t>
        </is>
      </c>
      <c r="M606" s="3" t="inlineStr">
        <is>
          <t>R09; R12; R20; R23; R34</t>
        </is>
      </c>
      <c r="N606" s="10" t="inlineStr">
        <is>
          <t>Não iniciado</t>
        </is>
      </c>
      <c r="O606" s="3" t="inlineStr">
        <is>
          <t>P0</t>
        </is>
      </c>
      <c r="P606" s="3" t="inlineStr">
        <is>
          <t>Alto</t>
        </is>
      </c>
      <c r="Q606" s="3" t="inlineStr">
        <is>
          <t>Obrigatória para fechar a versão aprovada</t>
        </is>
      </c>
      <c r="R606" s="10" t="inlineStr">
        <is>
          <t>Autor</t>
        </is>
      </c>
      <c r="S606" s="10" t="inlineStr"/>
      <c r="T606" s="11" t="inlineStr"/>
      <c r="U606" s="3" t="inlineStr">
        <is>
          <t>reports/S55/acceptance.md</t>
        </is>
      </c>
      <c r="V606" s="10" t="inlineStr"/>
      <c r="W606" s="10" t="inlineStr"/>
      <c r="X606" s="3">
        <f>IF(N606="Concluído",IF(AND(S606&lt;&gt;"",ISNUMBER(T606),T606&gt;0,V606&lt;&gt;"",AND(OR(X596="OK",X596="DISPENSADO"),OR(X597="OK",X597="DISPENSADO"),OR(X598="OK",X598="DISPENSADO"),OR(X599="OK",X599="DISPENSADO"),OR(X600="OK",X600="DISPENSADO"),OR(X601="OK",X601="DISPENSADO"),OR(X602="OK",X602="DISPENSADO"),OR(X603="OK",X603="DISPENSADO"),OR(X604="OK",X604="DISPENSADO"),OR(X605="OK",X605="DISPENSADO"))),"OK","REVISAR"),IF(N606="Dispensado (ADR)",IF(AND(LEFT(Q606,11)="Condicional",W606&lt;&gt;"",S606&lt;&gt;"",ISNUMBER(T606),T606&gt;0,V606&lt;&gt;""),"DISPENSADO","REVISAR"),"PENDENTE"))</f>
        <v/>
      </c>
      <c r="Y606" s="10" t="inlineStr"/>
    </row>
    <row r="607" ht="112" customHeight="1">
      <c r="A607" s="3" t="n">
        <v>606</v>
      </c>
      <c r="B607" s="3" t="inlineStr">
        <is>
          <t>SL-S56-01</t>
        </is>
      </c>
      <c r="C607" s="9" t="inlineStr">
        <is>
          <t>v1.0.0-beta.1</t>
        </is>
      </c>
      <c r="D607" s="9" t="inlineStr">
        <is>
          <t>S56</t>
        </is>
      </c>
      <c r="E607" s="3" t="inlineStr">
        <is>
          <t>Distribuição / Linux / Windows</t>
        </is>
      </c>
      <c r="F607" s="3" t="inlineStr">
        <is>
          <t>Integração</t>
        </is>
      </c>
      <c r="G607" s="3" t="inlineStr">
        <is>
          <t>Implementação</t>
        </is>
      </c>
      <c r="H607" s="3" t="inlineStr">
        <is>
          <t>Definir layout de pacotes</t>
        </is>
      </c>
      <c r="I607" s="3" t="inlineStr">
        <is>
          <t>Separar app, runtimes, modelos e pacotes opcionais por arquitetura.</t>
        </is>
      </c>
      <c r="J607" s="3" t="inlineStr">
        <is>
          <t>packaging/layout-v1.json</t>
        </is>
      </c>
      <c r="K607" s="3" t="inlineStr">
        <is>
          <t>Pacote não depende de arquivos presentes apenas na máquina de build.</t>
        </is>
      </c>
      <c r="L607" s="3" t="inlineStr">
        <is>
          <t>SL-S54-GATE; SL-S55-GATE</t>
        </is>
      </c>
      <c r="M607" s="3" t="inlineStr">
        <is>
          <t>R01; R06; R09; R30; R33</t>
        </is>
      </c>
      <c r="N607" s="10" t="inlineStr">
        <is>
          <t>Não iniciado</t>
        </is>
      </c>
      <c r="O607" s="3" t="inlineStr">
        <is>
          <t>P0</t>
        </is>
      </c>
      <c r="P607" s="3" t="inlineStr">
        <is>
          <t>Crítico</t>
        </is>
      </c>
      <c r="Q607" s="3" t="inlineStr">
        <is>
          <t>Obrigatória no escopo da versão</t>
        </is>
      </c>
      <c r="R607" s="10" t="inlineStr">
        <is>
          <t>Autor + agente de IA</t>
        </is>
      </c>
      <c r="S607" s="10" t="inlineStr"/>
      <c r="T607" s="11" t="inlineStr"/>
      <c r="U607" s="3" t="inlineStr">
        <is>
          <t>reports/S56/SL-S56-01.md</t>
        </is>
      </c>
      <c r="V607" s="10" t="inlineStr"/>
      <c r="W607" s="10" t="inlineStr"/>
      <c r="X607" s="3">
        <f>IF(N607="Concluído",IF(AND(S607&lt;&gt;"",ISNUMBER(T607),T607&gt;0,V607&lt;&gt;"",AND(OR(X595="OK",X595="DISPENSADO"),OR(X606="OK",X606="DISPENSADO"))),"OK","REVISAR"),IF(N607="Dispensado (ADR)",IF(AND(LEFT(Q607,11)="Condicional",W607&lt;&gt;"",S607&lt;&gt;"",ISNUMBER(T607),T607&gt;0,V607&lt;&gt;""),"DISPENSADO","REVISAR"),"PENDENTE"))</f>
        <v/>
      </c>
      <c r="Y607" s="10" t="inlineStr"/>
    </row>
    <row r="608" ht="112" customHeight="1">
      <c r="A608" s="3" t="n">
        <v>607</v>
      </c>
      <c r="B608" s="3" t="inlineStr">
        <is>
          <t>SL-S56-02</t>
        </is>
      </c>
      <c r="C608" s="9" t="inlineStr">
        <is>
          <t>v1.0.0-beta.1</t>
        </is>
      </c>
      <c r="D608" s="9" t="inlineStr">
        <is>
          <t>S56</t>
        </is>
      </c>
      <c r="E608" s="3" t="inlineStr">
        <is>
          <t>Distribuição / Linux / Windows</t>
        </is>
      </c>
      <c r="F608" s="3" t="inlineStr">
        <is>
          <t>Integração</t>
        </is>
      </c>
      <c r="G608" s="3" t="inlineStr">
        <is>
          <t>Implementação</t>
        </is>
      </c>
      <c r="H608" s="3" t="inlineStr">
        <is>
          <t>Construir Linux x86_64</t>
        </is>
      </c>
      <c r="I608" s="3" t="inlineStr">
        <is>
          <t>Empacotar Core/UI e workers homologados com dependências nativas.</t>
        </is>
      </c>
      <c r="J608" s="3" t="inlineStr">
        <is>
          <t>packaging/linux/x86_64/</t>
        </is>
      </c>
      <c r="K608" s="3" t="inlineStr">
        <is>
          <t>Instalação limpa roda autoria e capacidades declaradas sem toolchains globais.</t>
        </is>
      </c>
      <c r="L608" s="3" t="inlineStr">
        <is>
          <t>SL-S56-01</t>
        </is>
      </c>
      <c r="M608" s="3" t="inlineStr">
        <is>
          <t>R01; R06; R09; R30; R33</t>
        </is>
      </c>
      <c r="N608" s="10" t="inlineStr">
        <is>
          <t>Não iniciado</t>
        </is>
      </c>
      <c r="O608" s="3" t="inlineStr">
        <is>
          <t>P0</t>
        </is>
      </c>
      <c r="P608" s="3" t="inlineStr">
        <is>
          <t>Crítico</t>
        </is>
      </c>
      <c r="Q608" s="3" t="inlineStr">
        <is>
          <t>Obrigatória no escopo da versão</t>
        </is>
      </c>
      <c r="R608" s="10" t="inlineStr">
        <is>
          <t>Autor + agente de IA</t>
        </is>
      </c>
      <c r="S608" s="10" t="inlineStr"/>
      <c r="T608" s="11" t="inlineStr"/>
      <c r="U608" s="3" t="inlineStr">
        <is>
          <t>reports/S56/SL-S56-02.md</t>
        </is>
      </c>
      <c r="V608" s="10" t="inlineStr"/>
      <c r="W608" s="10" t="inlineStr"/>
      <c r="X608" s="3">
        <f>IF(N608="Concluído",IF(AND(S608&lt;&gt;"",ISNUMBER(T608),T608&gt;0,V608&lt;&gt;"",AND(OR(X607="OK",X607="DISPENSADO"))),"OK","REVISAR"),IF(N608="Dispensado (ADR)",IF(AND(LEFT(Q608,11)="Condicional",W608&lt;&gt;"",S608&lt;&gt;"",ISNUMBER(T608),T608&gt;0,V608&lt;&gt;""),"DISPENSADO","REVISAR"),"PENDENTE"))</f>
        <v/>
      </c>
      <c r="Y608" s="10" t="inlineStr"/>
    </row>
    <row r="609" ht="112" customHeight="1">
      <c r="A609" s="3" t="n">
        <v>608</v>
      </c>
      <c r="B609" s="3" t="inlineStr">
        <is>
          <t>SL-S56-03</t>
        </is>
      </c>
      <c r="C609" s="9" t="inlineStr">
        <is>
          <t>v1.0.0-beta.1</t>
        </is>
      </c>
      <c r="D609" s="9" t="inlineStr">
        <is>
          <t>S56</t>
        </is>
      </c>
      <c r="E609" s="3" t="inlineStr">
        <is>
          <t>Distribuição / Linux / Windows</t>
        </is>
      </c>
      <c r="F609" s="3" t="inlineStr">
        <is>
          <t>Integração</t>
        </is>
      </c>
      <c r="G609" s="3" t="inlineStr">
        <is>
          <t>Implementação</t>
        </is>
      </c>
      <c r="H609" s="3" t="inlineStr">
        <is>
          <t>Construir Linux aarch64</t>
        </is>
      </c>
      <c r="I609" s="3" t="inlineStr">
        <is>
          <t>Ajustar bibliotecas/backends e não reutilizar binários x86 por engano.</t>
        </is>
      </c>
      <c r="J609" s="3" t="inlineStr">
        <is>
          <t>packaging/linux/aarch64/</t>
        </is>
      </c>
      <c r="K609" s="3" t="inlineStr">
        <is>
          <t>Smoke nativo e verificação de arquitetura passam nos componentes distribuídos.</t>
        </is>
      </c>
      <c r="L609" s="3" t="inlineStr">
        <is>
          <t>SL-S56-02</t>
        </is>
      </c>
      <c r="M609" s="3" t="inlineStr">
        <is>
          <t>R01; R06; R09; R30; R33</t>
        </is>
      </c>
      <c r="N609" s="10" t="inlineStr">
        <is>
          <t>Não iniciado</t>
        </is>
      </c>
      <c r="O609" s="3" t="inlineStr">
        <is>
          <t>P0</t>
        </is>
      </c>
      <c r="P609" s="3" t="inlineStr">
        <is>
          <t>Crítico</t>
        </is>
      </c>
      <c r="Q609" s="3" t="inlineStr">
        <is>
          <t>Obrigatória no escopo da versão</t>
        </is>
      </c>
      <c r="R609" s="10" t="inlineStr">
        <is>
          <t>Autor + agente de IA</t>
        </is>
      </c>
      <c r="S609" s="10" t="inlineStr"/>
      <c r="T609" s="11" t="inlineStr"/>
      <c r="U609" s="3" t="inlineStr">
        <is>
          <t>reports/S56/SL-S56-03.md</t>
        </is>
      </c>
      <c r="V609" s="10" t="inlineStr"/>
      <c r="W609" s="10" t="inlineStr"/>
      <c r="X609" s="3">
        <f>IF(N609="Concluído",IF(AND(S609&lt;&gt;"",ISNUMBER(T609),T609&gt;0,V609&lt;&gt;"",AND(OR(X608="OK",X608="DISPENSADO"))),"OK","REVISAR"),IF(N609="Dispensado (ADR)",IF(AND(LEFT(Q609,11)="Condicional",W609&lt;&gt;"",S609&lt;&gt;"",ISNUMBER(T609),T609&gt;0,V609&lt;&gt;""),"DISPENSADO","REVISAR"),"PENDENTE"))</f>
        <v/>
      </c>
      <c r="Y609" s="10" t="inlineStr"/>
    </row>
    <row r="610" ht="112" customHeight="1">
      <c r="A610" s="3" t="n">
        <v>609</v>
      </c>
      <c r="B610" s="3" t="inlineStr">
        <is>
          <t>SL-S56-04</t>
        </is>
      </c>
      <c r="C610" s="9" t="inlineStr">
        <is>
          <t>v1.0.0-beta.1</t>
        </is>
      </c>
      <c r="D610" s="9" t="inlineStr">
        <is>
          <t>S56</t>
        </is>
      </c>
      <c r="E610" s="3" t="inlineStr">
        <is>
          <t>Distribuição / Linux / Windows</t>
        </is>
      </c>
      <c r="F610" s="3" t="inlineStr">
        <is>
          <t>Integração</t>
        </is>
      </c>
      <c r="G610" s="3" t="inlineStr">
        <is>
          <t>Implementação</t>
        </is>
      </c>
      <c r="H610" s="3" t="inlineStr">
        <is>
          <t>Construir Windows x86_64</t>
        </is>
      </c>
      <c r="I610" s="3" t="inlineStr">
        <is>
          <t>Empacotar dependências, helpers e WebView conforme política aprovada.</t>
        </is>
      </c>
      <c r="J610" s="3" t="inlineStr">
        <is>
          <t>packaging/windows/x86_64/</t>
        </is>
      </c>
      <c r="K610" s="3" t="inlineStr">
        <is>
          <t>Não exige privilégio ou runtime inesperado sem documentação/instalação consentida.</t>
        </is>
      </c>
      <c r="L610" s="3" t="inlineStr">
        <is>
          <t>SL-S56-03</t>
        </is>
      </c>
      <c r="M610" s="3" t="inlineStr">
        <is>
          <t>R01; R06; R09; R30; R33</t>
        </is>
      </c>
      <c r="N610" s="10" t="inlineStr">
        <is>
          <t>Não iniciado</t>
        </is>
      </c>
      <c r="O610" s="3" t="inlineStr">
        <is>
          <t>P0</t>
        </is>
      </c>
      <c r="P610" s="3" t="inlineStr">
        <is>
          <t>Crítico</t>
        </is>
      </c>
      <c r="Q610" s="3" t="inlineStr">
        <is>
          <t>Obrigatória no escopo da versão</t>
        </is>
      </c>
      <c r="R610" s="10" t="inlineStr">
        <is>
          <t>Autor + agente de IA</t>
        </is>
      </c>
      <c r="S610" s="10" t="inlineStr"/>
      <c r="T610" s="11" t="inlineStr"/>
      <c r="U610" s="3" t="inlineStr">
        <is>
          <t>reports/S56/SL-S56-04.md</t>
        </is>
      </c>
      <c r="V610" s="10" t="inlineStr"/>
      <c r="W610" s="10" t="inlineStr"/>
      <c r="X610" s="3">
        <f>IF(N610="Concluído",IF(AND(S610&lt;&gt;"",ISNUMBER(T610),T610&gt;0,V610&lt;&gt;"",AND(OR(X609="OK",X609="DISPENSADO"))),"OK","REVISAR"),IF(N610="Dispensado (ADR)",IF(AND(LEFT(Q610,11)="Condicional",W610&lt;&gt;"",S610&lt;&gt;"",ISNUMBER(T610),T610&gt;0,V610&lt;&gt;""),"DISPENSADO","REVISAR"),"PENDENTE"))</f>
        <v/>
      </c>
      <c r="Y610" s="10" t="inlineStr"/>
    </row>
    <row r="611" ht="112" customHeight="1">
      <c r="A611" s="3" t="n">
        <v>610</v>
      </c>
      <c r="B611" s="3" t="inlineStr">
        <is>
          <t>SL-S56-05</t>
        </is>
      </c>
      <c r="C611" s="9" t="inlineStr">
        <is>
          <t>v1.0.0-beta.1</t>
        </is>
      </c>
      <c r="D611" s="9" t="inlineStr">
        <is>
          <t>S56</t>
        </is>
      </c>
      <c r="E611" s="3" t="inlineStr">
        <is>
          <t>Distribuição / Linux / Windows</t>
        </is>
      </c>
      <c r="F611" s="3" t="inlineStr">
        <is>
          <t>Integração</t>
        </is>
      </c>
      <c r="G611" s="3" t="inlineStr">
        <is>
          <t>Teste</t>
        </is>
      </c>
      <c r="H611" s="3" t="inlineStr">
        <is>
          <t>Validar isolamento instalado</t>
        </is>
      </c>
      <c r="I611" s="3" t="inlineStr">
        <is>
          <t>Repetir testes essenciais de sandbox no pacote, não só no ambiente dev.</t>
        </is>
      </c>
      <c r="J611" s="3" t="inlineStr">
        <is>
          <t>reports/packaging/linux-windows-security.json</t>
        </is>
      </c>
      <c r="K611" s="3" t="inlineStr">
        <is>
          <t>Paths finais, ACLs e helpers preservam as garantias aprovadas.</t>
        </is>
      </c>
      <c r="L611" s="3" t="inlineStr">
        <is>
          <t>SL-S56-04</t>
        </is>
      </c>
      <c r="M611" s="3" t="inlineStr">
        <is>
          <t>R01; R06; R09; R30; R33</t>
        </is>
      </c>
      <c r="N611" s="10" t="inlineStr">
        <is>
          <t>Não iniciado</t>
        </is>
      </c>
      <c r="O611" s="3" t="inlineStr">
        <is>
          <t>P0</t>
        </is>
      </c>
      <c r="P611" s="3" t="inlineStr">
        <is>
          <t>Crítico</t>
        </is>
      </c>
      <c r="Q611" s="3" t="inlineStr">
        <is>
          <t>Obrigatória no escopo da versão</t>
        </is>
      </c>
      <c r="R611" s="10" t="inlineStr">
        <is>
          <t>Autor + agente de IA</t>
        </is>
      </c>
      <c r="S611" s="10" t="inlineStr"/>
      <c r="T611" s="11" t="inlineStr"/>
      <c r="U611" s="3" t="inlineStr">
        <is>
          <t>reports/S56/SL-S56-05.md</t>
        </is>
      </c>
      <c r="V611" s="10" t="inlineStr"/>
      <c r="W611" s="10" t="inlineStr"/>
      <c r="X611" s="3">
        <f>IF(N611="Concluído",IF(AND(S611&lt;&gt;"",ISNUMBER(T611),T611&gt;0,V611&lt;&gt;"",AND(OR(X610="OK",X610="DISPENSADO"))),"OK","REVISAR"),IF(N611="Dispensado (ADR)",IF(AND(LEFT(Q611,11)="Condicional",W611&lt;&gt;"",S611&lt;&gt;"",ISNUMBER(T611),T611&gt;0,V611&lt;&gt;""),"DISPENSADO","REVISAR"),"PENDENTE"))</f>
        <v/>
      </c>
      <c r="Y611" s="10" t="inlineStr"/>
    </row>
    <row r="612" ht="112" customHeight="1">
      <c r="A612" s="3" t="n">
        <v>611</v>
      </c>
      <c r="B612" s="3" t="inlineStr">
        <is>
          <t>SL-S56-06</t>
        </is>
      </c>
      <c r="C612" s="9" t="inlineStr">
        <is>
          <t>v1.0.0-beta.1</t>
        </is>
      </c>
      <c r="D612" s="9" t="inlineStr">
        <is>
          <t>S56</t>
        </is>
      </c>
      <c r="E612" s="3" t="inlineStr">
        <is>
          <t>Distribuição / Linux / Windows</t>
        </is>
      </c>
      <c r="F612" s="3" t="inlineStr">
        <is>
          <t>Integração</t>
        </is>
      </c>
      <c r="G612" s="3" t="inlineStr">
        <is>
          <t>Teste</t>
        </is>
      </c>
      <c r="H612" s="3" t="inlineStr">
        <is>
          <t>Validar instalação/atualização/remoção</t>
        </is>
      </c>
      <c r="I612" s="3" t="inlineStr">
        <is>
          <t>Testar paths Unicode, usuário sem admin e reinstalação.</t>
        </is>
      </c>
      <c r="J612" s="3" t="inlineStr">
        <is>
          <t>tests/packaging/linux-windows/</t>
        </is>
      </c>
      <c r="K612" s="3" t="inlineStr">
        <is>
          <t>Remoção não apaga Vaults pessoais sem confirmação explícita.</t>
        </is>
      </c>
      <c r="L612" s="3" t="inlineStr">
        <is>
          <t>SL-S56-05</t>
        </is>
      </c>
      <c r="M612" s="3" t="inlineStr">
        <is>
          <t>R01; R06; R09; R30; R33</t>
        </is>
      </c>
      <c r="N612" s="10" t="inlineStr">
        <is>
          <t>Não iniciado</t>
        </is>
      </c>
      <c r="O612" s="3" t="inlineStr">
        <is>
          <t>P0</t>
        </is>
      </c>
      <c r="P612" s="3" t="inlineStr">
        <is>
          <t>Crítico</t>
        </is>
      </c>
      <c r="Q612" s="3" t="inlineStr">
        <is>
          <t>Obrigatória no escopo da versão</t>
        </is>
      </c>
      <c r="R612" s="10" t="inlineStr">
        <is>
          <t>Autor + agente de IA</t>
        </is>
      </c>
      <c r="S612" s="10" t="inlineStr"/>
      <c r="T612" s="11" t="inlineStr"/>
      <c r="U612" s="3" t="inlineStr">
        <is>
          <t>reports/S56/SL-S56-06.md</t>
        </is>
      </c>
      <c r="V612" s="10" t="inlineStr"/>
      <c r="W612" s="10" t="inlineStr"/>
      <c r="X612" s="3">
        <f>IF(N612="Concluído",IF(AND(S612&lt;&gt;"",ISNUMBER(T612),T612&gt;0,V612&lt;&gt;"",AND(OR(X611="OK",X611="DISPENSADO"))),"OK","REVISAR"),IF(N612="Dispensado (ADR)",IF(AND(LEFT(Q612,11)="Condicional",W612&lt;&gt;"",S612&lt;&gt;"",ISNUMBER(T612),T612&gt;0,V612&lt;&gt;""),"DISPENSADO","REVISAR"),"PENDENTE"))</f>
        <v/>
      </c>
      <c r="Y612" s="10" t="inlineStr"/>
    </row>
    <row r="613" ht="112" customHeight="1">
      <c r="A613" s="3" t="n">
        <v>612</v>
      </c>
      <c r="B613" s="3" t="inlineStr">
        <is>
          <t>SL-S56-07</t>
        </is>
      </c>
      <c r="C613" s="9" t="inlineStr">
        <is>
          <t>v1.0.0-beta.1</t>
        </is>
      </c>
      <c r="D613" s="9" t="inlineStr">
        <is>
          <t>S56</t>
        </is>
      </c>
      <c r="E613" s="3" t="inlineStr">
        <is>
          <t>Distribuição / Linux / Windows</t>
        </is>
      </c>
      <c r="F613" s="3" t="inlineStr">
        <is>
          <t>Integração</t>
        </is>
      </c>
      <c r="G613" s="3" t="inlineStr">
        <is>
          <t>Teste</t>
        </is>
      </c>
      <c r="H613" s="3" t="inlineStr">
        <is>
          <t>Validar pacotes opcionais offline</t>
        </is>
      </c>
      <c r="I613" s="3" t="inlineStr">
        <is>
          <t>Instalar por arquivos/manifestos locais com rede bloqueada.</t>
        </is>
      </c>
      <c r="J613" s="3" t="inlineStr">
        <is>
          <t>reports/packaging/offline-linux-windows.json</t>
        </is>
      </c>
      <c r="K613" s="3" t="inlineStr">
        <is>
          <t>Capacidades funcionam sem download tardio oculto.</t>
        </is>
      </c>
      <c r="L613" s="3" t="inlineStr">
        <is>
          <t>SL-S56-06</t>
        </is>
      </c>
      <c r="M613" s="3" t="inlineStr">
        <is>
          <t>R01; R06; R09; R30; R33</t>
        </is>
      </c>
      <c r="N613" s="10" t="inlineStr">
        <is>
          <t>Não iniciado</t>
        </is>
      </c>
      <c r="O613" s="3" t="inlineStr">
        <is>
          <t>P0</t>
        </is>
      </c>
      <c r="P613" s="3" t="inlineStr">
        <is>
          <t>Crítico</t>
        </is>
      </c>
      <c r="Q613" s="3" t="inlineStr">
        <is>
          <t>Obrigatória no escopo da versão</t>
        </is>
      </c>
      <c r="R613" s="10" t="inlineStr">
        <is>
          <t>Autor + agente de IA</t>
        </is>
      </c>
      <c r="S613" s="10" t="inlineStr"/>
      <c r="T613" s="11" t="inlineStr"/>
      <c r="U613" s="3" t="inlineStr">
        <is>
          <t>reports/S56/SL-S56-07.md</t>
        </is>
      </c>
      <c r="V613" s="10" t="inlineStr"/>
      <c r="W613" s="10" t="inlineStr"/>
      <c r="X613" s="3">
        <f>IF(N613="Concluído",IF(AND(S613&lt;&gt;"",ISNUMBER(T613),T613&gt;0,V613&lt;&gt;"",AND(OR(X612="OK",X612="DISPENSADO"))),"OK","REVISAR"),IF(N613="Dispensado (ADR)",IF(AND(LEFT(Q613,11)="Condicional",W613&lt;&gt;"",S613&lt;&gt;"",ISNUMBER(T613),T613&gt;0,V613&lt;&gt;""),"DISPENSADO","REVISAR"),"PENDENTE"))</f>
        <v/>
      </c>
      <c r="Y613" s="10" t="inlineStr"/>
    </row>
    <row r="614" ht="112" customHeight="1">
      <c r="A614" s="3" t="n">
        <v>613</v>
      </c>
      <c r="B614" s="3" t="inlineStr">
        <is>
          <t>SL-S56-08</t>
        </is>
      </c>
      <c r="C614" s="9" t="inlineStr">
        <is>
          <t>v1.0.0-beta.1</t>
        </is>
      </c>
      <c r="D614" s="9" t="inlineStr">
        <is>
          <t>S56</t>
        </is>
      </c>
      <c r="E614" s="3" t="inlineStr">
        <is>
          <t>Distribuição / Linux / Windows</t>
        </is>
      </c>
      <c r="F614" s="3" t="inlineStr">
        <is>
          <t>Integração</t>
        </is>
      </c>
      <c r="G614" s="3" t="inlineStr">
        <is>
          <t>Licença</t>
        </is>
      </c>
      <c r="H614" s="3" t="inlineStr">
        <is>
          <t>Gerar SBOM e avisos</t>
        </is>
      </c>
      <c r="I614" s="3" t="inlineStr">
        <is>
          <t>Inventariar binários, Python privado, browser, DLLs e modelos incluídos.</t>
        </is>
      </c>
      <c r="J614" s="3" t="inlineStr">
        <is>
          <t>compliance/packages/linux-windows/</t>
        </is>
      </c>
      <c r="K614" s="3" t="inlineStr">
        <is>
          <t>Licenças/fontes correspondentes acompanham os artefatos efetivamente distribuídos.</t>
        </is>
      </c>
      <c r="L614" s="3" t="inlineStr">
        <is>
          <t>SL-S56-07</t>
        </is>
      </c>
      <c r="M614" s="3" t="inlineStr">
        <is>
          <t>R01; R06; R09; R30; R33</t>
        </is>
      </c>
      <c r="N614" s="10" t="inlineStr">
        <is>
          <t>Não iniciado</t>
        </is>
      </c>
      <c r="O614" s="3" t="inlineStr">
        <is>
          <t>P0</t>
        </is>
      </c>
      <c r="P614" s="3" t="inlineStr">
        <is>
          <t>Crítico</t>
        </is>
      </c>
      <c r="Q614" s="3" t="inlineStr">
        <is>
          <t>Obrigatória no escopo da versão</t>
        </is>
      </c>
      <c r="R614" s="10" t="inlineStr">
        <is>
          <t>Autor</t>
        </is>
      </c>
      <c r="S614" s="10" t="inlineStr"/>
      <c r="T614" s="11" t="inlineStr"/>
      <c r="U614" s="3" t="inlineStr">
        <is>
          <t>reports/S56/SL-S56-08.md</t>
        </is>
      </c>
      <c r="V614" s="10" t="inlineStr"/>
      <c r="W614" s="10" t="inlineStr"/>
      <c r="X614" s="3">
        <f>IF(N614="Concluído",IF(AND(S614&lt;&gt;"",ISNUMBER(T614),T614&gt;0,V614&lt;&gt;"",AND(OR(X613="OK",X613="DISPENSADO"))),"OK","REVISAR"),IF(N614="Dispensado (ADR)",IF(AND(LEFT(Q614,11)="Condicional",W614&lt;&gt;"",S614&lt;&gt;"",ISNUMBER(T614),T614&gt;0,V614&lt;&gt;""),"DISPENSADO","REVISAR"),"PENDENTE"))</f>
        <v/>
      </c>
      <c r="Y614" s="10" t="inlineStr"/>
    </row>
    <row r="615" ht="112" customHeight="1">
      <c r="A615" s="3" t="n">
        <v>614</v>
      </c>
      <c r="B615" s="3" t="inlineStr">
        <is>
          <t>SL-S56-09</t>
        </is>
      </c>
      <c r="C615" s="9" t="inlineStr">
        <is>
          <t>v1.0.0-beta.1</t>
        </is>
      </c>
      <c r="D615" s="9" t="inlineStr">
        <is>
          <t>S56</t>
        </is>
      </c>
      <c r="E615" s="3" t="inlineStr">
        <is>
          <t>Distribuição / Linux / Windows</t>
        </is>
      </c>
      <c r="F615" s="3" t="inlineStr">
        <is>
          <t>Integração</t>
        </is>
      </c>
      <c r="G615" s="3" t="inlineStr">
        <is>
          <t>Teste</t>
        </is>
      </c>
      <c r="H615" s="3" t="inlineStr">
        <is>
          <t>Rodar jornadas nativas</t>
        </is>
      </c>
      <c r="I615" s="3" t="inlineStr">
        <is>
          <t>Repetir Captura→Mesa→Peça, busca/contexto e web nos perfis habilitados.</t>
        </is>
      </c>
      <c r="J615" s="3" t="inlineStr">
        <is>
          <t>reports/targets/linux-windows-v1.json</t>
        </is>
      </c>
      <c r="K615" s="3" t="inlineStr">
        <is>
          <t>Build verde não substitui execução real nos três alvos.</t>
        </is>
      </c>
      <c r="L615" s="3" t="inlineStr">
        <is>
          <t>SL-S56-08</t>
        </is>
      </c>
      <c r="M615" s="3" t="inlineStr">
        <is>
          <t>R01; R06; R09; R30; R33</t>
        </is>
      </c>
      <c r="N615" s="10" t="inlineStr">
        <is>
          <t>Não iniciado</t>
        </is>
      </c>
      <c r="O615" s="3" t="inlineStr">
        <is>
          <t>P0</t>
        </is>
      </c>
      <c r="P615" s="3" t="inlineStr">
        <is>
          <t>Crítico</t>
        </is>
      </c>
      <c r="Q615" s="3" t="inlineStr">
        <is>
          <t>Obrigatória no escopo da versão</t>
        </is>
      </c>
      <c r="R615" s="10" t="inlineStr">
        <is>
          <t>Autor + agente de IA</t>
        </is>
      </c>
      <c r="S615" s="10" t="inlineStr"/>
      <c r="T615" s="11" t="inlineStr"/>
      <c r="U615" s="3" t="inlineStr">
        <is>
          <t>reports/S56/SL-S56-09.md</t>
        </is>
      </c>
      <c r="V615" s="10" t="inlineStr"/>
      <c r="W615" s="10" t="inlineStr"/>
      <c r="X615" s="3">
        <f>IF(N615="Concluído",IF(AND(S615&lt;&gt;"",ISNUMBER(T615),T615&gt;0,V615&lt;&gt;"",AND(OR(X614="OK",X614="DISPENSADO"))),"OK","REVISAR"),IF(N615="Dispensado (ADR)",IF(AND(LEFT(Q615,11)="Condicional",W615&lt;&gt;"",S615&lt;&gt;"",ISNUMBER(T615),T615&gt;0,V615&lt;&gt;""),"DISPENSADO","REVISAR"),"PENDENTE"))</f>
        <v/>
      </c>
      <c r="Y615" s="10" t="inlineStr"/>
    </row>
    <row r="616" ht="112" customHeight="1">
      <c r="A616" s="3" t="n">
        <v>615</v>
      </c>
      <c r="B616" s="3" t="inlineStr">
        <is>
          <t>SL-S56-10</t>
        </is>
      </c>
      <c r="C616" s="9" t="inlineStr">
        <is>
          <t>v1.0.0-beta.1</t>
        </is>
      </c>
      <c r="D616" s="9" t="inlineStr">
        <is>
          <t>S56</t>
        </is>
      </c>
      <c r="E616" s="3" t="inlineStr">
        <is>
          <t>Distribuição / Linux / Windows</t>
        </is>
      </c>
      <c r="F616" s="3" t="inlineStr">
        <is>
          <t>Integração</t>
        </is>
      </c>
      <c r="G616" s="3" t="inlineStr">
        <is>
          <t>Release</t>
        </is>
      </c>
      <c r="H616" s="3" t="inlineStr">
        <is>
          <t>Produzir artefatos beta</t>
        </is>
      </c>
      <c r="I616" s="3" t="inlineStr">
        <is>
          <t>Assinar/verificar conforme política e registrar hashes de cada pacote.</t>
        </is>
      </c>
      <c r="J616" s="3" t="inlineStr">
        <is>
          <t>release/v1.0.0-beta.1/linux-windows/</t>
        </is>
      </c>
      <c r="K616" s="3" t="inlineStr">
        <is>
          <t>Usuário consegue verificar origem; limitações de assinatura são explícitas, não bypass silencioso.</t>
        </is>
      </c>
      <c r="L616" s="3" t="inlineStr">
        <is>
          <t>SL-S56-09</t>
        </is>
      </c>
      <c r="M616" s="3" t="inlineStr">
        <is>
          <t>R01; R06; R09; R30; R33</t>
        </is>
      </c>
      <c r="N616" s="10" t="inlineStr">
        <is>
          <t>Não iniciado</t>
        </is>
      </c>
      <c r="O616" s="3" t="inlineStr">
        <is>
          <t>P0</t>
        </is>
      </c>
      <c r="P616" s="3" t="inlineStr">
        <is>
          <t>Crítico</t>
        </is>
      </c>
      <c r="Q616" s="3" t="inlineStr">
        <is>
          <t>Obrigatória no escopo da versão</t>
        </is>
      </c>
      <c r="R616" s="10" t="inlineStr">
        <is>
          <t>Autor</t>
        </is>
      </c>
      <c r="S616" s="10" t="inlineStr"/>
      <c r="T616" s="11" t="inlineStr"/>
      <c r="U616" s="3" t="inlineStr">
        <is>
          <t>reports/S56/SL-S56-10.md</t>
        </is>
      </c>
      <c r="V616" s="10" t="inlineStr"/>
      <c r="W616" s="10" t="inlineStr"/>
      <c r="X616" s="3">
        <f>IF(N616="Concluído",IF(AND(S616&lt;&gt;"",ISNUMBER(T616),T616&gt;0,V616&lt;&gt;"",AND(OR(X615="OK",X615="DISPENSADO"))),"OK","REVISAR"),IF(N616="Dispensado (ADR)",IF(AND(LEFT(Q616,11)="Condicional",W616&lt;&gt;"",S616&lt;&gt;"",ISNUMBER(T616),T616&gt;0,V616&lt;&gt;""),"DISPENSADO","REVISAR"),"PENDENTE"))</f>
        <v/>
      </c>
      <c r="Y616" s="10" t="inlineStr"/>
    </row>
    <row r="617" ht="98" customHeight="1">
      <c r="A617" s="3" t="n">
        <v>616</v>
      </c>
      <c r="B617" s="12" t="inlineStr">
        <is>
          <t>SL-S56-GATE</t>
        </is>
      </c>
      <c r="C617" s="9" t="inlineStr">
        <is>
          <t>v1.0.0-beta.1</t>
        </is>
      </c>
      <c r="D617" s="9" t="inlineStr">
        <is>
          <t>S56</t>
        </is>
      </c>
      <c r="E617" s="3" t="inlineStr">
        <is>
          <t>Distribuição / Linux / Windows</t>
        </is>
      </c>
      <c r="F617" s="3" t="inlineStr">
        <is>
          <t>Aceite humano</t>
        </is>
      </c>
      <c r="G617" s="12" t="inlineStr">
        <is>
          <t>Gate</t>
        </is>
      </c>
      <c r="H617" s="12" t="inlineStr">
        <is>
          <t>Aceitar S56 — Empacotar e validar Linux e Windows</t>
        </is>
      </c>
      <c r="I617" s="3" t="inlineStr">
        <is>
          <t>Revisar as dez tarefas, executar a demonstração do sprint, confrontar critérios e registrar decisão go/no-go.</t>
        </is>
      </c>
      <c r="J617" s="3" t="inlineStr">
        <is>
          <t>reports/S56/acceptance.md</t>
        </is>
      </c>
      <c r="K617" s="3" t="inlineStr">
        <is>
          <t>Instalar em máquina limpa, provisionar perfil permitido, usar e remover o app. Todas as dependências aceitas; evidências vinculadas a revisão/ambiente; nenhum blocker de integridade/segurança.</t>
        </is>
      </c>
      <c r="L617" s="3" t="inlineStr">
        <is>
          <t>SL-S56-01; SL-S56-02; SL-S56-03; SL-S56-04; SL-S56-05; SL-S56-06; SL-S56-07; SL-S56-08; SL-S56-09; SL-S56-10</t>
        </is>
      </c>
      <c r="M617" s="3" t="inlineStr">
        <is>
          <t>R01; R06; R09; R30; R33</t>
        </is>
      </c>
      <c r="N617" s="10" t="inlineStr">
        <is>
          <t>Não iniciado</t>
        </is>
      </c>
      <c r="O617" s="3" t="inlineStr">
        <is>
          <t>P0</t>
        </is>
      </c>
      <c r="P617" s="3" t="inlineStr">
        <is>
          <t>Crítico</t>
        </is>
      </c>
      <c r="Q617" s="3" t="inlineStr">
        <is>
          <t>Obrigatória para fechar a versão aprovada</t>
        </is>
      </c>
      <c r="R617" s="10" t="inlineStr">
        <is>
          <t>Autor</t>
        </is>
      </c>
      <c r="S617" s="10" t="inlineStr"/>
      <c r="T617" s="11" t="inlineStr"/>
      <c r="U617" s="3" t="inlineStr">
        <is>
          <t>reports/S56/acceptance.md</t>
        </is>
      </c>
      <c r="V617" s="10" t="inlineStr"/>
      <c r="W617" s="10" t="inlineStr"/>
      <c r="X617" s="3">
        <f>IF(N617="Concluído",IF(AND(S617&lt;&gt;"",ISNUMBER(T617),T617&gt;0,V617&lt;&gt;"",AND(OR(X607="OK",X607="DISPENSADO"),OR(X608="OK",X608="DISPENSADO"),OR(X609="OK",X609="DISPENSADO"),OR(X610="OK",X610="DISPENSADO"),OR(X611="OK",X611="DISPENSADO"),OR(X612="OK",X612="DISPENSADO"),OR(X613="OK",X613="DISPENSADO"),OR(X614="OK",X614="DISPENSADO"),OR(X615="OK",X615="DISPENSADO"),OR(X616="OK",X616="DISPENSADO"))),"OK","REVISAR"),IF(N617="Dispensado (ADR)",IF(AND(LEFT(Q617,11)="Condicional",W617&lt;&gt;"",S617&lt;&gt;"",ISNUMBER(T617),T617&gt;0,V617&lt;&gt;""),"DISPENSADO","REVISAR"),"PENDENTE"))</f>
        <v/>
      </c>
      <c r="Y617" s="10" t="inlineStr"/>
    </row>
    <row r="618" ht="112" customHeight="1">
      <c r="A618" s="3" t="n">
        <v>617</v>
      </c>
      <c r="B618" s="3" t="inlineStr">
        <is>
          <t>SL-S57-01</t>
        </is>
      </c>
      <c r="C618" s="9" t="inlineStr">
        <is>
          <t>v1.0.0-beta.1</t>
        </is>
      </c>
      <c r="D618" s="9" t="inlineStr">
        <is>
          <t>S57</t>
        </is>
      </c>
      <c r="E618" s="3" t="inlineStr">
        <is>
          <t>Distribuição / macOS</t>
        </is>
      </c>
      <c r="F618" s="3" t="inlineStr">
        <is>
          <t>Integração</t>
        </is>
      </c>
      <c r="G618" s="3" t="inlineStr">
        <is>
          <t>Implementação</t>
        </is>
      </c>
      <c r="H618" s="3" t="inlineStr">
        <is>
          <t>Construir Apple Silicon</t>
        </is>
      </c>
      <c r="I618" s="3" t="inlineStr">
        <is>
          <t>Empacotar binários/model backends compatíveis e paths de recursos.</t>
        </is>
      </c>
      <c r="J618" s="3" t="inlineStr">
        <is>
          <t>packaging/macos/arm64/</t>
        </is>
      </c>
      <c r="K618" s="3" t="inlineStr">
        <is>
          <t>Nenhum backend x86 é carregado implicitamente para mascarar falta de suporte.</t>
        </is>
      </c>
      <c r="L618" s="3" t="inlineStr">
        <is>
          <t>SL-S54-GATE; SL-S55-GATE; SL-S56-GATE</t>
        </is>
      </c>
      <c r="M618" s="3" t="inlineStr">
        <is>
          <t>R01; R06; R09; R30; R33</t>
        </is>
      </c>
      <c r="N618" s="10" t="inlineStr">
        <is>
          <t>Não iniciado</t>
        </is>
      </c>
      <c r="O618" s="3" t="inlineStr">
        <is>
          <t>P0</t>
        </is>
      </c>
      <c r="P618" s="3" t="inlineStr">
        <is>
          <t>Crítico</t>
        </is>
      </c>
      <c r="Q618" s="3" t="inlineStr">
        <is>
          <t>Obrigatória no escopo da versão</t>
        </is>
      </c>
      <c r="R618" s="10" t="inlineStr">
        <is>
          <t>Autor + agente de IA</t>
        </is>
      </c>
      <c r="S618" s="10" t="inlineStr"/>
      <c r="T618" s="11" t="inlineStr"/>
      <c r="U618" s="3" t="inlineStr">
        <is>
          <t>reports/S57/SL-S57-01.md</t>
        </is>
      </c>
      <c r="V618" s="10" t="inlineStr"/>
      <c r="W618" s="10" t="inlineStr"/>
      <c r="X618" s="3">
        <f>IF(N618="Concluído",IF(AND(S618&lt;&gt;"",ISNUMBER(T618),T618&gt;0,V618&lt;&gt;"",AND(OR(X595="OK",X595="DISPENSADO"),OR(X606="OK",X606="DISPENSADO"),OR(X617="OK",X617="DISPENSADO"))),"OK","REVISAR"),IF(N618="Dispensado (ADR)",IF(AND(LEFT(Q618,11)="Condicional",W618&lt;&gt;"",S618&lt;&gt;"",ISNUMBER(T618),T618&gt;0,V618&lt;&gt;""),"DISPENSADO","REVISAR"),"PENDENTE"))</f>
        <v/>
      </c>
      <c r="Y618" s="10" t="inlineStr"/>
    </row>
    <row r="619" ht="112" customHeight="1">
      <c r="A619" s="3" t="n">
        <v>618</v>
      </c>
      <c r="B619" s="3" t="inlineStr">
        <is>
          <t>SL-S57-02</t>
        </is>
      </c>
      <c r="C619" s="9" t="inlineStr">
        <is>
          <t>v1.0.0-beta.1</t>
        </is>
      </c>
      <c r="D619" s="9" t="inlineStr">
        <is>
          <t>S57</t>
        </is>
      </c>
      <c r="E619" s="3" t="inlineStr">
        <is>
          <t>Distribuição / macOS</t>
        </is>
      </c>
      <c r="F619" s="3" t="inlineStr">
        <is>
          <t>Integração</t>
        </is>
      </c>
      <c r="G619" s="3" t="inlineStr">
        <is>
          <t>Implementação</t>
        </is>
      </c>
      <c r="H619" s="3" t="inlineStr">
        <is>
          <t>Construir macOS Intel</t>
        </is>
      </c>
      <c r="I619" s="3" t="inlineStr">
        <is>
          <t>Definir modelos/backends CPU/GPU realmente disponíveis.</t>
        </is>
      </c>
      <c r="J619" s="3" t="inlineStr">
        <is>
          <t>packaging/macos/x86_64/</t>
        </is>
      </c>
      <c r="K619" s="3" t="inlineStr">
        <is>
          <t>Aceleração indisponível não é prometida por paridade com Apple Silicon.</t>
        </is>
      </c>
      <c r="L619" s="3" t="inlineStr">
        <is>
          <t>SL-S57-01</t>
        </is>
      </c>
      <c r="M619" s="3" t="inlineStr">
        <is>
          <t>R01; R06; R09; R30; R33</t>
        </is>
      </c>
      <c r="N619" s="10" t="inlineStr">
        <is>
          <t>Não iniciado</t>
        </is>
      </c>
      <c r="O619" s="3" t="inlineStr">
        <is>
          <t>P0</t>
        </is>
      </c>
      <c r="P619" s="3" t="inlineStr">
        <is>
          <t>Crítico</t>
        </is>
      </c>
      <c r="Q619" s="3" t="inlineStr">
        <is>
          <t>Obrigatória no escopo da versão</t>
        </is>
      </c>
      <c r="R619" s="10" t="inlineStr">
        <is>
          <t>Autor + agente de IA</t>
        </is>
      </c>
      <c r="S619" s="10" t="inlineStr"/>
      <c r="T619" s="11" t="inlineStr"/>
      <c r="U619" s="3" t="inlineStr">
        <is>
          <t>reports/S57/SL-S57-02.md</t>
        </is>
      </c>
      <c r="V619" s="10" t="inlineStr"/>
      <c r="W619" s="10" t="inlineStr"/>
      <c r="X619" s="3">
        <f>IF(N619="Concluído",IF(AND(S619&lt;&gt;"",ISNUMBER(T619),T619&gt;0,V619&lt;&gt;"",AND(OR(X618="OK",X618="DISPENSADO"))),"OK","REVISAR"),IF(N619="Dispensado (ADR)",IF(AND(LEFT(Q619,11)="Condicional",W619&lt;&gt;"",S619&lt;&gt;"",ISNUMBER(T619),T619&gt;0,V619&lt;&gt;""),"DISPENSADO","REVISAR"),"PENDENTE"))</f>
        <v/>
      </c>
      <c r="Y619" s="10" t="inlineStr"/>
    </row>
    <row r="620" ht="112" customHeight="1">
      <c r="A620" s="3" t="n">
        <v>619</v>
      </c>
      <c r="B620" s="3" t="inlineStr">
        <is>
          <t>SL-S57-03</t>
        </is>
      </c>
      <c r="C620" s="9" t="inlineStr">
        <is>
          <t>v1.0.0-beta.1</t>
        </is>
      </c>
      <c r="D620" s="9" t="inlineStr">
        <is>
          <t>S57</t>
        </is>
      </c>
      <c r="E620" s="3" t="inlineStr">
        <is>
          <t>Distribuição / macOS</t>
        </is>
      </c>
      <c r="F620" s="3" t="inlineStr">
        <is>
          <t>Integração</t>
        </is>
      </c>
      <c r="G620" s="3" t="inlineStr">
        <is>
          <t>Implementação</t>
        </is>
      </c>
      <c r="H620" s="3" t="inlineStr">
        <is>
          <t>Configurar helpers/assinatura</t>
        </is>
      </c>
      <c r="I620" s="3" t="inlineStr">
        <is>
          <t>Aplicar entitlements e política de distribuição aprovada a todos os executáveis.</t>
        </is>
      </c>
      <c r="J620" s="3" t="inlineStr">
        <is>
          <t>packaging/macos/signing/</t>
        </is>
      </c>
      <c r="K620" s="3" t="inlineStr">
        <is>
          <t>Helper não perde contenção ao ser movido para o bundle final.</t>
        </is>
      </c>
      <c r="L620" s="3" t="inlineStr">
        <is>
          <t>SL-S57-02</t>
        </is>
      </c>
      <c r="M620" s="3" t="inlineStr">
        <is>
          <t>R01; R06; R09; R30; R33</t>
        </is>
      </c>
      <c r="N620" s="10" t="inlineStr">
        <is>
          <t>Não iniciado</t>
        </is>
      </c>
      <c r="O620" s="3" t="inlineStr">
        <is>
          <t>P0</t>
        </is>
      </c>
      <c r="P620" s="3" t="inlineStr">
        <is>
          <t>Crítico</t>
        </is>
      </c>
      <c r="Q620" s="3" t="inlineStr">
        <is>
          <t>Obrigatória no escopo da versão</t>
        </is>
      </c>
      <c r="R620" s="10" t="inlineStr">
        <is>
          <t>Autor + agente de IA</t>
        </is>
      </c>
      <c r="S620" s="10" t="inlineStr"/>
      <c r="T620" s="11" t="inlineStr"/>
      <c r="U620" s="3" t="inlineStr">
        <is>
          <t>reports/S57/SL-S57-03.md</t>
        </is>
      </c>
      <c r="V620" s="10" t="inlineStr"/>
      <c r="W620" s="10" t="inlineStr"/>
      <c r="X620" s="3">
        <f>IF(N620="Concluído",IF(AND(S620&lt;&gt;"",ISNUMBER(T620),T620&gt;0,V620&lt;&gt;"",AND(OR(X619="OK",X619="DISPENSADO"))),"OK","REVISAR"),IF(N620="Dispensado (ADR)",IF(AND(LEFT(Q620,11)="Condicional",W620&lt;&gt;"",S620&lt;&gt;"",ISNUMBER(T620),T620&gt;0,V620&lt;&gt;""),"DISPENSADO","REVISAR"),"PENDENTE"))</f>
        <v/>
      </c>
      <c r="Y620" s="10" t="inlineStr"/>
    </row>
    <row r="621" ht="112" customHeight="1">
      <c r="A621" s="3" t="n">
        <v>620</v>
      </c>
      <c r="B621" s="3" t="inlineStr">
        <is>
          <t>SL-S57-04</t>
        </is>
      </c>
      <c r="C621" s="9" t="inlineStr">
        <is>
          <t>v1.0.0-beta.1</t>
        </is>
      </c>
      <c r="D621" s="9" t="inlineStr">
        <is>
          <t>S57</t>
        </is>
      </c>
      <c r="E621" s="3" t="inlineStr">
        <is>
          <t>Distribuição / macOS</t>
        </is>
      </c>
      <c r="F621" s="3" t="inlineStr">
        <is>
          <t>Integração</t>
        </is>
      </c>
      <c r="G621" s="3" t="inlineStr">
        <is>
          <t>Teste</t>
        </is>
      </c>
      <c r="H621" s="3" t="inlineStr">
        <is>
          <t>Validar instalação limpa</t>
        </is>
      </c>
      <c r="I621" s="3" t="inlineStr">
        <is>
          <t>Executar sem ambientes Python/Go/Rust de desenvolvimento.</t>
        </is>
      </c>
      <c r="J621" s="3" t="inlineStr">
        <is>
          <t>tests/packaging/macos-install/</t>
        </is>
      </c>
      <c r="K621" s="3" t="inlineStr">
        <is>
          <t>Ausência de dependência é detectada antes do uso, sem instrução opaca para desativar segurança.</t>
        </is>
      </c>
      <c r="L621" s="3" t="inlineStr">
        <is>
          <t>SL-S57-03</t>
        </is>
      </c>
      <c r="M621" s="3" t="inlineStr">
        <is>
          <t>R01; R06; R09; R30; R33</t>
        </is>
      </c>
      <c r="N621" s="10" t="inlineStr">
        <is>
          <t>Não iniciado</t>
        </is>
      </c>
      <c r="O621" s="3" t="inlineStr">
        <is>
          <t>P0</t>
        </is>
      </c>
      <c r="P621" s="3" t="inlineStr">
        <is>
          <t>Crítico</t>
        </is>
      </c>
      <c r="Q621" s="3" t="inlineStr">
        <is>
          <t>Obrigatória no escopo da versão</t>
        </is>
      </c>
      <c r="R621" s="10" t="inlineStr">
        <is>
          <t>Autor + agente de IA</t>
        </is>
      </c>
      <c r="S621" s="10" t="inlineStr"/>
      <c r="T621" s="11" t="inlineStr"/>
      <c r="U621" s="3" t="inlineStr">
        <is>
          <t>reports/S57/SL-S57-04.md</t>
        </is>
      </c>
      <c r="V621" s="10" t="inlineStr"/>
      <c r="W621" s="10" t="inlineStr"/>
      <c r="X621" s="3">
        <f>IF(N621="Concluído",IF(AND(S621&lt;&gt;"",ISNUMBER(T621),T621&gt;0,V621&lt;&gt;"",AND(OR(X620="OK",X620="DISPENSADO"))),"OK","REVISAR"),IF(N621="Dispensado (ADR)",IF(AND(LEFT(Q621,11)="Condicional",W621&lt;&gt;"",S621&lt;&gt;"",ISNUMBER(T621),T621&gt;0,V621&lt;&gt;""),"DISPENSADO","REVISAR"),"PENDENTE"))</f>
        <v/>
      </c>
      <c r="Y621" s="10" t="inlineStr"/>
    </row>
    <row r="622" ht="112" customHeight="1">
      <c r="A622" s="3" t="n">
        <v>621</v>
      </c>
      <c r="B622" s="3" t="inlineStr">
        <is>
          <t>SL-S57-05</t>
        </is>
      </c>
      <c r="C622" s="9" t="inlineStr">
        <is>
          <t>v1.0.0-beta.1</t>
        </is>
      </c>
      <c r="D622" s="9" t="inlineStr">
        <is>
          <t>S57</t>
        </is>
      </c>
      <c r="E622" s="3" t="inlineStr">
        <is>
          <t>Distribuição / macOS</t>
        </is>
      </c>
      <c r="F622" s="3" t="inlineStr">
        <is>
          <t>Integração</t>
        </is>
      </c>
      <c r="G622" s="3" t="inlineStr">
        <is>
          <t>Teste</t>
        </is>
      </c>
      <c r="H622" s="3" t="inlineStr">
        <is>
          <t>Repetir sandbox instalado</t>
        </is>
      </c>
      <c r="I622" s="3" t="inlineStr">
        <is>
          <t>Tentar acesso a dados privados, rede e filhos não autorizados.</t>
        </is>
      </c>
      <c r="J622" s="3" t="inlineStr">
        <is>
          <t>reports/packaging/macos-security.json</t>
        </is>
      </c>
      <c r="K622" s="3" t="inlineStr">
        <is>
          <t>Permissões reais do bundle correspondem aos perfis aprovados.</t>
        </is>
      </c>
      <c r="L622" s="3" t="inlineStr">
        <is>
          <t>SL-S57-04</t>
        </is>
      </c>
      <c r="M622" s="3" t="inlineStr">
        <is>
          <t>R01; R06; R09; R30; R33</t>
        </is>
      </c>
      <c r="N622" s="10" t="inlineStr">
        <is>
          <t>Não iniciado</t>
        </is>
      </c>
      <c r="O622" s="3" t="inlineStr">
        <is>
          <t>P0</t>
        </is>
      </c>
      <c r="P622" s="3" t="inlineStr">
        <is>
          <t>Crítico</t>
        </is>
      </c>
      <c r="Q622" s="3" t="inlineStr">
        <is>
          <t>Obrigatória no escopo da versão</t>
        </is>
      </c>
      <c r="R622" s="10" t="inlineStr">
        <is>
          <t>Autor + agente de IA</t>
        </is>
      </c>
      <c r="S622" s="10" t="inlineStr"/>
      <c r="T622" s="11" t="inlineStr"/>
      <c r="U622" s="3" t="inlineStr">
        <is>
          <t>reports/S57/SL-S57-05.md</t>
        </is>
      </c>
      <c r="V622" s="10" t="inlineStr"/>
      <c r="W622" s="10" t="inlineStr"/>
      <c r="X622" s="3">
        <f>IF(N622="Concluído",IF(AND(S622&lt;&gt;"",ISNUMBER(T622),T622&gt;0,V622&lt;&gt;"",AND(OR(X621="OK",X621="DISPENSADO"))),"OK","REVISAR"),IF(N622="Dispensado (ADR)",IF(AND(LEFT(Q622,11)="Condicional",W622&lt;&gt;"",S622&lt;&gt;"",ISNUMBER(T622),T622&gt;0,V622&lt;&gt;""),"DISPENSADO","REVISAR"),"PENDENTE"))</f>
        <v/>
      </c>
      <c r="Y622" s="10" t="inlineStr"/>
    </row>
    <row r="623" ht="112" customHeight="1">
      <c r="A623" s="3" t="n">
        <v>622</v>
      </c>
      <c r="B623" s="3" t="inlineStr">
        <is>
          <t>SL-S57-06</t>
        </is>
      </c>
      <c r="C623" s="9" t="inlineStr">
        <is>
          <t>v1.0.0-beta.1</t>
        </is>
      </c>
      <c r="D623" s="9" t="inlineStr">
        <is>
          <t>S57</t>
        </is>
      </c>
      <c r="E623" s="3" t="inlineStr">
        <is>
          <t>Distribuição / macOS</t>
        </is>
      </c>
      <c r="F623" s="3" t="inlineStr">
        <is>
          <t>Integração</t>
        </is>
      </c>
      <c r="G623" s="3" t="inlineStr">
        <is>
          <t>Teste</t>
        </is>
      </c>
      <c r="H623" s="3" t="inlineStr">
        <is>
          <t>Validar modelos/pacotes offline</t>
        </is>
      </c>
      <c r="I623" s="3" t="inlineStr">
        <is>
          <t>Provisionar pelo fluxo documentado e bloquear rede.</t>
        </is>
      </c>
      <c r="J623" s="3" t="inlineStr">
        <is>
          <t>reports/packaging/macos-offline.json</t>
        </is>
      </c>
      <c r="K623" s="3" t="inlineStr">
        <is>
          <t>Geração/embeddings homologados funcionam sem chamada externa.</t>
        </is>
      </c>
      <c r="L623" s="3" t="inlineStr">
        <is>
          <t>SL-S57-05</t>
        </is>
      </c>
      <c r="M623" s="3" t="inlineStr">
        <is>
          <t>R01; R06; R09; R30; R33</t>
        </is>
      </c>
      <c r="N623" s="10" t="inlineStr">
        <is>
          <t>Não iniciado</t>
        </is>
      </c>
      <c r="O623" s="3" t="inlineStr">
        <is>
          <t>P0</t>
        </is>
      </c>
      <c r="P623" s="3" t="inlineStr">
        <is>
          <t>Crítico</t>
        </is>
      </c>
      <c r="Q623" s="3" t="inlineStr">
        <is>
          <t>Obrigatória no escopo da versão</t>
        </is>
      </c>
      <c r="R623" s="10" t="inlineStr">
        <is>
          <t>Autor + agente de IA</t>
        </is>
      </c>
      <c r="S623" s="10" t="inlineStr"/>
      <c r="T623" s="11" t="inlineStr"/>
      <c r="U623" s="3" t="inlineStr">
        <is>
          <t>reports/S57/SL-S57-06.md</t>
        </is>
      </c>
      <c r="V623" s="10" t="inlineStr"/>
      <c r="W623" s="10" t="inlineStr"/>
      <c r="X623" s="3">
        <f>IF(N623="Concluído",IF(AND(S623&lt;&gt;"",ISNUMBER(T623),T623&gt;0,V623&lt;&gt;"",AND(OR(X622="OK",X622="DISPENSADO"))),"OK","REVISAR"),IF(N623="Dispensado (ADR)",IF(AND(LEFT(Q623,11)="Condicional",W623&lt;&gt;"",S623&lt;&gt;"",ISNUMBER(T623),T623&gt;0,V623&lt;&gt;""),"DISPENSADO","REVISAR"),"PENDENTE"))</f>
        <v/>
      </c>
      <c r="Y623" s="10" t="inlineStr"/>
    </row>
    <row r="624" ht="112" customHeight="1">
      <c r="A624" s="3" t="n">
        <v>623</v>
      </c>
      <c r="B624" s="3" t="inlineStr">
        <is>
          <t>SL-S57-07</t>
        </is>
      </c>
      <c r="C624" s="9" t="inlineStr">
        <is>
          <t>v1.0.0-beta.1</t>
        </is>
      </c>
      <c r="D624" s="9" t="inlineStr">
        <is>
          <t>S57</t>
        </is>
      </c>
      <c r="E624" s="3" t="inlineStr">
        <is>
          <t>Distribuição / macOS</t>
        </is>
      </c>
      <c r="F624" s="3" t="inlineStr">
        <is>
          <t>Integração</t>
        </is>
      </c>
      <c r="G624" s="3" t="inlineStr">
        <is>
          <t>Teste</t>
        </is>
      </c>
      <c r="H624" s="3" t="inlineStr">
        <is>
          <t>Rodar jornadas por arquitetura</t>
        </is>
      </c>
      <c r="I624" s="3" t="inlineStr">
        <is>
          <t>Exercitar editor, Mesa, ingest, busca, contexto e web habilitada.</t>
        </is>
      </c>
      <c r="J624" s="3" t="inlineStr">
        <is>
          <t>reports/targets/macos-v1.json</t>
        </is>
      </c>
      <c r="K624" s="3" t="inlineStr">
        <is>
          <t>Teste de uma arquitetura não vale como aprovação da outra.</t>
        </is>
      </c>
      <c r="L624" s="3" t="inlineStr">
        <is>
          <t>SL-S57-06</t>
        </is>
      </c>
      <c r="M624" s="3" t="inlineStr">
        <is>
          <t>R01; R06; R09; R30; R33</t>
        </is>
      </c>
      <c r="N624" s="10" t="inlineStr">
        <is>
          <t>Não iniciado</t>
        </is>
      </c>
      <c r="O624" s="3" t="inlineStr">
        <is>
          <t>P0</t>
        </is>
      </c>
      <c r="P624" s="3" t="inlineStr">
        <is>
          <t>Crítico</t>
        </is>
      </c>
      <c r="Q624" s="3" t="inlineStr">
        <is>
          <t>Obrigatória no escopo da versão</t>
        </is>
      </c>
      <c r="R624" s="10" t="inlineStr">
        <is>
          <t>Autor + agente de IA</t>
        </is>
      </c>
      <c r="S624" s="10" t="inlineStr"/>
      <c r="T624" s="11" t="inlineStr"/>
      <c r="U624" s="3" t="inlineStr">
        <is>
          <t>reports/S57/SL-S57-07.md</t>
        </is>
      </c>
      <c r="V624" s="10" t="inlineStr"/>
      <c r="W624" s="10" t="inlineStr"/>
      <c r="X624" s="3">
        <f>IF(N624="Concluído",IF(AND(S624&lt;&gt;"",ISNUMBER(T624),T624&gt;0,V624&lt;&gt;"",AND(OR(X623="OK",X623="DISPENSADO"))),"OK","REVISAR"),IF(N624="Dispensado (ADR)",IF(AND(LEFT(Q624,11)="Condicional",W624&lt;&gt;"",S624&lt;&gt;"",ISNUMBER(T624),T624&gt;0,V624&lt;&gt;""),"DISPENSADO","REVISAR"),"PENDENTE"))</f>
        <v/>
      </c>
      <c r="Y624" s="10" t="inlineStr"/>
    </row>
    <row r="625" ht="112" customHeight="1">
      <c r="A625" s="3" t="n">
        <v>624</v>
      </c>
      <c r="B625" s="3" t="inlineStr">
        <is>
          <t>SL-S57-08</t>
        </is>
      </c>
      <c r="C625" s="9" t="inlineStr">
        <is>
          <t>v1.0.0-beta.1</t>
        </is>
      </c>
      <c r="D625" s="9" t="inlineStr">
        <is>
          <t>S57</t>
        </is>
      </c>
      <c r="E625" s="3" t="inlineStr">
        <is>
          <t>Distribuição / macOS</t>
        </is>
      </c>
      <c r="F625" s="3" t="inlineStr">
        <is>
          <t>Integração</t>
        </is>
      </c>
      <c r="G625" s="3" t="inlineStr">
        <is>
          <t>Teste</t>
        </is>
      </c>
      <c r="H625" s="3" t="inlineStr">
        <is>
          <t>Consolidar matriz dos cinco alvos</t>
        </is>
      </c>
      <c r="I625" s="3" t="inlineStr">
        <is>
          <t>Comparar capacidades essenciais e opcionais com evidências.</t>
        </is>
      </c>
      <c r="J625" s="3" t="inlineStr">
        <is>
          <t>reports/targets/v1-capabilities.json</t>
        </is>
      </c>
      <c r="K625" s="3" t="inlineStr">
        <is>
          <t>Qualquer lacuna essencial bloqueia stable até correção ou replanejamento formal de escopo.</t>
        </is>
      </c>
      <c r="L625" s="3" t="inlineStr">
        <is>
          <t>SL-S57-07</t>
        </is>
      </c>
      <c r="M625" s="3" t="inlineStr">
        <is>
          <t>R01; R06; R09; R30; R33</t>
        </is>
      </c>
      <c r="N625" s="10" t="inlineStr">
        <is>
          <t>Não iniciado</t>
        </is>
      </c>
      <c r="O625" s="3" t="inlineStr">
        <is>
          <t>P0</t>
        </is>
      </c>
      <c r="P625" s="3" t="inlineStr">
        <is>
          <t>Crítico</t>
        </is>
      </c>
      <c r="Q625" s="3" t="inlineStr">
        <is>
          <t>Obrigatória no escopo da versão</t>
        </is>
      </c>
      <c r="R625" s="10" t="inlineStr">
        <is>
          <t>Autor + agente de IA</t>
        </is>
      </c>
      <c r="S625" s="10" t="inlineStr"/>
      <c r="T625" s="11" t="inlineStr"/>
      <c r="U625" s="3" t="inlineStr">
        <is>
          <t>reports/S57/SL-S57-08.md</t>
        </is>
      </c>
      <c r="V625" s="10" t="inlineStr"/>
      <c r="W625" s="10" t="inlineStr"/>
      <c r="X625" s="3">
        <f>IF(N625="Concluído",IF(AND(S625&lt;&gt;"",ISNUMBER(T625),T625&gt;0,V625&lt;&gt;"",AND(OR(X624="OK",X624="DISPENSADO"))),"OK","REVISAR"),IF(N625="Dispensado (ADR)",IF(AND(LEFT(Q625,11)="Condicional",W625&lt;&gt;"",S625&lt;&gt;"",ISNUMBER(T625),T625&gt;0,V625&lt;&gt;""),"DISPENSADO","REVISAR"),"PENDENTE"))</f>
        <v/>
      </c>
      <c r="Y625" s="10" t="inlineStr"/>
    </row>
    <row r="626" ht="112" customHeight="1">
      <c r="A626" s="3" t="n">
        <v>625</v>
      </c>
      <c r="B626" s="3" t="inlineStr">
        <is>
          <t>SL-S57-09</t>
        </is>
      </c>
      <c r="C626" s="9" t="inlineStr">
        <is>
          <t>v1.0.0-beta.1</t>
        </is>
      </c>
      <c r="D626" s="9" t="inlineStr">
        <is>
          <t>S57</t>
        </is>
      </c>
      <c r="E626" s="3" t="inlineStr">
        <is>
          <t>Distribuição / macOS</t>
        </is>
      </c>
      <c r="F626" s="3" t="inlineStr">
        <is>
          <t>Integração</t>
        </is>
      </c>
      <c r="G626" s="3" t="inlineStr">
        <is>
          <t>Documentação</t>
        </is>
      </c>
      <c r="H626" s="3" t="inlineStr">
        <is>
          <t>Publicar guia beta</t>
        </is>
      </c>
      <c r="I626" s="3" t="inlineStr">
        <is>
          <t>Explicar instalação, requisitos, limites e coleta de diagnóstico local saneado.</t>
        </is>
      </c>
      <c r="J626" s="3" t="inlineStr">
        <is>
          <t>docs/releases/v1-beta.md</t>
        </is>
      </c>
      <c r="K626" s="3" t="inlineStr">
        <is>
          <t>Usuário identifica facilmente qual pacote/modelo pode usar em seu hardware.</t>
        </is>
      </c>
      <c r="L626" s="3" t="inlineStr">
        <is>
          <t>SL-S57-08</t>
        </is>
      </c>
      <c r="M626" s="3" t="inlineStr">
        <is>
          <t>R01; R06; R09; R30; R33</t>
        </is>
      </c>
      <c r="N626" s="10" t="inlineStr">
        <is>
          <t>Não iniciado</t>
        </is>
      </c>
      <c r="O626" s="3" t="inlineStr">
        <is>
          <t>P0</t>
        </is>
      </c>
      <c r="P626" s="3" t="inlineStr">
        <is>
          <t>Crítico</t>
        </is>
      </c>
      <c r="Q626" s="3" t="inlineStr">
        <is>
          <t>Obrigatória no escopo da versão</t>
        </is>
      </c>
      <c r="R626" s="10" t="inlineStr">
        <is>
          <t>Autor + agente de IA</t>
        </is>
      </c>
      <c r="S626" s="10" t="inlineStr"/>
      <c r="T626" s="11" t="inlineStr"/>
      <c r="U626" s="3" t="inlineStr">
        <is>
          <t>reports/S57/SL-S57-09.md</t>
        </is>
      </c>
      <c r="V626" s="10" t="inlineStr"/>
      <c r="W626" s="10" t="inlineStr"/>
      <c r="X626" s="3">
        <f>IF(N626="Concluído",IF(AND(S626&lt;&gt;"",ISNUMBER(T626),T626&gt;0,V626&lt;&gt;"",AND(OR(X625="OK",X625="DISPENSADO"))),"OK","REVISAR"),IF(N626="Dispensado (ADR)",IF(AND(LEFT(Q626,11)="Condicional",W626&lt;&gt;"",S626&lt;&gt;"",ISNUMBER(T626),T626&gt;0,V626&lt;&gt;""),"DISPENSADO","REVISAR"),"PENDENTE"))</f>
        <v/>
      </c>
      <c r="Y626" s="10" t="inlineStr"/>
    </row>
    <row r="627" ht="112" customHeight="1">
      <c r="A627" s="3" t="n">
        <v>626</v>
      </c>
      <c r="B627" s="3" t="inlineStr">
        <is>
          <t>SL-S57-10</t>
        </is>
      </c>
      <c r="C627" s="9" t="inlineStr">
        <is>
          <t>v1.0.0-beta.1</t>
        </is>
      </c>
      <c r="D627" s="9" t="inlineStr">
        <is>
          <t>S57</t>
        </is>
      </c>
      <c r="E627" s="3" t="inlineStr">
        <is>
          <t>Distribuição / macOS</t>
        </is>
      </c>
      <c r="F627" s="3" t="inlineStr">
        <is>
          <t>Integração</t>
        </is>
      </c>
      <c r="G627" s="3" t="inlineStr">
        <is>
          <t>Release</t>
        </is>
      </c>
      <c r="H627" s="3" t="inlineStr">
        <is>
          <t>Publicar beta multiplataforma</t>
        </is>
      </c>
      <c r="I627" s="3" t="inlineStr">
        <is>
          <t>Empacotar notas, SBOM, hashes e fontes aplicáveis.</t>
        </is>
      </c>
      <c r="J627" s="3" t="inlineStr">
        <is>
          <t>release/v1.0.0-beta.1/</t>
        </is>
      </c>
      <c r="K627" s="3" t="inlineStr">
        <is>
          <t>Beta mantém estado experimental explícito e não oculta falhas conhecidas.</t>
        </is>
      </c>
      <c r="L627" s="3" t="inlineStr">
        <is>
          <t>SL-S57-09</t>
        </is>
      </c>
      <c r="M627" s="3" t="inlineStr">
        <is>
          <t>R01; R06; R09; R30; R33</t>
        </is>
      </c>
      <c r="N627" s="10" t="inlineStr">
        <is>
          <t>Não iniciado</t>
        </is>
      </c>
      <c r="O627" s="3" t="inlineStr">
        <is>
          <t>P0</t>
        </is>
      </c>
      <c r="P627" s="3" t="inlineStr">
        <is>
          <t>Crítico</t>
        </is>
      </c>
      <c r="Q627" s="3" t="inlineStr">
        <is>
          <t>Obrigatória no escopo da versão</t>
        </is>
      </c>
      <c r="R627" s="10" t="inlineStr">
        <is>
          <t>Autor</t>
        </is>
      </c>
      <c r="S627" s="10" t="inlineStr"/>
      <c r="T627" s="11" t="inlineStr"/>
      <c r="U627" s="3" t="inlineStr">
        <is>
          <t>reports/S57/SL-S57-10.md</t>
        </is>
      </c>
      <c r="V627" s="10" t="inlineStr"/>
      <c r="W627" s="10" t="inlineStr"/>
      <c r="X627" s="3">
        <f>IF(N627="Concluído",IF(AND(S627&lt;&gt;"",ISNUMBER(T627),T627&gt;0,V627&lt;&gt;"",AND(OR(X626="OK",X626="DISPENSADO"))),"OK","REVISAR"),IF(N627="Dispensado (ADR)",IF(AND(LEFT(Q627,11)="Condicional",W627&lt;&gt;"",S627&lt;&gt;"",ISNUMBER(T627),T627&gt;0,V627&lt;&gt;""),"DISPENSADO","REVISAR"),"PENDENTE"))</f>
        <v/>
      </c>
      <c r="Y627" s="10" t="inlineStr"/>
    </row>
    <row r="628" ht="98" customHeight="1">
      <c r="A628" s="3" t="n">
        <v>627</v>
      </c>
      <c r="B628" s="12" t="inlineStr">
        <is>
          <t>SL-S57-GATE</t>
        </is>
      </c>
      <c r="C628" s="9" t="inlineStr">
        <is>
          <t>v1.0.0-beta.1</t>
        </is>
      </c>
      <c r="D628" s="9" t="inlineStr">
        <is>
          <t>S57</t>
        </is>
      </c>
      <c r="E628" s="3" t="inlineStr">
        <is>
          <t>Distribuição / macOS</t>
        </is>
      </c>
      <c r="F628" s="3" t="inlineStr">
        <is>
          <t>Aceite humano</t>
        </is>
      </c>
      <c r="G628" s="12" t="inlineStr">
        <is>
          <t>Gate</t>
        </is>
      </c>
      <c r="H628" s="12" t="inlineStr">
        <is>
          <t>Aceitar S57 — Empacotar macOS e fechar beta multiplataforma</t>
        </is>
      </c>
      <c r="I628" s="3" t="inlineStr">
        <is>
          <t>Revisar as dez tarefas, executar a demonstração do sprint, confrontar critérios e registrar decisão go/no-go.</t>
        </is>
      </c>
      <c r="J628" s="3" t="inlineStr">
        <is>
          <t>reports/S57/acceptance.md</t>
        </is>
      </c>
      <c r="K628" s="3" t="inlineStr">
        <is>
          <t>Instalação limpa em macOS preserva helpers, permissões, modelos e dados do usuário. Todas as dependências aceitas; evidências vinculadas a revisão/ambiente; nenhum blocker de integridade/segurança.</t>
        </is>
      </c>
      <c r="L628" s="3" t="inlineStr">
        <is>
          <t>SL-S57-01; SL-S57-02; SL-S57-03; SL-S57-04; SL-S57-05; SL-S57-06; SL-S57-07; SL-S57-08; SL-S57-09; SL-S57-10</t>
        </is>
      </c>
      <c r="M628" s="3" t="inlineStr">
        <is>
          <t>R01; R06; R09; R30; R33</t>
        </is>
      </c>
      <c r="N628" s="10" t="inlineStr">
        <is>
          <t>Não iniciado</t>
        </is>
      </c>
      <c r="O628" s="3" t="inlineStr">
        <is>
          <t>P0</t>
        </is>
      </c>
      <c r="P628" s="3" t="inlineStr">
        <is>
          <t>Crítico</t>
        </is>
      </c>
      <c r="Q628" s="3" t="inlineStr">
        <is>
          <t>Obrigatória para fechar a versão aprovada</t>
        </is>
      </c>
      <c r="R628" s="10" t="inlineStr">
        <is>
          <t>Autor</t>
        </is>
      </c>
      <c r="S628" s="10" t="inlineStr"/>
      <c r="T628" s="11" t="inlineStr"/>
      <c r="U628" s="3" t="inlineStr">
        <is>
          <t>reports/S57/acceptance.md</t>
        </is>
      </c>
      <c r="V628" s="10" t="inlineStr"/>
      <c r="W628" s="10" t="inlineStr"/>
      <c r="X628" s="3">
        <f>IF(N628="Concluído",IF(AND(S628&lt;&gt;"",ISNUMBER(T628),T628&gt;0,V628&lt;&gt;"",AND(OR(X618="OK",X618="DISPENSADO"),OR(X619="OK",X619="DISPENSADO"),OR(X620="OK",X620="DISPENSADO"),OR(X621="OK",X621="DISPENSADO"),OR(X622="OK",X622="DISPENSADO"),OR(X623="OK",X623="DISPENSADO"),OR(X624="OK",X624="DISPENSADO"),OR(X625="OK",X625="DISPENSADO"),OR(X626="OK",X626="DISPENSADO"),OR(X627="OK",X627="DISPENSADO"))),"OK","REVISAR"),IF(N628="Dispensado (ADR)",IF(AND(LEFT(Q628,11)="Condicional",W628&lt;&gt;"",S628&lt;&gt;"",ISNUMBER(T628),T628&gt;0,V628&lt;&gt;""),"DISPENSADO","REVISAR"),"PENDENTE"))</f>
        <v/>
      </c>
      <c r="Y628" s="10" t="inlineStr"/>
    </row>
    <row r="629" ht="112" customHeight="1">
      <c r="A629" s="3" t="n">
        <v>628</v>
      </c>
      <c r="B629" s="3" t="inlineStr">
        <is>
          <t>SL-S58-01</t>
        </is>
      </c>
      <c r="C629" s="9" t="inlineStr">
        <is>
          <t>v1.0.0-rc.1</t>
        </is>
      </c>
      <c r="D629" s="9" t="inlineStr">
        <is>
          <t>S58</t>
        </is>
      </c>
      <c r="E629" s="3" t="inlineStr">
        <is>
          <t>Compatibilidade / portabilidade</t>
        </is>
      </c>
      <c r="F629" s="3" t="inlineStr">
        <is>
          <t>Próprio</t>
        </is>
      </c>
      <c r="G629" s="3" t="inlineStr">
        <is>
          <t>Decisão</t>
        </is>
      </c>
      <c r="H629" s="3" t="inlineStr">
        <is>
          <t>Ratificar retenção/Git/auditoria</t>
        </is>
      </c>
      <c r="I629" s="3" t="inlineStr">
        <is>
          <t>Resolver ADR-016 incluindo arquivos canônicos, caches excluídos e limites de anchoring.</t>
        </is>
      </c>
      <c r="J629" s="3" t="inlineStr">
        <is>
          <t>docs/adr/016-history-portability.md</t>
        </is>
      </c>
      <c r="K629" s="3" t="inlineStr">
        <is>
          <t>Git opcional não é chamado de backup remoto sem configuração real.</t>
        </is>
      </c>
      <c r="L629" s="3" t="inlineStr">
        <is>
          <t>SL-S22-GATE; SL-S57-GATE</t>
        </is>
      </c>
      <c r="M629" s="3" t="inlineStr">
        <is>
          <t>R02; R05; R29; R32; R37</t>
        </is>
      </c>
      <c r="N629" s="10" t="inlineStr">
        <is>
          <t>Não iniciado</t>
        </is>
      </c>
      <c r="O629" s="3" t="inlineStr">
        <is>
          <t>P0</t>
        </is>
      </c>
      <c r="P629" s="3" t="inlineStr">
        <is>
          <t>Crítico</t>
        </is>
      </c>
      <c r="Q629" s="3" t="inlineStr">
        <is>
          <t>Obrigatória no escopo da versão</t>
        </is>
      </c>
      <c r="R629" s="10" t="inlineStr">
        <is>
          <t>Autor</t>
        </is>
      </c>
      <c r="S629" s="10" t="inlineStr"/>
      <c r="T629" s="11" t="inlineStr"/>
      <c r="U629" s="3" t="inlineStr">
        <is>
          <t>reports/S58/SL-S58-01.md</t>
        </is>
      </c>
      <c r="V629" s="10" t="inlineStr"/>
      <c r="W629" s="10" t="inlineStr"/>
      <c r="X629" s="3">
        <f>IF(N629="Concluído",IF(AND(S629&lt;&gt;"",ISNUMBER(T629),T629&gt;0,V629&lt;&gt;"",AND(OR(X243="OK",X243="DISPENSADO"),OR(X628="OK",X628="DISPENSADO"))),"OK","REVISAR"),IF(N629="Dispensado (ADR)",IF(AND(LEFT(Q629,11)="Condicional",W629&lt;&gt;"",S629&lt;&gt;"",ISNUMBER(T629),T629&gt;0,V629&lt;&gt;""),"DISPENSADO","REVISAR"),"PENDENTE"))</f>
        <v/>
      </c>
      <c r="Y629" s="10" t="inlineStr"/>
    </row>
    <row r="630" ht="112" customHeight="1">
      <c r="A630" s="3" t="n">
        <v>629</v>
      </c>
      <c r="B630" s="3" t="inlineStr">
        <is>
          <t>SL-S58-02</t>
        </is>
      </c>
      <c r="C630" s="9" t="inlineStr">
        <is>
          <t>v1.0.0-rc.1</t>
        </is>
      </c>
      <c r="D630" s="9" t="inlineStr">
        <is>
          <t>S58</t>
        </is>
      </c>
      <c r="E630" s="3" t="inlineStr">
        <is>
          <t>Compatibilidade / portabilidade</t>
        </is>
      </c>
      <c r="F630" s="3" t="inlineStr">
        <is>
          <t>Próprio</t>
        </is>
      </c>
      <c r="G630" s="3" t="inlineStr">
        <is>
          <t>Implementação</t>
        </is>
      </c>
      <c r="H630" s="3" t="inlineStr">
        <is>
          <t>Criar planejador de migração</t>
        </is>
      </c>
      <c r="I630" s="3" t="inlineStr">
        <is>
          <t>Detectar versão e mostrar plano antes de executar mudanças.</t>
        </is>
      </c>
      <c r="J630" s="3" t="inlineStr">
        <is>
          <t>crates/migrations/src/plan.rs</t>
        </is>
      </c>
      <c r="K630" s="3" t="inlineStr">
        <is>
          <t>Versão desconhecida abre read-only ou é recusada sem regravação destrutiva.</t>
        </is>
      </c>
      <c r="L630" s="3" t="inlineStr">
        <is>
          <t>SL-S58-01</t>
        </is>
      </c>
      <c r="M630" s="3" t="inlineStr">
        <is>
          <t>R02; R05; R29; R32; R37</t>
        </is>
      </c>
      <c r="N630" s="10" t="inlineStr">
        <is>
          <t>Não iniciado</t>
        </is>
      </c>
      <c r="O630" s="3" t="inlineStr">
        <is>
          <t>P0</t>
        </is>
      </c>
      <c r="P630" s="3" t="inlineStr">
        <is>
          <t>Crítico</t>
        </is>
      </c>
      <c r="Q630" s="3" t="inlineStr">
        <is>
          <t>Obrigatória no escopo da versão</t>
        </is>
      </c>
      <c r="R630" s="10" t="inlineStr">
        <is>
          <t>Autor + agente de IA</t>
        </is>
      </c>
      <c r="S630" s="10" t="inlineStr"/>
      <c r="T630" s="11" t="inlineStr"/>
      <c r="U630" s="3" t="inlineStr">
        <is>
          <t>reports/S58/SL-S58-02.md</t>
        </is>
      </c>
      <c r="V630" s="10" t="inlineStr"/>
      <c r="W630" s="10" t="inlineStr"/>
      <c r="X630" s="3">
        <f>IF(N630="Concluído",IF(AND(S630&lt;&gt;"",ISNUMBER(T630),T630&gt;0,V630&lt;&gt;"",AND(OR(X629="OK",X629="DISPENSADO"))),"OK","REVISAR"),IF(N630="Dispensado (ADR)",IF(AND(LEFT(Q630,11)="Condicional",W630&lt;&gt;"",S630&lt;&gt;"",ISNUMBER(T630),T630&gt;0,V630&lt;&gt;""),"DISPENSADO","REVISAR"),"PENDENTE"))</f>
        <v/>
      </c>
      <c r="Y630" s="10" t="inlineStr"/>
    </row>
    <row r="631" ht="112" customHeight="1">
      <c r="A631" s="3" t="n">
        <v>630</v>
      </c>
      <c r="B631" s="3" t="inlineStr">
        <is>
          <t>SL-S58-03</t>
        </is>
      </c>
      <c r="C631" s="9" t="inlineStr">
        <is>
          <t>v1.0.0-rc.1</t>
        </is>
      </c>
      <c r="D631" s="9" t="inlineStr">
        <is>
          <t>S58</t>
        </is>
      </c>
      <c r="E631" s="3" t="inlineStr">
        <is>
          <t>Compatibilidade / portabilidade</t>
        </is>
      </c>
      <c r="F631" s="3" t="inlineStr">
        <is>
          <t>Próprio</t>
        </is>
      </c>
      <c r="G631" s="3" t="inlineStr">
        <is>
          <t>Implementação</t>
        </is>
      </c>
      <c r="H631" s="3" t="inlineStr">
        <is>
          <t>Executar migração recuperável</t>
        </is>
      </c>
      <c r="I631" s="3" t="inlineStr">
        <is>
          <t>Criar ponto de restauração e publicar migração com protocolo durável.</t>
        </is>
      </c>
      <c r="J631" s="3" t="inlineStr">
        <is>
          <t>crates/migrations/src/run.rs</t>
        </is>
      </c>
      <c r="K631" s="3" t="inlineStr">
        <is>
          <t>Interrupção permite retomar/voltar; formatos intermediários não são anunciados como prontos.</t>
        </is>
      </c>
      <c r="L631" s="3" t="inlineStr">
        <is>
          <t>SL-S58-02</t>
        </is>
      </c>
      <c r="M631" s="3" t="inlineStr">
        <is>
          <t>R02; R05; R29; R32; R37</t>
        </is>
      </c>
      <c r="N631" s="10" t="inlineStr">
        <is>
          <t>Não iniciado</t>
        </is>
      </c>
      <c r="O631" s="3" t="inlineStr">
        <is>
          <t>P0</t>
        </is>
      </c>
      <c r="P631" s="3" t="inlineStr">
        <is>
          <t>Crítico</t>
        </is>
      </c>
      <c r="Q631" s="3" t="inlineStr">
        <is>
          <t>Obrigatória no escopo da versão</t>
        </is>
      </c>
      <c r="R631" s="10" t="inlineStr">
        <is>
          <t>Autor + agente de IA</t>
        </is>
      </c>
      <c r="S631" s="10" t="inlineStr"/>
      <c r="T631" s="11" t="inlineStr"/>
      <c r="U631" s="3" t="inlineStr">
        <is>
          <t>reports/S58/SL-S58-03.md</t>
        </is>
      </c>
      <c r="V631" s="10" t="inlineStr"/>
      <c r="W631" s="10" t="inlineStr"/>
      <c r="X631" s="3">
        <f>IF(N631="Concluído",IF(AND(S631&lt;&gt;"",ISNUMBER(T631),T631&gt;0,V631&lt;&gt;"",AND(OR(X630="OK",X630="DISPENSADO"))),"OK","REVISAR"),IF(N631="Dispensado (ADR)",IF(AND(LEFT(Q631,11)="Condicional",W631&lt;&gt;"",S631&lt;&gt;"",ISNUMBER(T631),T631&gt;0,V631&lt;&gt;""),"DISPENSADO","REVISAR"),"PENDENTE"))</f>
        <v/>
      </c>
      <c r="Y631" s="10" t="inlineStr"/>
    </row>
    <row r="632" ht="112" customHeight="1">
      <c r="A632" s="3" t="n">
        <v>631</v>
      </c>
      <c r="B632" s="3" t="inlineStr">
        <is>
          <t>SL-S58-04</t>
        </is>
      </c>
      <c r="C632" s="9" t="inlineStr">
        <is>
          <t>v1.0.0-rc.1</t>
        </is>
      </c>
      <c r="D632" s="9" t="inlineStr">
        <is>
          <t>S58</t>
        </is>
      </c>
      <c r="E632" s="3" t="inlineStr">
        <is>
          <t>Compatibilidade / portabilidade</t>
        </is>
      </c>
      <c r="F632" s="3" t="inlineStr">
        <is>
          <t>Próprio</t>
        </is>
      </c>
      <c r="G632" s="3" t="inlineStr">
        <is>
          <t>Implementação</t>
        </is>
      </c>
      <c r="H632" s="3" t="inlineStr">
        <is>
          <t>Versionar caches separadamente</t>
        </is>
      </c>
      <c r="I632" s="3" t="inlineStr">
        <is>
          <t>Reconstruir índices/MPK sem obrigar migração autoral.</t>
        </is>
      </c>
      <c r="J632" s="3" t="inlineStr">
        <is>
          <t>crates/migrations/src/derived.rs</t>
        </is>
      </c>
      <c r="K632" s="3" t="inlineStr">
        <is>
          <t>Atualização de engine vetorial não muda o Markdown sem necessidade.</t>
        </is>
      </c>
      <c r="L632" s="3" t="inlineStr">
        <is>
          <t>SL-S58-03</t>
        </is>
      </c>
      <c r="M632" s="3" t="inlineStr">
        <is>
          <t>R02; R05; R29; R32; R37</t>
        </is>
      </c>
      <c r="N632" s="10" t="inlineStr">
        <is>
          <t>Não iniciado</t>
        </is>
      </c>
      <c r="O632" s="3" t="inlineStr">
        <is>
          <t>P0</t>
        </is>
      </c>
      <c r="P632" s="3" t="inlineStr">
        <is>
          <t>Crítico</t>
        </is>
      </c>
      <c r="Q632" s="3" t="inlineStr">
        <is>
          <t>Obrigatória no escopo da versão</t>
        </is>
      </c>
      <c r="R632" s="10" t="inlineStr">
        <is>
          <t>Autor + agente de IA</t>
        </is>
      </c>
      <c r="S632" s="10" t="inlineStr"/>
      <c r="T632" s="11" t="inlineStr"/>
      <c r="U632" s="3" t="inlineStr">
        <is>
          <t>reports/S58/SL-S58-04.md</t>
        </is>
      </c>
      <c r="V632" s="10" t="inlineStr"/>
      <c r="W632" s="10" t="inlineStr"/>
      <c r="X632" s="3">
        <f>IF(N632="Concluído",IF(AND(S632&lt;&gt;"",ISNUMBER(T632),T632&gt;0,V632&lt;&gt;"",AND(OR(X631="OK",X631="DISPENSADO"))),"OK","REVISAR"),IF(N632="Dispensado (ADR)",IF(AND(LEFT(Q632,11)="Condicional",W632&lt;&gt;"",S632&lt;&gt;"",ISNUMBER(T632),T632&gt;0,V632&lt;&gt;""),"DISPENSADO","REVISAR"),"PENDENTE"))</f>
        <v/>
      </c>
      <c r="Y632" s="10" t="inlineStr"/>
    </row>
    <row r="633" ht="112" customHeight="1">
      <c r="A633" s="3" t="n">
        <v>632</v>
      </c>
      <c r="B633" s="3" t="inlineStr">
        <is>
          <t>SL-S58-05</t>
        </is>
      </c>
      <c r="C633" s="9" t="inlineStr">
        <is>
          <t>v1.0.0-rc.1</t>
        </is>
      </c>
      <c r="D633" s="9" t="inlineStr">
        <is>
          <t>S58</t>
        </is>
      </c>
      <c r="E633" s="3" t="inlineStr">
        <is>
          <t>Compatibilidade / portabilidade</t>
        </is>
      </c>
      <c r="F633" s="3" t="inlineStr">
        <is>
          <t>Próprio</t>
        </is>
      </c>
      <c r="G633" s="3" t="inlineStr">
        <is>
          <t>Implementação</t>
        </is>
      </c>
      <c r="H633" s="3" t="inlineStr">
        <is>
          <t>Concluir backup/restauração</t>
        </is>
      </c>
      <c r="I633" s="3" t="inlineStr">
        <is>
          <t>Validar escopo, manifest, integridade e dry-run do restauro.</t>
        </is>
      </c>
      <c r="J633" s="3" t="inlineStr">
        <is>
          <t>crates/backup/</t>
        </is>
      </c>
      <c r="K633" s="3" t="inlineStr">
        <is>
          <t>Backup de dados confirmados reconstrói autoria e histórico aprovado numa raiz limpa.</t>
        </is>
      </c>
      <c r="L633" s="3" t="inlineStr">
        <is>
          <t>SL-S58-04</t>
        </is>
      </c>
      <c r="M633" s="3" t="inlineStr">
        <is>
          <t>R02; R05; R29; R32; R37</t>
        </is>
      </c>
      <c r="N633" s="10" t="inlineStr">
        <is>
          <t>Não iniciado</t>
        </is>
      </c>
      <c r="O633" s="3" t="inlineStr">
        <is>
          <t>P0</t>
        </is>
      </c>
      <c r="P633" s="3" t="inlineStr">
        <is>
          <t>Crítico</t>
        </is>
      </c>
      <c r="Q633" s="3" t="inlineStr">
        <is>
          <t>Obrigatória no escopo da versão</t>
        </is>
      </c>
      <c r="R633" s="10" t="inlineStr">
        <is>
          <t>Autor + agente de IA</t>
        </is>
      </c>
      <c r="S633" s="10" t="inlineStr"/>
      <c r="T633" s="11" t="inlineStr"/>
      <c r="U633" s="3" t="inlineStr">
        <is>
          <t>reports/S58/SL-S58-05.md</t>
        </is>
      </c>
      <c r="V633" s="10" t="inlineStr"/>
      <c r="W633" s="10" t="inlineStr"/>
      <c r="X633" s="3">
        <f>IF(N633="Concluído",IF(AND(S633&lt;&gt;"",ISNUMBER(T633),T633&gt;0,V633&lt;&gt;"",AND(OR(X632="OK",X632="DISPENSADO"))),"OK","REVISAR"),IF(N633="Dispensado (ADR)",IF(AND(LEFT(Q633,11)="Condicional",W633&lt;&gt;"",S633&lt;&gt;"",ISNUMBER(T633),T633&gt;0,V633&lt;&gt;""),"DISPENSADO","REVISAR"),"PENDENTE"))</f>
        <v/>
      </c>
      <c r="Y633" s="10" t="inlineStr"/>
    </row>
    <row r="634" ht="112" customHeight="1">
      <c r="A634" s="3" t="n">
        <v>633</v>
      </c>
      <c r="B634" s="3" t="inlineStr">
        <is>
          <t>SL-S58-06</t>
        </is>
      </c>
      <c r="C634" s="9" t="inlineStr">
        <is>
          <t>v1.0.0-rc.1</t>
        </is>
      </c>
      <c r="D634" s="9" t="inlineStr">
        <is>
          <t>S58</t>
        </is>
      </c>
      <c r="E634" s="3" t="inlineStr">
        <is>
          <t>Compatibilidade / portabilidade</t>
        </is>
      </c>
      <c r="F634" s="3" t="inlineStr">
        <is>
          <t>Próprio</t>
        </is>
      </c>
      <c r="G634" s="3" t="inlineStr">
        <is>
          <t>Implementação</t>
        </is>
      </c>
      <c r="H634" s="3" t="inlineStr">
        <is>
          <t>Integrar Git local</t>
        </is>
      </c>
      <c r="I634" s="3" t="inlineStr">
        <is>
          <t>Commitar arquivos autorizados com hooks/filters e execução de comandos sob política segura.</t>
        </is>
      </c>
      <c r="J634" s="3" t="inlineStr">
        <is>
          <t>adapters/git/local.rs</t>
        </is>
      </c>
      <c r="K634" s="3" t="inlineStr">
        <is>
          <t>Repositório importado não executa hook/filtro arbitrário por simples abertura.</t>
        </is>
      </c>
      <c r="L634" s="3" t="inlineStr">
        <is>
          <t>SL-S58-05</t>
        </is>
      </c>
      <c r="M634" s="3" t="inlineStr">
        <is>
          <t>R02; R05; R29; R32; R37</t>
        </is>
      </c>
      <c r="N634" s="10" t="inlineStr">
        <is>
          <t>Não iniciado</t>
        </is>
      </c>
      <c r="O634" s="3" t="inlineStr">
        <is>
          <t>P0</t>
        </is>
      </c>
      <c r="P634" s="3" t="inlineStr">
        <is>
          <t>Crítico</t>
        </is>
      </c>
      <c r="Q634" s="3" t="inlineStr">
        <is>
          <t>Obrigatória no escopo da versão</t>
        </is>
      </c>
      <c r="R634" s="10" t="inlineStr">
        <is>
          <t>Autor + agente de IA</t>
        </is>
      </c>
      <c r="S634" s="10" t="inlineStr"/>
      <c r="T634" s="11" t="inlineStr"/>
      <c r="U634" s="3" t="inlineStr">
        <is>
          <t>reports/S58/SL-S58-06.md</t>
        </is>
      </c>
      <c r="V634" s="10" t="inlineStr"/>
      <c r="W634" s="10" t="inlineStr"/>
      <c r="X634" s="3">
        <f>IF(N634="Concluído",IF(AND(S634&lt;&gt;"",ISNUMBER(T634),T634&gt;0,V634&lt;&gt;"",AND(OR(X633="OK",X633="DISPENSADO"))),"OK","REVISAR"),IF(N634="Dispensado (ADR)",IF(AND(LEFT(Q634,11)="Condicional",W634&lt;&gt;"",S634&lt;&gt;"",ISNUMBER(T634),T634&gt;0,V634&lt;&gt;""),"DISPENSADO","REVISAR"),"PENDENTE"))</f>
        <v/>
      </c>
      <c r="Y634" s="10" t="inlineStr"/>
    </row>
    <row r="635" ht="112" customHeight="1">
      <c r="A635" s="3" t="n">
        <v>634</v>
      </c>
      <c r="B635" s="3" t="inlineStr">
        <is>
          <t>SL-S58-07</t>
        </is>
      </c>
      <c r="C635" s="9" t="inlineStr">
        <is>
          <t>v1.0.0-rc.1</t>
        </is>
      </c>
      <c r="D635" s="9" t="inlineStr">
        <is>
          <t>S58</t>
        </is>
      </c>
      <c r="E635" s="3" t="inlineStr">
        <is>
          <t>Compatibilidade / portabilidade</t>
        </is>
      </c>
      <c r="F635" s="3" t="inlineStr">
        <is>
          <t>Próprio</t>
        </is>
      </c>
      <c r="G635" s="3" t="inlineStr">
        <is>
          <t>Implementação</t>
        </is>
      </c>
      <c r="H635" s="3" t="inlineStr">
        <is>
          <t>Integrar remotos opt-in</t>
        </is>
      </c>
      <c r="I635" s="3" t="inlineStr">
        <is>
          <t>Configurar credenciais do SO, preview de conteúdo e confirmação de push/pull.</t>
        </is>
      </c>
      <c r="J635" s="3" t="inlineStr">
        <is>
          <t>adapters/git/remote.rs</t>
        </is>
      </c>
      <c r="K635" s="3" t="inlineStr">
        <is>
          <t>Nenhum remoto é criado ou sincronizado automaticamente; conflitos são explícitos.</t>
        </is>
      </c>
      <c r="L635" s="3" t="inlineStr">
        <is>
          <t>SL-S58-06</t>
        </is>
      </c>
      <c r="M635" s="3" t="inlineStr">
        <is>
          <t>R02; R05; R29; R32; R37</t>
        </is>
      </c>
      <c r="N635" s="10" t="inlineStr">
        <is>
          <t>Não iniciado</t>
        </is>
      </c>
      <c r="O635" s="3" t="inlineStr">
        <is>
          <t>P0</t>
        </is>
      </c>
      <c r="P635" s="3" t="inlineStr">
        <is>
          <t>Crítico</t>
        </is>
      </c>
      <c r="Q635" s="3" t="inlineStr">
        <is>
          <t>Obrigatória no escopo da versão</t>
        </is>
      </c>
      <c r="R635" s="10" t="inlineStr">
        <is>
          <t>Autor + agente de IA</t>
        </is>
      </c>
      <c r="S635" s="10" t="inlineStr"/>
      <c r="T635" s="11" t="inlineStr"/>
      <c r="U635" s="3" t="inlineStr">
        <is>
          <t>reports/S58/SL-S58-07.md</t>
        </is>
      </c>
      <c r="V635" s="10" t="inlineStr"/>
      <c r="W635" s="10" t="inlineStr"/>
      <c r="X635" s="3">
        <f>IF(N635="Concluído",IF(AND(S635&lt;&gt;"",ISNUMBER(T635),T635&gt;0,V635&lt;&gt;"",AND(OR(X634="OK",X634="DISPENSADO"))),"OK","REVISAR"),IF(N635="Dispensado (ADR)",IF(AND(LEFT(Q635,11)="Condicional",W635&lt;&gt;"",S635&lt;&gt;"",ISNUMBER(T635),T635&gt;0,V635&lt;&gt;""),"DISPENSADO","REVISAR"),"PENDENTE"))</f>
        <v/>
      </c>
      <c r="Y635" s="10" t="inlineStr"/>
    </row>
    <row r="636" ht="112" customHeight="1">
      <c r="A636" s="3" t="n">
        <v>635</v>
      </c>
      <c r="B636" s="3" t="inlineStr">
        <is>
          <t>SL-S58-08</t>
        </is>
      </c>
      <c r="C636" s="9" t="inlineStr">
        <is>
          <t>v1.0.0-rc.1</t>
        </is>
      </c>
      <c r="D636" s="9" t="inlineStr">
        <is>
          <t>S58</t>
        </is>
      </c>
      <c r="E636" s="3" t="inlineStr">
        <is>
          <t>Compatibilidade / portabilidade</t>
        </is>
      </c>
      <c r="F636" s="3" t="inlineStr">
        <is>
          <t>Próprio</t>
        </is>
      </c>
      <c r="G636" s="3" t="inlineStr">
        <is>
          <t>Implementação</t>
        </is>
      </c>
      <c r="H636" s="3" t="inlineStr">
        <is>
          <t>Definir retenção e purga</t>
        </is>
      </c>
      <c r="I636" s="3" t="inlineStr">
        <is>
          <t>Separar limpar cache de apagar histórico/assets não referenciados.</t>
        </is>
      </c>
      <c r="J636" s="3" t="inlineStr">
        <is>
          <t>crates/history/src/retention.rs</t>
        </is>
      </c>
      <c r="K636" s="3" t="inlineStr">
        <is>
          <t>Purga com efeito autoral exige confirmação e explica perda de rollback/auditoria.</t>
        </is>
      </c>
      <c r="L636" s="3" t="inlineStr">
        <is>
          <t>SL-S58-07</t>
        </is>
      </c>
      <c r="M636" s="3" t="inlineStr">
        <is>
          <t>R02; R05; R29; R32; R37</t>
        </is>
      </c>
      <c r="N636" s="10" t="inlineStr">
        <is>
          <t>Não iniciado</t>
        </is>
      </c>
      <c r="O636" s="3" t="inlineStr">
        <is>
          <t>P0</t>
        </is>
      </c>
      <c r="P636" s="3" t="inlineStr">
        <is>
          <t>Crítico</t>
        </is>
      </c>
      <c r="Q636" s="3" t="inlineStr">
        <is>
          <t>Obrigatória no escopo da versão</t>
        </is>
      </c>
      <c r="R636" s="10" t="inlineStr">
        <is>
          <t>Autor + agente de IA</t>
        </is>
      </c>
      <c r="S636" s="10" t="inlineStr"/>
      <c r="T636" s="11" t="inlineStr"/>
      <c r="U636" s="3" t="inlineStr">
        <is>
          <t>reports/S58/SL-S58-08.md</t>
        </is>
      </c>
      <c r="V636" s="10" t="inlineStr"/>
      <c r="W636" s="10" t="inlineStr"/>
      <c r="X636" s="3">
        <f>IF(N636="Concluído",IF(AND(S636&lt;&gt;"",ISNUMBER(T636),T636&gt;0,V636&lt;&gt;"",AND(OR(X635="OK",X635="DISPENSADO"))),"OK","REVISAR"),IF(N636="Dispensado (ADR)",IF(AND(LEFT(Q636,11)="Condicional",W636&lt;&gt;"",S636&lt;&gt;"",ISNUMBER(T636),T636&gt;0,V636&lt;&gt;""),"DISPENSADO","REVISAR"),"PENDENTE"))</f>
        <v/>
      </c>
      <c r="Y636" s="10" t="inlineStr"/>
    </row>
    <row r="637" ht="112" customHeight="1">
      <c r="A637" s="3" t="n">
        <v>636</v>
      </c>
      <c r="B637" s="3" t="inlineStr">
        <is>
          <t>SL-S58-09</t>
        </is>
      </c>
      <c r="C637" s="9" t="inlineStr">
        <is>
          <t>v1.0.0-rc.1</t>
        </is>
      </c>
      <c r="D637" s="9" t="inlineStr">
        <is>
          <t>S58</t>
        </is>
      </c>
      <c r="E637" s="3" t="inlineStr">
        <is>
          <t>Compatibilidade / portabilidade</t>
        </is>
      </c>
      <c r="F637" s="3" t="inlineStr">
        <is>
          <t>Próprio</t>
        </is>
      </c>
      <c r="G637" s="3" t="inlineStr">
        <is>
          <t>Teste</t>
        </is>
      </c>
      <c r="H637" s="3" t="inlineStr">
        <is>
          <t>Testar matriz de versões</t>
        </is>
      </c>
      <c r="I637" s="3" t="inlineStr">
        <is>
          <t>Migrar fixtures de versões anteriores e simular downgrade incompatível.</t>
        </is>
      </c>
      <c r="J637" s="3" t="inlineStr">
        <is>
          <t>tests/migrations/v1/</t>
        </is>
      </c>
      <c r="K637" s="3" t="inlineStr">
        <is>
          <t>Dados não são silenciosamente perdidos; impossibilidade de downgrade tem alternativa de export/restore.</t>
        </is>
      </c>
      <c r="L637" s="3" t="inlineStr">
        <is>
          <t>SL-S58-08</t>
        </is>
      </c>
      <c r="M637" s="3" t="inlineStr">
        <is>
          <t>R02; R05; R29; R32; R37</t>
        </is>
      </c>
      <c r="N637" s="10" t="inlineStr">
        <is>
          <t>Não iniciado</t>
        </is>
      </c>
      <c r="O637" s="3" t="inlineStr">
        <is>
          <t>P0</t>
        </is>
      </c>
      <c r="P637" s="3" t="inlineStr">
        <is>
          <t>Crítico</t>
        </is>
      </c>
      <c r="Q637" s="3" t="inlineStr">
        <is>
          <t>Obrigatória no escopo da versão</t>
        </is>
      </c>
      <c r="R637" s="10" t="inlineStr">
        <is>
          <t>Autor + agente de IA</t>
        </is>
      </c>
      <c r="S637" s="10" t="inlineStr"/>
      <c r="T637" s="11" t="inlineStr"/>
      <c r="U637" s="3" t="inlineStr">
        <is>
          <t>reports/S58/SL-S58-09.md</t>
        </is>
      </c>
      <c r="V637" s="10" t="inlineStr"/>
      <c r="W637" s="10" t="inlineStr"/>
      <c r="X637" s="3">
        <f>IF(N637="Concluído",IF(AND(S637&lt;&gt;"",ISNUMBER(T637),T637&gt;0,V637&lt;&gt;"",AND(OR(X636="OK",X636="DISPENSADO"))),"OK","REVISAR"),IF(N637="Dispensado (ADR)",IF(AND(LEFT(Q637,11)="Condicional",W637&lt;&gt;"",S637&lt;&gt;"",ISNUMBER(T637),T637&gt;0,V637&lt;&gt;""),"DISPENSADO","REVISAR"),"PENDENTE"))</f>
        <v/>
      </c>
      <c r="Y637" s="10" t="inlineStr"/>
    </row>
    <row r="638" ht="112" customHeight="1">
      <c r="A638" s="3" t="n">
        <v>637</v>
      </c>
      <c r="B638" s="3" t="inlineStr">
        <is>
          <t>SL-S58-10</t>
        </is>
      </c>
      <c r="C638" s="9" t="inlineStr">
        <is>
          <t>v1.0.0-rc.1</t>
        </is>
      </c>
      <c r="D638" s="9" t="inlineStr">
        <is>
          <t>S58</t>
        </is>
      </c>
      <c r="E638" s="3" t="inlineStr">
        <is>
          <t>Compatibilidade / portabilidade</t>
        </is>
      </c>
      <c r="F638" s="3" t="inlineStr">
        <is>
          <t>Próprio</t>
        </is>
      </c>
      <c r="G638" s="3" t="inlineStr">
        <is>
          <t>Teste</t>
        </is>
      </c>
      <c r="H638" s="3" t="inlineStr">
        <is>
          <t>Restaurar em outro sistema</t>
        </is>
      </c>
      <c r="I638" s="3" t="inlineStr">
        <is>
          <t>Levar backup entre SOs e verificar IDs, fontes, paths e referências.</t>
        </is>
      </c>
      <c r="J638" s="3" t="inlineStr">
        <is>
          <t>reports/portability/v1-restore.md</t>
        </is>
      </c>
      <c r="K638" s="3" t="inlineStr">
        <is>
          <t>Portabilidade não depende de índices ou diretórios específicos da máquina de origem.</t>
        </is>
      </c>
      <c r="L638" s="3" t="inlineStr">
        <is>
          <t>SL-S58-09</t>
        </is>
      </c>
      <c r="M638" s="3" t="inlineStr">
        <is>
          <t>R02; R05; R29; R32; R37</t>
        </is>
      </c>
      <c r="N638" s="10" t="inlineStr">
        <is>
          <t>Não iniciado</t>
        </is>
      </c>
      <c r="O638" s="3" t="inlineStr">
        <is>
          <t>P0</t>
        </is>
      </c>
      <c r="P638" s="3" t="inlineStr">
        <is>
          <t>Crítico</t>
        </is>
      </c>
      <c r="Q638" s="3" t="inlineStr">
        <is>
          <t>Obrigatória no escopo da versão</t>
        </is>
      </c>
      <c r="R638" s="10" t="inlineStr">
        <is>
          <t>Autor + agente de IA</t>
        </is>
      </c>
      <c r="S638" s="10" t="inlineStr"/>
      <c r="T638" s="11" t="inlineStr"/>
      <c r="U638" s="3" t="inlineStr">
        <is>
          <t>reports/S58/SL-S58-10.md</t>
        </is>
      </c>
      <c r="V638" s="10" t="inlineStr"/>
      <c r="W638" s="10" t="inlineStr"/>
      <c r="X638" s="3">
        <f>IF(N638="Concluído",IF(AND(S638&lt;&gt;"",ISNUMBER(T638),T638&gt;0,V638&lt;&gt;"",AND(OR(X637="OK",X637="DISPENSADO"))),"OK","REVISAR"),IF(N638="Dispensado (ADR)",IF(AND(LEFT(Q638,11)="Condicional",W638&lt;&gt;"",S638&lt;&gt;"",ISNUMBER(T638),T638&gt;0,V638&lt;&gt;""),"DISPENSADO","REVISAR"),"PENDENTE"))</f>
        <v/>
      </c>
      <c r="Y638" s="10" t="inlineStr"/>
    </row>
    <row r="639" ht="98" customHeight="1">
      <c r="A639" s="3" t="n">
        <v>638</v>
      </c>
      <c r="B639" s="12" t="inlineStr">
        <is>
          <t>SL-S58-GATE</t>
        </is>
      </c>
      <c r="C639" s="9" t="inlineStr">
        <is>
          <t>v1.0.0-rc.1</t>
        </is>
      </c>
      <c r="D639" s="9" t="inlineStr">
        <is>
          <t>S58</t>
        </is>
      </c>
      <c r="E639" s="3" t="inlineStr">
        <is>
          <t>Compatibilidade / portabilidade</t>
        </is>
      </c>
      <c r="F639" s="3" t="inlineStr">
        <is>
          <t>Aceite humano</t>
        </is>
      </c>
      <c r="G639" s="12" t="inlineStr">
        <is>
          <t>Gate</t>
        </is>
      </c>
      <c r="H639" s="12" t="inlineStr">
        <is>
          <t>Aceitar S58 — Implementar migrações, backup e Git opcional</t>
        </is>
      </c>
      <c r="I639" s="3" t="inlineStr">
        <is>
          <t>Revisar as dez tarefas, executar a demonstração do sprint, confrontar critérios e registrar decisão go/no-go.</t>
        </is>
      </c>
      <c r="J639" s="3" t="inlineStr">
        <is>
          <t>reports/S58/acceptance.md</t>
        </is>
      </c>
      <c r="K639" s="3" t="inlineStr">
        <is>
          <t>Migrar cópia de Vault antigo, restaurar backup e fazer commit/push apenas por ação autorizada. Todas as dependências aceitas; evidências vinculadas a revisão/ambiente; nenhum blocker de integridade/segurança.</t>
        </is>
      </c>
      <c r="L639" s="3" t="inlineStr">
        <is>
          <t>SL-S58-01; SL-S58-02; SL-S58-03; SL-S58-04; SL-S58-05; SL-S58-06; SL-S58-07; SL-S58-08; SL-S58-09; SL-S58-10</t>
        </is>
      </c>
      <c r="M639" s="3" t="inlineStr">
        <is>
          <t>R02; R05; R29; R32; R37</t>
        </is>
      </c>
      <c r="N639" s="10" t="inlineStr">
        <is>
          <t>Não iniciado</t>
        </is>
      </c>
      <c r="O639" s="3" t="inlineStr">
        <is>
          <t>P0</t>
        </is>
      </c>
      <c r="P639" s="3" t="inlineStr">
        <is>
          <t>Crítico</t>
        </is>
      </c>
      <c r="Q639" s="3" t="inlineStr">
        <is>
          <t>Obrigatória para fechar a versão aprovada</t>
        </is>
      </c>
      <c r="R639" s="10" t="inlineStr">
        <is>
          <t>Autor</t>
        </is>
      </c>
      <c r="S639" s="10" t="inlineStr"/>
      <c r="T639" s="11" t="inlineStr"/>
      <c r="U639" s="3" t="inlineStr">
        <is>
          <t>reports/S58/acceptance.md</t>
        </is>
      </c>
      <c r="V639" s="10" t="inlineStr"/>
      <c r="W639" s="10" t="inlineStr"/>
      <c r="X639" s="3">
        <f>IF(N639="Concluído",IF(AND(S639&lt;&gt;"",ISNUMBER(T639),T639&gt;0,V639&lt;&gt;"",AND(OR(X629="OK",X629="DISPENSADO"),OR(X630="OK",X630="DISPENSADO"),OR(X631="OK",X631="DISPENSADO"),OR(X632="OK",X632="DISPENSADO"),OR(X633="OK",X633="DISPENSADO"),OR(X634="OK",X634="DISPENSADO"),OR(X635="OK",X635="DISPENSADO"),OR(X636="OK",X636="DISPENSADO"),OR(X637="OK",X637="DISPENSADO"),OR(X638="OK",X638="DISPENSADO"))),"OK","REVISAR"),IF(N639="Dispensado (ADR)",IF(AND(LEFT(Q639,11)="Condicional",W639&lt;&gt;"",S639&lt;&gt;"",ISNUMBER(T639),T639&gt;0,V639&lt;&gt;""),"DISPENSADO","REVISAR"),"PENDENTE"))</f>
        <v/>
      </c>
      <c r="Y639" s="10" t="inlineStr"/>
    </row>
    <row r="640" ht="112" customHeight="1">
      <c r="A640" s="3" t="n">
        <v>639</v>
      </c>
      <c r="B640" s="3" t="inlineStr">
        <is>
          <t>SL-S59-01</t>
        </is>
      </c>
      <c r="C640" s="9" t="inlineStr">
        <is>
          <t>v1.0.0-rc.1</t>
        </is>
      </c>
      <c r="D640" s="9" t="inlineStr">
        <is>
          <t>S59</t>
        </is>
      </c>
      <c r="E640" s="3" t="inlineStr">
        <is>
          <t>Produto / qualidade de uso</t>
        </is>
      </c>
      <c r="F640" s="3" t="inlineStr">
        <is>
          <t>Próprio</t>
        </is>
      </c>
      <c r="G640" s="3" t="inlineStr">
        <is>
          <t>Teste</t>
        </is>
      </c>
      <c r="H640" s="3" t="inlineStr">
        <is>
          <t>Auditar teclado/foco</t>
        </is>
      </c>
      <c r="I640" s="3" t="inlineStr">
        <is>
          <t>Cobrir Ingest, canvas alternativo acessível, editor, diálogo e copiloto.</t>
        </is>
      </c>
      <c r="J640" s="3" t="inlineStr">
        <is>
          <t>reports/a11y/keyboard-v1.md</t>
        </is>
      </c>
      <c r="K640" s="3" t="inlineStr">
        <is>
          <t>Jornada essencial não contém armadilha de foco ou ação somente por gesto espacial.</t>
        </is>
      </c>
      <c r="L640" s="3" t="inlineStr">
        <is>
          <t>SL-S57-GATE; SL-S58-GATE</t>
        </is>
      </c>
      <c r="M640" s="3" t="inlineStr">
        <is>
          <t>R01; R07; R08; R31; R33; R34</t>
        </is>
      </c>
      <c r="N640" s="10" t="inlineStr">
        <is>
          <t>Não iniciado</t>
        </is>
      </c>
      <c r="O640" s="3" t="inlineStr">
        <is>
          <t>P0</t>
        </is>
      </c>
      <c r="P640" s="3" t="inlineStr">
        <is>
          <t>Crítico</t>
        </is>
      </c>
      <c r="Q640" s="3" t="inlineStr">
        <is>
          <t>Obrigatória no escopo da versão</t>
        </is>
      </c>
      <c r="R640" s="10" t="inlineStr">
        <is>
          <t>Autor + agente de IA</t>
        </is>
      </c>
      <c r="S640" s="10" t="inlineStr"/>
      <c r="T640" s="11" t="inlineStr"/>
      <c r="U640" s="3" t="inlineStr">
        <is>
          <t>reports/S59/SL-S59-01.md</t>
        </is>
      </c>
      <c r="V640" s="10" t="inlineStr"/>
      <c r="W640" s="10" t="inlineStr"/>
      <c r="X640" s="3">
        <f>IF(N640="Concluído",IF(AND(S640&lt;&gt;"",ISNUMBER(T640),T640&gt;0,V640&lt;&gt;"",AND(OR(X628="OK",X628="DISPENSADO"),OR(X639="OK",X639="DISPENSADO"))),"OK","REVISAR"),IF(N640="Dispensado (ADR)",IF(AND(LEFT(Q640,11)="Condicional",W640&lt;&gt;"",S640&lt;&gt;"",ISNUMBER(T640),T640&gt;0,V640&lt;&gt;""),"DISPENSADO","REVISAR"),"PENDENTE"))</f>
        <v/>
      </c>
      <c r="Y640" s="10" t="inlineStr"/>
    </row>
    <row r="641" ht="112" customHeight="1">
      <c r="A641" s="3" t="n">
        <v>640</v>
      </c>
      <c r="B641" s="3" t="inlineStr">
        <is>
          <t>SL-S59-02</t>
        </is>
      </c>
      <c r="C641" s="9" t="inlineStr">
        <is>
          <t>v1.0.0-rc.1</t>
        </is>
      </c>
      <c r="D641" s="9" t="inlineStr">
        <is>
          <t>S59</t>
        </is>
      </c>
      <c r="E641" s="3" t="inlineStr">
        <is>
          <t>Produto / qualidade de uso</t>
        </is>
      </c>
      <c r="F641" s="3" t="inlineStr">
        <is>
          <t>Próprio</t>
        </is>
      </c>
      <c r="G641" s="3" t="inlineStr">
        <is>
          <t>Teste</t>
        </is>
      </c>
      <c r="H641" s="3" t="inlineStr">
        <is>
          <t>Auditar semântica/contraste</t>
        </is>
      </c>
      <c r="I641" s="3" t="inlineStr">
        <is>
          <t>Verificar nomes acessíveis, status, escalas e alternativas aos sinais de cor.</t>
        </is>
      </c>
      <c r="J641" s="3" t="inlineStr">
        <is>
          <t>reports/a11y/interface-v1.md</t>
        </is>
      </c>
      <c r="K641" s="3" t="inlineStr">
        <is>
          <t>Erros e relações não dependem exclusivamente de cor ou imagem.</t>
        </is>
      </c>
      <c r="L641" s="3" t="inlineStr">
        <is>
          <t>SL-S59-01</t>
        </is>
      </c>
      <c r="M641" s="3" t="inlineStr">
        <is>
          <t>R01; R07; R08; R31; R33; R34</t>
        </is>
      </c>
      <c r="N641" s="10" t="inlineStr">
        <is>
          <t>Não iniciado</t>
        </is>
      </c>
      <c r="O641" s="3" t="inlineStr">
        <is>
          <t>P0</t>
        </is>
      </c>
      <c r="P641" s="3" t="inlineStr">
        <is>
          <t>Crítico</t>
        </is>
      </c>
      <c r="Q641" s="3" t="inlineStr">
        <is>
          <t>Obrigatória no escopo da versão</t>
        </is>
      </c>
      <c r="R641" s="10" t="inlineStr">
        <is>
          <t>Autor + agente de IA</t>
        </is>
      </c>
      <c r="S641" s="10" t="inlineStr"/>
      <c r="T641" s="11" t="inlineStr"/>
      <c r="U641" s="3" t="inlineStr">
        <is>
          <t>reports/S59/SL-S59-02.md</t>
        </is>
      </c>
      <c r="V641" s="10" t="inlineStr"/>
      <c r="W641" s="10" t="inlineStr"/>
      <c r="X641" s="3">
        <f>IF(N641="Concluído",IF(AND(S641&lt;&gt;"",ISNUMBER(T641),T641&gt;0,V641&lt;&gt;"",AND(OR(X640="OK",X640="DISPENSADO"))),"OK","REVISAR"),IF(N641="Dispensado (ADR)",IF(AND(LEFT(Q641,11)="Condicional",W641&lt;&gt;"",S641&lt;&gt;"",ISNUMBER(T641),T641&gt;0,V641&lt;&gt;""),"DISPENSADO","REVISAR"),"PENDENTE"))</f>
        <v/>
      </c>
      <c r="Y641" s="10" t="inlineStr"/>
    </row>
    <row r="642" ht="112" customHeight="1">
      <c r="A642" s="3" t="n">
        <v>641</v>
      </c>
      <c r="B642" s="3" t="inlineStr">
        <is>
          <t>SL-S59-03</t>
        </is>
      </c>
      <c r="C642" s="9" t="inlineStr">
        <is>
          <t>v1.0.0-rc.1</t>
        </is>
      </c>
      <c r="D642" s="9" t="inlineStr">
        <is>
          <t>S59</t>
        </is>
      </c>
      <c r="E642" s="3" t="inlineStr">
        <is>
          <t>Produto / qualidade de uso</t>
        </is>
      </c>
      <c r="F642" s="3" t="inlineStr">
        <is>
          <t>Próprio</t>
        </is>
      </c>
      <c r="G642" s="3" t="inlineStr">
        <is>
          <t>Implementação</t>
        </is>
      </c>
      <c r="H642" s="3" t="inlineStr">
        <is>
          <t>Corrigir bloqueios de uso</t>
        </is>
      </c>
      <c r="I642" s="3" t="inlineStr">
        <is>
          <t>Resolver defeitos críticos de navegação, estados vazios e mensagens de recuperação.</t>
        </is>
      </c>
      <c r="J642" s="3" t="inlineStr">
        <is>
          <t>ux/fixes-v1/</t>
        </is>
      </c>
      <c r="K642" s="3" t="inlineStr">
        <is>
          <t>Erro comum oferece ação concreta sem expor jargão interno obrigatório.</t>
        </is>
      </c>
      <c r="L642" s="3" t="inlineStr">
        <is>
          <t>SL-S59-02</t>
        </is>
      </c>
      <c r="M642" s="3" t="inlineStr">
        <is>
          <t>R01; R07; R08; R31; R33; R34</t>
        </is>
      </c>
      <c r="N642" s="10" t="inlineStr">
        <is>
          <t>Não iniciado</t>
        </is>
      </c>
      <c r="O642" s="3" t="inlineStr">
        <is>
          <t>P0</t>
        </is>
      </c>
      <c r="P642" s="3" t="inlineStr">
        <is>
          <t>Crítico</t>
        </is>
      </c>
      <c r="Q642" s="3" t="inlineStr">
        <is>
          <t>Obrigatória no escopo da versão</t>
        </is>
      </c>
      <c r="R642" s="10" t="inlineStr">
        <is>
          <t>Autor + agente de IA</t>
        </is>
      </c>
      <c r="S642" s="10" t="inlineStr"/>
      <c r="T642" s="11" t="inlineStr"/>
      <c r="U642" s="3" t="inlineStr">
        <is>
          <t>reports/S59/SL-S59-03.md</t>
        </is>
      </c>
      <c r="V642" s="10" t="inlineStr"/>
      <c r="W642" s="10" t="inlineStr"/>
      <c r="X642" s="3">
        <f>IF(N642="Concluído",IF(AND(S642&lt;&gt;"",ISNUMBER(T642),T642&gt;0,V642&lt;&gt;"",AND(OR(X641="OK",X641="DISPENSADO"))),"OK","REVISAR"),IF(N642="Dispensado (ADR)",IF(AND(LEFT(Q642,11)="Condicional",W642&lt;&gt;"",S642&lt;&gt;"",ISNUMBER(T642),T642&gt;0,V642&lt;&gt;""),"DISPENSADO","REVISAR"),"PENDENTE"))</f>
        <v/>
      </c>
      <c r="Y642" s="10" t="inlineStr"/>
    </row>
    <row r="643" ht="112" customHeight="1">
      <c r="A643" s="3" t="n">
        <v>642</v>
      </c>
      <c r="B643" s="3" t="inlineStr">
        <is>
          <t>SL-S59-04</t>
        </is>
      </c>
      <c r="C643" s="9" t="inlineStr">
        <is>
          <t>v1.0.0-rc.1</t>
        </is>
      </c>
      <c r="D643" s="9" t="inlineStr">
        <is>
          <t>S59</t>
        </is>
      </c>
      <c r="E643" s="3" t="inlineStr">
        <is>
          <t>Produto / qualidade de uso</t>
        </is>
      </c>
      <c r="F643" s="3" t="inlineStr">
        <is>
          <t>Próprio</t>
        </is>
      </c>
      <c r="G643" s="3" t="inlineStr">
        <is>
          <t>Documentação</t>
        </is>
      </c>
      <c r="H643" s="3" t="inlineStr">
        <is>
          <t>Escrever guia de primeiros passos</t>
        </is>
      </c>
      <c r="I643" s="3" t="inlineStr">
        <is>
          <t>Explicar modos offline/conectado e ciclo Captura→Mesa→Peça.</t>
        </is>
      </c>
      <c r="J643" s="3" t="inlineStr">
        <is>
          <t>docs/user/getting-started.md</t>
        </is>
      </c>
      <c r="K643" s="3" t="inlineStr">
        <is>
          <t>Guia não exige familiaridade com PageIndex, LocalAI, SearxNG ou banco vetorial.</t>
        </is>
      </c>
      <c r="L643" s="3" t="inlineStr">
        <is>
          <t>SL-S59-03</t>
        </is>
      </c>
      <c r="M643" s="3" t="inlineStr">
        <is>
          <t>R01; R07; R08; R31; R33; R34</t>
        </is>
      </c>
      <c r="N643" s="10" t="inlineStr">
        <is>
          <t>Não iniciado</t>
        </is>
      </c>
      <c r="O643" s="3" t="inlineStr">
        <is>
          <t>P0</t>
        </is>
      </c>
      <c r="P643" s="3" t="inlineStr">
        <is>
          <t>Crítico</t>
        </is>
      </c>
      <c r="Q643" s="3" t="inlineStr">
        <is>
          <t>Obrigatória no escopo da versão</t>
        </is>
      </c>
      <c r="R643" s="10" t="inlineStr">
        <is>
          <t>Autor + agente de IA</t>
        </is>
      </c>
      <c r="S643" s="10" t="inlineStr"/>
      <c r="T643" s="11" t="inlineStr"/>
      <c r="U643" s="3" t="inlineStr">
        <is>
          <t>reports/S59/SL-S59-04.md</t>
        </is>
      </c>
      <c r="V643" s="10" t="inlineStr"/>
      <c r="W643" s="10" t="inlineStr"/>
      <c r="X643" s="3">
        <f>IF(N643="Concluído",IF(AND(S643&lt;&gt;"",ISNUMBER(T643),T643&gt;0,V643&lt;&gt;"",AND(OR(X642="OK",X642="DISPENSADO"))),"OK","REVISAR"),IF(N643="Dispensado (ADR)",IF(AND(LEFT(Q643,11)="Condicional",W643&lt;&gt;"",S643&lt;&gt;"",ISNUMBER(T643),T643&gt;0,V643&lt;&gt;""),"DISPENSADO","REVISAR"),"PENDENTE"))</f>
        <v/>
      </c>
      <c r="Y643" s="10" t="inlineStr"/>
    </row>
    <row r="644" ht="112" customHeight="1">
      <c r="A644" s="3" t="n">
        <v>643</v>
      </c>
      <c r="B644" s="3" t="inlineStr">
        <is>
          <t>SL-S59-05</t>
        </is>
      </c>
      <c r="C644" s="9" t="inlineStr">
        <is>
          <t>v1.0.0-rc.1</t>
        </is>
      </c>
      <c r="D644" s="9" t="inlineStr">
        <is>
          <t>S59</t>
        </is>
      </c>
      <c r="E644" s="3" t="inlineStr">
        <is>
          <t>Produto / qualidade de uso</t>
        </is>
      </c>
      <c r="F644" s="3" t="inlineStr">
        <is>
          <t>Próprio</t>
        </is>
      </c>
      <c r="G644" s="3" t="inlineStr">
        <is>
          <t>Documentação</t>
        </is>
      </c>
      <c r="H644" s="3" t="inlineStr">
        <is>
          <t>Escrever guia de dados/recuperação</t>
        </is>
      </c>
      <c r="I644" s="3" t="inlineStr">
        <is>
          <t>Documentar formatos, backup, conflito, migração e reconstrução.</t>
        </is>
      </c>
      <c r="J644" s="3" t="inlineStr">
        <is>
          <t>docs/user/data-and-recovery.md</t>
        </is>
      </c>
      <c r="K644" s="3" t="inlineStr">
        <is>
          <t>Usuário distingue cache descartável de histórico autoral.</t>
        </is>
      </c>
      <c r="L644" s="3" t="inlineStr">
        <is>
          <t>SL-S59-04</t>
        </is>
      </c>
      <c r="M644" s="3" t="inlineStr">
        <is>
          <t>R01; R07; R08; R31; R33; R34</t>
        </is>
      </c>
      <c r="N644" s="10" t="inlineStr">
        <is>
          <t>Não iniciado</t>
        </is>
      </c>
      <c r="O644" s="3" t="inlineStr">
        <is>
          <t>P0</t>
        </is>
      </c>
      <c r="P644" s="3" t="inlineStr">
        <is>
          <t>Crítico</t>
        </is>
      </c>
      <c r="Q644" s="3" t="inlineStr">
        <is>
          <t>Obrigatória no escopo da versão</t>
        </is>
      </c>
      <c r="R644" s="10" t="inlineStr">
        <is>
          <t>Autor + agente de IA</t>
        </is>
      </c>
      <c r="S644" s="10" t="inlineStr"/>
      <c r="T644" s="11" t="inlineStr"/>
      <c r="U644" s="3" t="inlineStr">
        <is>
          <t>reports/S59/SL-S59-05.md</t>
        </is>
      </c>
      <c r="V644" s="10" t="inlineStr"/>
      <c r="W644" s="10" t="inlineStr"/>
      <c r="X644" s="3">
        <f>IF(N644="Concluído",IF(AND(S644&lt;&gt;"",ISNUMBER(T644),T644&gt;0,V644&lt;&gt;"",AND(OR(X643="OK",X643="DISPENSADO"))),"OK","REVISAR"),IF(N644="Dispensado (ADR)",IF(AND(LEFT(Q644,11)="Condicional",W644&lt;&gt;"",S644&lt;&gt;"",ISNUMBER(T644),T644&gt;0,V644&lt;&gt;""),"DISPENSADO","REVISAR"),"PENDENTE"))</f>
        <v/>
      </c>
      <c r="Y644" s="10" t="inlineStr"/>
    </row>
    <row r="645" ht="112" customHeight="1">
      <c r="A645" s="3" t="n">
        <v>644</v>
      </c>
      <c r="B645" s="3" t="inlineStr">
        <is>
          <t>SL-S59-06</t>
        </is>
      </c>
      <c r="C645" s="9" t="inlineStr">
        <is>
          <t>v1.0.0-rc.1</t>
        </is>
      </c>
      <c r="D645" s="9" t="inlineStr">
        <is>
          <t>S59</t>
        </is>
      </c>
      <c r="E645" s="3" t="inlineStr">
        <is>
          <t>Produto / qualidade de uso</t>
        </is>
      </c>
      <c r="F645" s="3" t="inlineStr">
        <is>
          <t>Próprio</t>
        </is>
      </c>
      <c r="G645" s="3" t="inlineStr">
        <is>
          <t>Documentação</t>
        </is>
      </c>
      <c r="H645" s="3" t="inlineStr">
        <is>
          <t>Escrever guia de privacidade</t>
        </is>
      </c>
      <c r="I645" s="3" t="inlineStr">
        <is>
          <t>Mostrar envio Jev/BYOK/web, chaves, logs e revogação.</t>
        </is>
      </c>
      <c r="J645" s="3" t="inlineStr">
        <is>
          <t>docs/user/privacy.md</t>
        </is>
      </c>
      <c r="K645" s="3" t="inlineStr">
        <is>
          <t>Não promete que todos os dados ficam locais quando o usuário habilita serviços externos.</t>
        </is>
      </c>
      <c r="L645" s="3" t="inlineStr">
        <is>
          <t>SL-S59-05</t>
        </is>
      </c>
      <c r="M645" s="3" t="inlineStr">
        <is>
          <t>R01; R07; R08; R31; R33; R34</t>
        </is>
      </c>
      <c r="N645" s="10" t="inlineStr">
        <is>
          <t>Não iniciado</t>
        </is>
      </c>
      <c r="O645" s="3" t="inlineStr">
        <is>
          <t>P0</t>
        </is>
      </c>
      <c r="P645" s="3" t="inlineStr">
        <is>
          <t>Crítico</t>
        </is>
      </c>
      <c r="Q645" s="3" t="inlineStr">
        <is>
          <t>Obrigatória no escopo da versão</t>
        </is>
      </c>
      <c r="R645" s="10" t="inlineStr">
        <is>
          <t>Autor + agente de IA</t>
        </is>
      </c>
      <c r="S645" s="10" t="inlineStr"/>
      <c r="T645" s="11" t="inlineStr"/>
      <c r="U645" s="3" t="inlineStr">
        <is>
          <t>reports/S59/SL-S59-06.md</t>
        </is>
      </c>
      <c r="V645" s="10" t="inlineStr"/>
      <c r="W645" s="10" t="inlineStr"/>
      <c r="X645" s="3">
        <f>IF(N645="Concluído",IF(AND(S645&lt;&gt;"",ISNUMBER(T645),T645&gt;0,V645&lt;&gt;"",AND(OR(X644="OK",X644="DISPENSADO"))),"OK","REVISAR"),IF(N645="Dispensado (ADR)",IF(AND(LEFT(Q645,11)="Condicional",W645&lt;&gt;"",S645&lt;&gt;"",ISNUMBER(T645),T645&gt;0,V645&lt;&gt;""),"DISPENSADO","REVISAR"),"PENDENTE"))</f>
        <v/>
      </c>
      <c r="Y645" s="10" t="inlineStr"/>
    </row>
    <row r="646" ht="112" customHeight="1">
      <c r="A646" s="3" t="n">
        <v>645</v>
      </c>
      <c r="B646" s="3" t="inlineStr">
        <is>
          <t>SL-S59-07</t>
        </is>
      </c>
      <c r="C646" s="9" t="inlineStr">
        <is>
          <t>v1.0.0-rc.1</t>
        </is>
      </c>
      <c r="D646" s="9" t="inlineStr">
        <is>
          <t>S59</t>
        </is>
      </c>
      <c r="E646" s="3" t="inlineStr">
        <is>
          <t>Produto / qualidade de uso</t>
        </is>
      </c>
      <c r="F646" s="3" t="inlineStr">
        <is>
          <t>Próprio</t>
        </is>
      </c>
      <c r="G646" s="3" t="inlineStr">
        <is>
          <t>Documentação</t>
        </is>
      </c>
      <c r="H646" s="3" t="inlineStr">
        <is>
          <t>Escrever guia de contribuição</t>
        </is>
      </c>
      <c r="I646" s="3" t="inlineStr">
        <is>
          <t>Orientar builds, fixtures, contratos, patches upstream e licenças.</t>
        </is>
      </c>
      <c r="J646" s="3" t="inlineStr">
        <is>
          <t>docs/contributing/</t>
        </is>
      </c>
      <c r="K646" s="3" t="inlineStr">
        <is>
          <t>Novo contribuinte consegue executar suíte básica sem credenciais pagas.</t>
        </is>
      </c>
      <c r="L646" s="3" t="inlineStr">
        <is>
          <t>SL-S59-06</t>
        </is>
      </c>
      <c r="M646" s="3" t="inlineStr">
        <is>
          <t>R01; R07; R08; R31; R33; R34</t>
        </is>
      </c>
      <c r="N646" s="10" t="inlineStr">
        <is>
          <t>Não iniciado</t>
        </is>
      </c>
      <c r="O646" s="3" t="inlineStr">
        <is>
          <t>P0</t>
        </is>
      </c>
      <c r="P646" s="3" t="inlineStr">
        <is>
          <t>Crítico</t>
        </is>
      </c>
      <c r="Q646" s="3" t="inlineStr">
        <is>
          <t>Obrigatória no escopo da versão</t>
        </is>
      </c>
      <c r="R646" s="10" t="inlineStr">
        <is>
          <t>Autor + agente de IA</t>
        </is>
      </c>
      <c r="S646" s="10" t="inlineStr"/>
      <c r="T646" s="11" t="inlineStr"/>
      <c r="U646" s="3" t="inlineStr">
        <is>
          <t>reports/S59/SL-S59-07.md</t>
        </is>
      </c>
      <c r="V646" s="10" t="inlineStr"/>
      <c r="W646" s="10" t="inlineStr"/>
      <c r="X646" s="3">
        <f>IF(N646="Concluído",IF(AND(S646&lt;&gt;"",ISNUMBER(T646),T646&gt;0,V646&lt;&gt;"",AND(OR(X645="OK",X645="DISPENSADO"))),"OK","REVISAR"),IF(N646="Dispensado (ADR)",IF(AND(LEFT(Q646,11)="Condicional",W646&lt;&gt;"",S646&lt;&gt;"",ISNUMBER(T646),T646&gt;0,V646&lt;&gt;""),"DISPENSADO","REVISAR"),"PENDENTE"))</f>
        <v/>
      </c>
      <c r="Y646" s="10" t="inlineStr"/>
    </row>
    <row r="647" ht="112" customHeight="1">
      <c r="A647" s="3" t="n">
        <v>646</v>
      </c>
      <c r="B647" s="3" t="inlineStr">
        <is>
          <t>SL-S59-08</t>
        </is>
      </c>
      <c r="C647" s="9" t="inlineStr">
        <is>
          <t>v1.0.0-rc.1</t>
        </is>
      </c>
      <c r="D647" s="9" t="inlineStr">
        <is>
          <t>S59</t>
        </is>
      </c>
      <c r="E647" s="3" t="inlineStr">
        <is>
          <t>Produto / qualidade de uso</t>
        </is>
      </c>
      <c r="F647" s="3" t="inlineStr">
        <is>
          <t>Próprio</t>
        </is>
      </c>
      <c r="G647" s="3" t="inlineStr">
        <is>
          <t>Teste</t>
        </is>
      </c>
      <c r="H647" s="3" t="inlineStr">
        <is>
          <t>Executar piloto com corpus permitido</t>
        </is>
      </c>
      <c r="I647" s="3" t="inlineStr">
        <is>
          <t>Observar jornadas reais ou testes estruturados do mantenedor, distinguindo as modalidades.</t>
        </is>
      </c>
      <c r="J647" s="3" t="inlineStr">
        <is>
          <t>reports/pilot/v1.md</t>
        </is>
      </c>
      <c r="K647" s="3" t="inlineStr">
        <is>
          <t>Feedback não é inventado; origem e limitações da amostra são registradas.</t>
        </is>
      </c>
      <c r="L647" s="3" t="inlineStr">
        <is>
          <t>SL-S59-07</t>
        </is>
      </c>
      <c r="M647" s="3" t="inlineStr">
        <is>
          <t>R01; R07; R08; R31; R33; R34</t>
        </is>
      </c>
      <c r="N647" s="10" t="inlineStr">
        <is>
          <t>Não iniciado</t>
        </is>
      </c>
      <c r="O647" s="3" t="inlineStr">
        <is>
          <t>P0</t>
        </is>
      </c>
      <c r="P647" s="3" t="inlineStr">
        <is>
          <t>Crítico</t>
        </is>
      </c>
      <c r="Q647" s="3" t="inlineStr">
        <is>
          <t>Obrigatória no escopo da versão</t>
        </is>
      </c>
      <c r="R647" s="10" t="inlineStr">
        <is>
          <t>Autor + agente de IA</t>
        </is>
      </c>
      <c r="S647" s="10" t="inlineStr"/>
      <c r="T647" s="11" t="inlineStr"/>
      <c r="U647" s="3" t="inlineStr">
        <is>
          <t>reports/S59/SL-S59-08.md</t>
        </is>
      </c>
      <c r="V647" s="10" t="inlineStr"/>
      <c r="W647" s="10" t="inlineStr"/>
      <c r="X647" s="3">
        <f>IF(N647="Concluído",IF(AND(S647&lt;&gt;"",ISNUMBER(T647),T647&gt;0,V647&lt;&gt;"",AND(OR(X646="OK",X646="DISPENSADO"))),"OK","REVISAR"),IF(N647="Dispensado (ADR)",IF(AND(LEFT(Q647,11)="Condicional",W647&lt;&gt;"",S647&lt;&gt;"",ISNUMBER(T647),T647&gt;0,V647&lt;&gt;""),"DISPENSADO","REVISAR"),"PENDENTE"))</f>
        <v/>
      </c>
      <c r="Y647" s="10" t="inlineStr"/>
    </row>
    <row r="648" ht="112" customHeight="1">
      <c r="A648" s="3" t="n">
        <v>647</v>
      </c>
      <c r="B648" s="3" t="inlineStr">
        <is>
          <t>SL-S59-09</t>
        </is>
      </c>
      <c r="C648" s="9" t="inlineStr">
        <is>
          <t>v1.0.0-rc.1</t>
        </is>
      </c>
      <c r="D648" s="9" t="inlineStr">
        <is>
          <t>S59</t>
        </is>
      </c>
      <c r="E648" s="3" t="inlineStr">
        <is>
          <t>Produto / qualidade de uso</t>
        </is>
      </c>
      <c r="F648" s="3" t="inlineStr">
        <is>
          <t>Próprio</t>
        </is>
      </c>
      <c r="G648" s="3" t="inlineStr">
        <is>
          <t>Governança</t>
        </is>
      </c>
      <c r="H648" s="3" t="inlineStr">
        <is>
          <t>Revisar pendências da RC</t>
        </is>
      </c>
      <c r="I648" s="3" t="inlineStr">
        <is>
          <t>Classificar bugs, segurança, portabilidade e recursos contra critérios fixados.</t>
        </is>
      </c>
      <c r="J648" s="3" t="inlineStr">
        <is>
          <t>reports/releases/v1-rc-readiness.md</t>
        </is>
      </c>
      <c r="K648" s="3" t="inlineStr">
        <is>
          <t>Nenhum defeito crítico fica escondido como trabalho de versão futura.</t>
        </is>
      </c>
      <c r="L648" s="3" t="inlineStr">
        <is>
          <t>SL-S59-08</t>
        </is>
      </c>
      <c r="M648" s="3" t="inlineStr">
        <is>
          <t>R01; R07; R08; R31; R33; R34</t>
        </is>
      </c>
      <c r="N648" s="10" t="inlineStr">
        <is>
          <t>Não iniciado</t>
        </is>
      </c>
      <c r="O648" s="3" t="inlineStr">
        <is>
          <t>P0</t>
        </is>
      </c>
      <c r="P648" s="3" t="inlineStr">
        <is>
          <t>Crítico</t>
        </is>
      </c>
      <c r="Q648" s="3" t="inlineStr">
        <is>
          <t>Obrigatória no escopo da versão</t>
        </is>
      </c>
      <c r="R648" s="10" t="inlineStr">
        <is>
          <t>Autor</t>
        </is>
      </c>
      <c r="S648" s="10" t="inlineStr"/>
      <c r="T648" s="11" t="inlineStr"/>
      <c r="U648" s="3" t="inlineStr">
        <is>
          <t>reports/S59/SL-S59-09.md</t>
        </is>
      </c>
      <c r="V648" s="10" t="inlineStr"/>
      <c r="W648" s="10" t="inlineStr"/>
      <c r="X648" s="3">
        <f>IF(N648="Concluído",IF(AND(S648&lt;&gt;"",ISNUMBER(T648),T648&gt;0,V648&lt;&gt;"",AND(OR(X647="OK",X647="DISPENSADO"))),"OK","REVISAR"),IF(N648="Dispensado (ADR)",IF(AND(LEFT(Q648,11)="Condicional",W648&lt;&gt;"",S648&lt;&gt;"",ISNUMBER(T648),T648&gt;0,V648&lt;&gt;""),"DISPENSADO","REVISAR"),"PENDENTE"))</f>
        <v/>
      </c>
      <c r="Y648" s="10" t="inlineStr"/>
    </row>
    <row r="649" ht="112" customHeight="1">
      <c r="A649" s="3" t="n">
        <v>648</v>
      </c>
      <c r="B649" s="3" t="inlineStr">
        <is>
          <t>SL-S59-10</t>
        </is>
      </c>
      <c r="C649" s="9" t="inlineStr">
        <is>
          <t>v1.0.0-rc.1</t>
        </is>
      </c>
      <c r="D649" s="9" t="inlineStr">
        <is>
          <t>S59</t>
        </is>
      </c>
      <c r="E649" s="3" t="inlineStr">
        <is>
          <t>Produto / qualidade de uso</t>
        </is>
      </c>
      <c r="F649" s="3" t="inlineStr">
        <is>
          <t>Próprio</t>
        </is>
      </c>
      <c r="G649" s="3" t="inlineStr">
        <is>
          <t>Release</t>
        </is>
      </c>
      <c r="H649" s="3" t="inlineStr">
        <is>
          <t>Publicar candidata</t>
        </is>
      </c>
      <c r="I649" s="3" t="inlineStr">
        <is>
          <t>Anexar migrações, rollback, changelog, avisos e matriz de suporte.</t>
        </is>
      </c>
      <c r="J649" s="3" t="inlineStr">
        <is>
          <t>release/v1.0.0-rc.1/</t>
        </is>
      </c>
      <c r="K649" s="3" t="inlineStr">
        <is>
          <t>Fonte e binários correspondem à mesma revisão e evidências da RC.</t>
        </is>
      </c>
      <c r="L649" s="3" t="inlineStr">
        <is>
          <t>SL-S59-09</t>
        </is>
      </c>
      <c r="M649" s="3" t="inlineStr">
        <is>
          <t>R01; R07; R08; R31; R33; R34</t>
        </is>
      </c>
      <c r="N649" s="10" t="inlineStr">
        <is>
          <t>Não iniciado</t>
        </is>
      </c>
      <c r="O649" s="3" t="inlineStr">
        <is>
          <t>P0</t>
        </is>
      </c>
      <c r="P649" s="3" t="inlineStr">
        <is>
          <t>Crítico</t>
        </is>
      </c>
      <c r="Q649" s="3" t="inlineStr">
        <is>
          <t>Obrigatória no escopo da versão</t>
        </is>
      </c>
      <c r="R649" s="10" t="inlineStr">
        <is>
          <t>Autor</t>
        </is>
      </c>
      <c r="S649" s="10" t="inlineStr"/>
      <c r="T649" s="11" t="inlineStr"/>
      <c r="U649" s="3" t="inlineStr">
        <is>
          <t>reports/S59/SL-S59-10.md</t>
        </is>
      </c>
      <c r="V649" s="10" t="inlineStr"/>
      <c r="W649" s="10" t="inlineStr"/>
      <c r="X649" s="3">
        <f>IF(N649="Concluído",IF(AND(S649&lt;&gt;"",ISNUMBER(T649),T649&gt;0,V649&lt;&gt;"",AND(OR(X648="OK",X648="DISPENSADO"))),"OK","REVISAR"),IF(N649="Dispensado (ADR)",IF(AND(LEFT(Q649,11)="Condicional",W649&lt;&gt;"",S649&lt;&gt;"",ISNUMBER(T649),T649&gt;0,V649&lt;&gt;""),"DISPENSADO","REVISAR"),"PENDENTE"))</f>
        <v/>
      </c>
      <c r="Y649" s="10" t="inlineStr"/>
    </row>
    <row r="650" ht="98" customHeight="1">
      <c r="A650" s="3" t="n">
        <v>649</v>
      </c>
      <c r="B650" s="12" t="inlineStr">
        <is>
          <t>SL-S59-GATE</t>
        </is>
      </c>
      <c r="C650" s="9" t="inlineStr">
        <is>
          <t>v1.0.0-rc.1</t>
        </is>
      </c>
      <c r="D650" s="9" t="inlineStr">
        <is>
          <t>S59</t>
        </is>
      </c>
      <c r="E650" s="3" t="inlineStr">
        <is>
          <t>Produto / qualidade de uso</t>
        </is>
      </c>
      <c r="F650" s="3" t="inlineStr">
        <is>
          <t>Aceite humano</t>
        </is>
      </c>
      <c r="G650" s="12" t="inlineStr">
        <is>
          <t>Gate</t>
        </is>
      </c>
      <c r="H650" s="12" t="inlineStr">
        <is>
          <t>Aceitar S59 — Concluir acessibilidade, documentação e piloto</t>
        </is>
      </c>
      <c r="I650" s="3" t="inlineStr">
        <is>
          <t>Revisar as dez tarefas, executar a demonstração do sprint, confrontar critérios e registrar decisão go/no-go.</t>
        </is>
      </c>
      <c r="J650" s="3" t="inlineStr">
        <is>
          <t>reports/S59/acceptance.md</t>
        </is>
      </c>
      <c r="K650" s="3" t="inlineStr">
        <is>
          <t>Usuário novo instala, captura, produz Peça e recupera erro seguindo somente os guias. Todas as dependências aceitas; evidências vinculadas a revisão/ambiente; nenhum blocker de integridade/segurança.</t>
        </is>
      </c>
      <c r="L650" s="3" t="inlineStr">
        <is>
          <t>SL-S59-01; SL-S59-02; SL-S59-03; SL-S59-04; SL-S59-05; SL-S59-06; SL-S59-07; SL-S59-08; SL-S59-09; SL-S59-10</t>
        </is>
      </c>
      <c r="M650" s="3" t="inlineStr">
        <is>
          <t>R01; R07; R08; R31; R33; R34</t>
        </is>
      </c>
      <c r="N650" s="10" t="inlineStr">
        <is>
          <t>Não iniciado</t>
        </is>
      </c>
      <c r="O650" s="3" t="inlineStr">
        <is>
          <t>P0</t>
        </is>
      </c>
      <c r="P650" s="3" t="inlineStr">
        <is>
          <t>Crítico</t>
        </is>
      </c>
      <c r="Q650" s="3" t="inlineStr">
        <is>
          <t>Obrigatória para fechar a versão aprovada</t>
        </is>
      </c>
      <c r="R650" s="10" t="inlineStr">
        <is>
          <t>Autor</t>
        </is>
      </c>
      <c r="S650" s="10" t="inlineStr"/>
      <c r="T650" s="11" t="inlineStr"/>
      <c r="U650" s="3" t="inlineStr">
        <is>
          <t>reports/S59/acceptance.md</t>
        </is>
      </c>
      <c r="V650" s="10" t="inlineStr"/>
      <c r="W650" s="10" t="inlineStr"/>
      <c r="X650" s="3">
        <f>IF(N650="Concluído",IF(AND(S650&lt;&gt;"",ISNUMBER(T650),T650&gt;0,V650&lt;&gt;"",AND(OR(X640="OK",X640="DISPENSADO"),OR(X641="OK",X641="DISPENSADO"),OR(X642="OK",X642="DISPENSADO"),OR(X643="OK",X643="DISPENSADO"),OR(X644="OK",X644="DISPENSADO"),OR(X645="OK",X645="DISPENSADO"),OR(X646="OK",X646="DISPENSADO"),OR(X647="OK",X647="DISPENSADO"),OR(X648="OK",X648="DISPENSADO"),OR(X649="OK",X649="DISPENSADO"))),"OK","REVISAR"),IF(N650="Dispensado (ADR)",IF(AND(LEFT(Q650,11)="Condicional",W650&lt;&gt;"",S650&lt;&gt;"",ISNUMBER(T650),T650&gt;0,V650&lt;&gt;""),"DISPENSADO","REVISAR"),"PENDENTE"))</f>
        <v/>
      </c>
      <c r="Y650" s="10" t="inlineStr"/>
    </row>
    <row r="651" ht="112" customHeight="1">
      <c r="A651" s="3" t="n">
        <v>650</v>
      </c>
      <c r="B651" s="3" t="inlineStr">
        <is>
          <t>SL-S60-01</t>
        </is>
      </c>
      <c r="C651" s="9" t="inlineStr">
        <is>
          <t>v1.0.0</t>
        </is>
      </c>
      <c r="D651" s="9" t="inlineStr">
        <is>
          <t>S60</t>
        </is>
      </c>
      <c r="E651" s="3" t="inlineStr">
        <is>
          <t>Release / escopo integral</t>
        </is>
      </c>
      <c r="F651" s="3" t="inlineStr">
        <is>
          <t>Próprio</t>
        </is>
      </c>
      <c r="G651" s="3" t="inlineStr">
        <is>
          <t>Governança</t>
        </is>
      </c>
      <c r="H651" s="3" t="inlineStr">
        <is>
          <t>Auditar rastreabilidade</t>
        </is>
      </c>
      <c r="I651" s="3" t="inlineStr">
        <is>
          <t>Conferir requisitos R01–R34/R37 aplicáveis contra testes e entregáveis reais.</t>
        </is>
      </c>
      <c r="J651" s="3" t="inlineStr">
        <is>
          <t>reports/releases/v1-traceability.md</t>
        </is>
      </c>
      <c r="K651" s="3" t="inlineStr">
        <is>
          <t>Cada requisito essencial tem evidência, e não apenas tarefa marcada concluída.</t>
        </is>
      </c>
      <c r="L651" s="3" t="inlineStr">
        <is>
          <t>SL-S54-GATE; SL-S55-GATE; SL-S56-GATE; SL-S57-GATE; SL-S58-GATE; SL-S59-GATE</t>
        </is>
      </c>
      <c r="M651" s="3" t="inlineStr">
        <is>
          <t>R01; R02; R05; R06; R07; R09; R33; R34</t>
        </is>
      </c>
      <c r="N651" s="10" t="inlineStr">
        <is>
          <t>Não iniciado</t>
        </is>
      </c>
      <c r="O651" s="3" t="inlineStr">
        <is>
          <t>P0</t>
        </is>
      </c>
      <c r="P651" s="3" t="inlineStr">
        <is>
          <t>Crítico</t>
        </is>
      </c>
      <c r="Q651" s="3" t="inlineStr">
        <is>
          <t>Obrigatória no escopo da versão</t>
        </is>
      </c>
      <c r="R651" s="10" t="inlineStr">
        <is>
          <t>Autor</t>
        </is>
      </c>
      <c r="S651" s="10" t="inlineStr"/>
      <c r="T651" s="11" t="inlineStr"/>
      <c r="U651" s="3" t="inlineStr">
        <is>
          <t>reports/S60/SL-S60-01.md</t>
        </is>
      </c>
      <c r="V651" s="10" t="inlineStr"/>
      <c r="W651" s="10" t="inlineStr"/>
      <c r="X651" s="3">
        <f>IF(N651="Concluído",IF(AND(S651&lt;&gt;"",ISNUMBER(T651),T651&gt;0,V651&lt;&gt;"",AND(OR(X595="OK",X595="DISPENSADO"),OR(X606="OK",X606="DISPENSADO"),OR(X617="OK",X617="DISPENSADO"),OR(X628="OK",X628="DISPENSADO"),OR(X639="OK",X639="DISPENSADO"),OR(X650="OK",X650="DISPENSADO"))),"OK","REVISAR"),IF(N651="Dispensado (ADR)",IF(AND(LEFT(Q651,11)="Condicional",W651&lt;&gt;"",S651&lt;&gt;"",ISNUMBER(T651),T651&gt;0,V651&lt;&gt;""),"DISPENSADO","REVISAR"),"PENDENTE"))</f>
        <v/>
      </c>
      <c r="Y651" s="10" t="inlineStr"/>
    </row>
    <row r="652" ht="112" customHeight="1">
      <c r="A652" s="3" t="n">
        <v>651</v>
      </c>
      <c r="B652" s="3" t="inlineStr">
        <is>
          <t>SL-S60-02</t>
        </is>
      </c>
      <c r="C652" s="9" t="inlineStr">
        <is>
          <t>v1.0.0</t>
        </is>
      </c>
      <c r="D652" s="9" t="inlineStr">
        <is>
          <t>S60</t>
        </is>
      </c>
      <c r="E652" s="3" t="inlineStr">
        <is>
          <t>Release / escopo integral</t>
        </is>
      </c>
      <c r="F652" s="3" t="inlineStr">
        <is>
          <t>Próprio</t>
        </is>
      </c>
      <c r="G652" s="3" t="inlineStr">
        <is>
          <t>Teste</t>
        </is>
      </c>
      <c r="H652" s="3" t="inlineStr">
        <is>
          <t>Rodar suíte final na revisão candidata</t>
        </is>
      </c>
      <c r="I652" s="3" t="inlineStr">
        <is>
          <t>Reexecutar contratos, e2e, segurança, migrações e recursos relevantes.</t>
        </is>
      </c>
      <c r="J652" s="3" t="inlineStr">
        <is>
          <t>reports/releases/v1-final-suite.json</t>
        </is>
      </c>
      <c r="K652" s="3" t="inlineStr">
        <is>
          <t>Resultados pertencem ao commit que será publicado, não a uma versão anterior parecida.</t>
        </is>
      </c>
      <c r="L652" s="3" t="inlineStr">
        <is>
          <t>SL-S60-01</t>
        </is>
      </c>
      <c r="M652" s="3" t="inlineStr">
        <is>
          <t>R01; R02; R05; R06; R07; R09; R33; R34</t>
        </is>
      </c>
      <c r="N652" s="10" t="inlineStr">
        <is>
          <t>Não iniciado</t>
        </is>
      </c>
      <c r="O652" s="3" t="inlineStr">
        <is>
          <t>P0</t>
        </is>
      </c>
      <c r="P652" s="3" t="inlineStr">
        <is>
          <t>Crítico</t>
        </is>
      </c>
      <c r="Q652" s="3" t="inlineStr">
        <is>
          <t>Obrigatória no escopo da versão</t>
        </is>
      </c>
      <c r="R652" s="10" t="inlineStr">
        <is>
          <t>Autor + agente de IA</t>
        </is>
      </c>
      <c r="S652" s="10" t="inlineStr"/>
      <c r="T652" s="11" t="inlineStr"/>
      <c r="U652" s="3" t="inlineStr">
        <is>
          <t>reports/S60/SL-S60-02.md</t>
        </is>
      </c>
      <c r="V652" s="10" t="inlineStr"/>
      <c r="W652" s="10" t="inlineStr"/>
      <c r="X652" s="3">
        <f>IF(N652="Concluído",IF(AND(S652&lt;&gt;"",ISNUMBER(T652),T652&gt;0,V652&lt;&gt;"",AND(OR(X651="OK",X651="DISPENSADO"))),"OK","REVISAR"),IF(N652="Dispensado (ADR)",IF(AND(LEFT(Q652,11)="Condicional",W652&lt;&gt;"",S652&lt;&gt;"",ISNUMBER(T652),T652&gt;0,V652&lt;&gt;""),"DISPENSADO","REVISAR"),"PENDENTE"))</f>
        <v/>
      </c>
      <c r="Y652" s="10" t="inlineStr"/>
    </row>
    <row r="653" ht="112" customHeight="1">
      <c r="A653" s="3" t="n">
        <v>652</v>
      </c>
      <c r="B653" s="3" t="inlineStr">
        <is>
          <t>SL-S60-03</t>
        </is>
      </c>
      <c r="C653" s="9" t="inlineStr">
        <is>
          <t>v1.0.0</t>
        </is>
      </c>
      <c r="D653" s="9" t="inlineStr">
        <is>
          <t>S60</t>
        </is>
      </c>
      <c r="E653" s="3" t="inlineStr">
        <is>
          <t>Release / escopo integral</t>
        </is>
      </c>
      <c r="F653" s="3" t="inlineStr">
        <is>
          <t>Próprio</t>
        </is>
      </c>
      <c r="G653" s="3" t="inlineStr">
        <is>
          <t>Teste</t>
        </is>
      </c>
      <c r="H653" s="3" t="inlineStr">
        <is>
          <t>Repetir destruição de caches</t>
        </is>
      </c>
      <c r="I653" s="3" t="inlineStr">
        <is>
          <t>Executar prova oficial de soberania no pacote final.</t>
        </is>
      </c>
      <c r="J653" s="3" t="inlineStr">
        <is>
          <t>reports/releases/v1-file-truth.json</t>
        </is>
      </c>
      <c r="K653" s="3" t="inlineStr">
        <is>
          <t>Todos os dados autorais previstos reaparecem sem depender dos motores de índice.</t>
        </is>
      </c>
      <c r="L653" s="3" t="inlineStr">
        <is>
          <t>SL-S60-02</t>
        </is>
      </c>
      <c r="M653" s="3" t="inlineStr">
        <is>
          <t>R01; R02; R05; R06; R07; R09; R33; R34</t>
        </is>
      </c>
      <c r="N653" s="10" t="inlineStr">
        <is>
          <t>Não iniciado</t>
        </is>
      </c>
      <c r="O653" s="3" t="inlineStr">
        <is>
          <t>P0</t>
        </is>
      </c>
      <c r="P653" s="3" t="inlineStr">
        <is>
          <t>Crítico</t>
        </is>
      </c>
      <c r="Q653" s="3" t="inlineStr">
        <is>
          <t>Obrigatória no escopo da versão</t>
        </is>
      </c>
      <c r="R653" s="10" t="inlineStr">
        <is>
          <t>Autor + agente de IA</t>
        </is>
      </c>
      <c r="S653" s="10" t="inlineStr"/>
      <c r="T653" s="11" t="inlineStr"/>
      <c r="U653" s="3" t="inlineStr">
        <is>
          <t>reports/S60/SL-S60-03.md</t>
        </is>
      </c>
      <c r="V653" s="10" t="inlineStr"/>
      <c r="W653" s="10" t="inlineStr"/>
      <c r="X653" s="3">
        <f>IF(N653="Concluído",IF(AND(S653&lt;&gt;"",ISNUMBER(T653),T653&gt;0,V653&lt;&gt;"",AND(OR(X652="OK",X652="DISPENSADO"))),"OK","REVISAR"),IF(N653="Dispensado (ADR)",IF(AND(LEFT(Q653,11)="Condicional",W653&lt;&gt;"",S653&lt;&gt;"",ISNUMBER(T653),T653&gt;0,V653&lt;&gt;""),"DISPENSADO","REVISAR"),"PENDENTE"))</f>
        <v/>
      </c>
      <c r="Y653" s="10" t="inlineStr"/>
    </row>
    <row r="654" ht="112" customHeight="1">
      <c r="A654" s="3" t="n">
        <v>653</v>
      </c>
      <c r="B654" s="3" t="inlineStr">
        <is>
          <t>SL-S60-04</t>
        </is>
      </c>
      <c r="C654" s="9" t="inlineStr">
        <is>
          <t>v1.0.0</t>
        </is>
      </c>
      <c r="D654" s="9" t="inlineStr">
        <is>
          <t>S60</t>
        </is>
      </c>
      <c r="E654" s="3" t="inlineStr">
        <is>
          <t>Release / escopo integral</t>
        </is>
      </c>
      <c r="F654" s="3" t="inlineStr">
        <is>
          <t>Próprio</t>
        </is>
      </c>
      <c r="G654" s="3" t="inlineStr">
        <is>
          <t>Teste</t>
        </is>
      </c>
      <c r="H654" s="3" t="inlineStr">
        <is>
          <t>Repetir modo desconectado</t>
        </is>
      </c>
      <c r="I654" s="3" t="inlineStr">
        <is>
          <t>Bloquear rede em instalação com pacotes provisionados.</t>
        </is>
      </c>
      <c r="J654" s="3" t="inlineStr">
        <is>
          <t>reports/releases/v1-offline.json</t>
        </is>
      </c>
      <c r="K654" s="3" t="inlineStr">
        <is>
          <t>Funções locais essenciais funcionam e não há egress inesperado.</t>
        </is>
      </c>
      <c r="L654" s="3" t="inlineStr">
        <is>
          <t>SL-S60-03</t>
        </is>
      </c>
      <c r="M654" s="3" t="inlineStr">
        <is>
          <t>R01; R02; R05; R06; R07; R09; R33; R34</t>
        </is>
      </c>
      <c r="N654" s="10" t="inlineStr">
        <is>
          <t>Não iniciado</t>
        </is>
      </c>
      <c r="O654" s="3" t="inlineStr">
        <is>
          <t>P0</t>
        </is>
      </c>
      <c r="P654" s="3" t="inlineStr">
        <is>
          <t>Crítico</t>
        </is>
      </c>
      <c r="Q654" s="3" t="inlineStr">
        <is>
          <t>Obrigatória no escopo da versão</t>
        </is>
      </c>
      <c r="R654" s="10" t="inlineStr">
        <is>
          <t>Autor + agente de IA</t>
        </is>
      </c>
      <c r="S654" s="10" t="inlineStr"/>
      <c r="T654" s="11" t="inlineStr"/>
      <c r="U654" s="3" t="inlineStr">
        <is>
          <t>reports/S60/SL-S60-04.md</t>
        </is>
      </c>
      <c r="V654" s="10" t="inlineStr"/>
      <c r="W654" s="10" t="inlineStr"/>
      <c r="X654" s="3">
        <f>IF(N654="Concluído",IF(AND(S654&lt;&gt;"",ISNUMBER(T654),T654&gt;0,V654&lt;&gt;"",AND(OR(X653="OK",X653="DISPENSADO"))),"OK","REVISAR"),IF(N654="Dispensado (ADR)",IF(AND(LEFT(Q654,11)="Condicional",W654&lt;&gt;"",S654&lt;&gt;"",ISNUMBER(T654),T654&gt;0,V654&lt;&gt;""),"DISPENSADO","REVISAR"),"PENDENTE"))</f>
        <v/>
      </c>
      <c r="Y654" s="10" t="inlineStr"/>
    </row>
    <row r="655" ht="112" customHeight="1">
      <c r="A655" s="3" t="n">
        <v>654</v>
      </c>
      <c r="B655" s="3" t="inlineStr">
        <is>
          <t>SL-S60-05</t>
        </is>
      </c>
      <c r="C655" s="9" t="inlineStr">
        <is>
          <t>v1.0.0</t>
        </is>
      </c>
      <c r="D655" s="9" t="inlineStr">
        <is>
          <t>S60</t>
        </is>
      </c>
      <c r="E655" s="3" t="inlineStr">
        <is>
          <t>Release / escopo integral</t>
        </is>
      </c>
      <c r="F655" s="3" t="inlineStr">
        <is>
          <t>Próprio</t>
        </is>
      </c>
      <c r="G655" s="3" t="inlineStr">
        <is>
          <t>Licença</t>
        </is>
      </c>
      <c r="H655" s="3" t="inlineStr">
        <is>
          <t>Fechar conformidade</t>
        </is>
      </c>
      <c r="I655" s="3" t="inlineStr">
        <is>
          <t>Revisar SBOM, notices, fontes correspondentes e licenças dos modelos distribuídos.</t>
        </is>
      </c>
      <c r="J655" s="3" t="inlineStr">
        <is>
          <t>compliance/releases/v1.0.0/</t>
        </is>
      </c>
      <c r="K655" s="3" t="inlineStr">
        <is>
          <t>Natureza não comercial não é usada como isenção de obrigação ou custo de API.</t>
        </is>
      </c>
      <c r="L655" s="3" t="inlineStr">
        <is>
          <t>SL-S60-04</t>
        </is>
      </c>
      <c r="M655" s="3" t="inlineStr">
        <is>
          <t>R01; R02; R05; R06; R07; R09; R33; R34</t>
        </is>
      </c>
      <c r="N655" s="10" t="inlineStr">
        <is>
          <t>Não iniciado</t>
        </is>
      </c>
      <c r="O655" s="3" t="inlineStr">
        <is>
          <t>P0</t>
        </is>
      </c>
      <c r="P655" s="3" t="inlineStr">
        <is>
          <t>Crítico</t>
        </is>
      </c>
      <c r="Q655" s="3" t="inlineStr">
        <is>
          <t>Obrigatória no escopo da versão</t>
        </is>
      </c>
      <c r="R655" s="10" t="inlineStr">
        <is>
          <t>Autor</t>
        </is>
      </c>
      <c r="S655" s="10" t="inlineStr"/>
      <c r="T655" s="11" t="inlineStr"/>
      <c r="U655" s="3" t="inlineStr">
        <is>
          <t>reports/S60/SL-S60-05.md</t>
        </is>
      </c>
      <c r="V655" s="10" t="inlineStr"/>
      <c r="W655" s="10" t="inlineStr"/>
      <c r="X655" s="3">
        <f>IF(N655="Concluído",IF(AND(S655&lt;&gt;"",ISNUMBER(T655),T655&gt;0,V655&lt;&gt;"",AND(OR(X654="OK",X654="DISPENSADO"))),"OK","REVISAR"),IF(N655="Dispensado (ADR)",IF(AND(LEFT(Q655,11)="Condicional",W655&lt;&gt;"",S655&lt;&gt;"",ISNUMBER(T655),T655&gt;0,V655&lt;&gt;""),"DISPENSADO","REVISAR"),"PENDENTE"))</f>
        <v/>
      </c>
      <c r="Y655" s="10" t="inlineStr"/>
    </row>
    <row r="656" ht="112" customHeight="1">
      <c r="A656" s="3" t="n">
        <v>655</v>
      </c>
      <c r="B656" s="3" t="inlineStr">
        <is>
          <t>SL-S60-06</t>
        </is>
      </c>
      <c r="C656" s="9" t="inlineStr">
        <is>
          <t>v1.0.0</t>
        </is>
      </c>
      <c r="D656" s="9" t="inlineStr">
        <is>
          <t>S60</t>
        </is>
      </c>
      <c r="E656" s="3" t="inlineStr">
        <is>
          <t>Release / escopo integral</t>
        </is>
      </c>
      <c r="F656" s="3" t="inlineStr">
        <is>
          <t>Próprio</t>
        </is>
      </c>
      <c r="G656" s="3" t="inlineStr">
        <is>
          <t>Release</t>
        </is>
      </c>
      <c r="H656" s="3" t="inlineStr">
        <is>
          <t>Congelar e verificar artefatos</t>
        </is>
      </c>
      <c r="I656" s="3" t="inlineStr">
        <is>
          <t>Gerar hashes/assinaturas, registrar ambiente e associar fontes/lockfiles.</t>
        </is>
      </c>
      <c r="J656" s="3" t="inlineStr">
        <is>
          <t>release/v1.0.0/manifest.json</t>
        </is>
      </c>
      <c r="K656" s="3" t="inlineStr">
        <is>
          <t>Cada arquivo baixável corresponde a origem e versão auditáveis.</t>
        </is>
      </c>
      <c r="L656" s="3" t="inlineStr">
        <is>
          <t>SL-S60-05</t>
        </is>
      </c>
      <c r="M656" s="3" t="inlineStr">
        <is>
          <t>R01; R02; R05; R06; R07; R09; R33; R34</t>
        </is>
      </c>
      <c r="N656" s="10" t="inlineStr">
        <is>
          <t>Não iniciado</t>
        </is>
      </c>
      <c r="O656" s="3" t="inlineStr">
        <is>
          <t>P0</t>
        </is>
      </c>
      <c r="P656" s="3" t="inlineStr">
        <is>
          <t>Crítico</t>
        </is>
      </c>
      <c r="Q656" s="3" t="inlineStr">
        <is>
          <t>Obrigatória no escopo da versão</t>
        </is>
      </c>
      <c r="R656" s="10" t="inlineStr">
        <is>
          <t>Autor</t>
        </is>
      </c>
      <c r="S656" s="10" t="inlineStr"/>
      <c r="T656" s="11" t="inlineStr"/>
      <c r="U656" s="3" t="inlineStr">
        <is>
          <t>reports/S60/SL-S60-06.md</t>
        </is>
      </c>
      <c r="V656" s="10" t="inlineStr"/>
      <c r="W656" s="10" t="inlineStr"/>
      <c r="X656" s="3">
        <f>IF(N656="Concluído",IF(AND(S656&lt;&gt;"",ISNUMBER(T656),T656&gt;0,V656&lt;&gt;"",AND(OR(X655="OK",X655="DISPENSADO"))),"OK","REVISAR"),IF(N656="Dispensado (ADR)",IF(AND(LEFT(Q656,11)="Condicional",W656&lt;&gt;"",S656&lt;&gt;"",ISNUMBER(T656),T656&gt;0,V656&lt;&gt;""),"DISPENSADO","REVISAR"),"PENDENTE"))</f>
        <v/>
      </c>
      <c r="Y656" s="10" t="inlineStr"/>
    </row>
    <row r="657" ht="112" customHeight="1">
      <c r="A657" s="3" t="n">
        <v>656</v>
      </c>
      <c r="B657" s="3" t="inlineStr">
        <is>
          <t>SL-S60-07</t>
        </is>
      </c>
      <c r="C657" s="9" t="inlineStr">
        <is>
          <t>v1.0.0</t>
        </is>
      </c>
      <c r="D657" s="9" t="inlineStr">
        <is>
          <t>S60</t>
        </is>
      </c>
      <c r="E657" s="3" t="inlineStr">
        <is>
          <t>Release / escopo integral</t>
        </is>
      </c>
      <c r="F657" s="3" t="inlineStr">
        <is>
          <t>Próprio</t>
        </is>
      </c>
      <c r="G657" s="3" t="inlineStr">
        <is>
          <t>Documentação</t>
        </is>
      </c>
      <c r="H657" s="3" t="inlineStr">
        <is>
          <t>Publicar notas de versão</t>
        </is>
      </c>
      <c r="I657" s="3" t="inlineStr">
        <is>
          <t>Explicar capacidades, mínimos, limitações, atualização e rollback.</t>
        </is>
      </c>
      <c r="J657" s="3" t="inlineStr">
        <is>
          <t>docs/releases/v1.0.0.md</t>
        </is>
      </c>
      <c r="K657" s="3" t="inlineStr">
        <is>
          <t>Não há claim de performance/segurança que exceda a matriz homologada.</t>
        </is>
      </c>
      <c r="L657" s="3" t="inlineStr">
        <is>
          <t>SL-S60-06</t>
        </is>
      </c>
      <c r="M657" s="3" t="inlineStr">
        <is>
          <t>R01; R02; R05; R06; R07; R09; R33; R34</t>
        </is>
      </c>
      <c r="N657" s="10" t="inlineStr">
        <is>
          <t>Não iniciado</t>
        </is>
      </c>
      <c r="O657" s="3" t="inlineStr">
        <is>
          <t>P0</t>
        </is>
      </c>
      <c r="P657" s="3" t="inlineStr">
        <is>
          <t>Crítico</t>
        </is>
      </c>
      <c r="Q657" s="3" t="inlineStr">
        <is>
          <t>Obrigatória no escopo da versão</t>
        </is>
      </c>
      <c r="R657" s="10" t="inlineStr">
        <is>
          <t>Autor + agente de IA</t>
        </is>
      </c>
      <c r="S657" s="10" t="inlineStr"/>
      <c r="T657" s="11" t="inlineStr"/>
      <c r="U657" s="3" t="inlineStr">
        <is>
          <t>reports/S60/SL-S60-07.md</t>
        </is>
      </c>
      <c r="V657" s="10" t="inlineStr"/>
      <c r="W657" s="10" t="inlineStr"/>
      <c r="X657" s="3">
        <f>IF(N657="Concluído",IF(AND(S657&lt;&gt;"",ISNUMBER(T657),T657&gt;0,V657&lt;&gt;"",AND(OR(X656="OK",X656="DISPENSADO"))),"OK","REVISAR"),IF(N657="Dispensado (ADR)",IF(AND(LEFT(Q657,11)="Condicional",W657&lt;&gt;"",S657&lt;&gt;"",ISNUMBER(T657),T657&gt;0,V657&lt;&gt;""),"DISPENSADO","REVISAR"),"PENDENTE"))</f>
        <v/>
      </c>
      <c r="Y657" s="10" t="inlineStr"/>
    </row>
    <row r="658" ht="112" customHeight="1">
      <c r="A658" s="3" t="n">
        <v>657</v>
      </c>
      <c r="B658" s="3" t="inlineStr">
        <is>
          <t>SL-S60-08</t>
        </is>
      </c>
      <c r="C658" s="9" t="inlineStr">
        <is>
          <t>v1.0.0</t>
        </is>
      </c>
      <c r="D658" s="9" t="inlineStr">
        <is>
          <t>S60</t>
        </is>
      </c>
      <c r="E658" s="3" t="inlineStr">
        <is>
          <t>Release / escopo integral</t>
        </is>
      </c>
      <c r="F658" s="3" t="inlineStr">
        <is>
          <t>Próprio</t>
        </is>
      </c>
      <c r="G658" s="3" t="inlineStr">
        <is>
          <t>Governança</t>
        </is>
      </c>
      <c r="H658" s="3" t="inlineStr">
        <is>
          <t>Definir suporte e vulnerabilidades</t>
        </is>
      </c>
      <c r="I658" s="3" t="inlineStr">
        <is>
          <t>Criar canal, política de triagem e processo de patch emergencial.</t>
        </is>
      </c>
      <c r="J658" s="3" t="inlineStr">
        <is>
          <t>SECURITY.md</t>
        </is>
      </c>
      <c r="K658" s="3" t="inlineStr">
        <is>
          <t>Relato crítico pode interromper roadmap e gerar patch sem aguardar próximo sprint de feature.</t>
        </is>
      </c>
      <c r="L658" s="3" t="inlineStr">
        <is>
          <t>SL-S60-07</t>
        </is>
      </c>
      <c r="M658" s="3" t="inlineStr">
        <is>
          <t>R01; R02; R05; R06; R07; R09; R33; R34</t>
        </is>
      </c>
      <c r="N658" s="10" t="inlineStr">
        <is>
          <t>Não iniciado</t>
        </is>
      </c>
      <c r="O658" s="3" t="inlineStr">
        <is>
          <t>P0</t>
        </is>
      </c>
      <c r="P658" s="3" t="inlineStr">
        <is>
          <t>Crítico</t>
        </is>
      </c>
      <c r="Q658" s="3" t="inlineStr">
        <is>
          <t>Obrigatória no escopo da versão</t>
        </is>
      </c>
      <c r="R658" s="10" t="inlineStr">
        <is>
          <t>Autor</t>
        </is>
      </c>
      <c r="S658" s="10" t="inlineStr"/>
      <c r="T658" s="11" t="inlineStr"/>
      <c r="U658" s="3" t="inlineStr">
        <is>
          <t>reports/S60/SL-S60-08.md</t>
        </is>
      </c>
      <c r="V658" s="10" t="inlineStr"/>
      <c r="W658" s="10" t="inlineStr"/>
      <c r="X658" s="3">
        <f>IF(N658="Concluído",IF(AND(S658&lt;&gt;"",ISNUMBER(T658),T658&gt;0,V658&lt;&gt;"",AND(OR(X657="OK",X657="DISPENSADO"))),"OK","REVISAR"),IF(N658="Dispensado (ADR)",IF(AND(LEFT(Q658,11)="Condicional",W658&lt;&gt;"",S658&lt;&gt;"",ISNUMBER(T658),T658&gt;0,V658&lt;&gt;""),"DISPENSADO","REVISAR"),"PENDENTE"))</f>
        <v/>
      </c>
      <c r="Y658" s="10" t="inlineStr"/>
    </row>
    <row r="659" ht="112" customHeight="1">
      <c r="A659" s="3" t="n">
        <v>658</v>
      </c>
      <c r="B659" s="3" t="inlineStr">
        <is>
          <t>SL-S60-09</t>
        </is>
      </c>
      <c r="C659" s="9" t="inlineStr">
        <is>
          <t>v1.0.0</t>
        </is>
      </c>
      <c r="D659" s="9" t="inlineStr">
        <is>
          <t>S60</t>
        </is>
      </c>
      <c r="E659" s="3" t="inlineStr">
        <is>
          <t>Release / escopo integral</t>
        </is>
      </c>
      <c r="F659" s="3" t="inlineStr">
        <is>
          <t>Próprio</t>
        </is>
      </c>
      <c r="G659" s="3" t="inlineStr">
        <is>
          <t>Decisão</t>
        </is>
      </c>
      <c r="H659" s="3" t="inlineStr">
        <is>
          <t>Fazer go/no-go humano</t>
        </is>
      </c>
      <c r="I659" s="3" t="inlineStr">
        <is>
          <t>Revisar blockers, demonstração e disponibilidade de artefatos.</t>
        </is>
      </c>
      <c r="J659" s="3" t="inlineStr">
        <is>
          <t>reports/releases/v1-go-no-go.md</t>
        </is>
      </c>
      <c r="K659" s="3" t="inlineStr">
        <is>
          <t>Autor assina decisão; agente não aprova automaticamente a própria implementação.</t>
        </is>
      </c>
      <c r="L659" s="3" t="inlineStr">
        <is>
          <t>SL-S60-08</t>
        </is>
      </c>
      <c r="M659" s="3" t="inlineStr">
        <is>
          <t>R01; R02; R05; R06; R07; R09; R33; R34</t>
        </is>
      </c>
      <c r="N659" s="10" t="inlineStr">
        <is>
          <t>Não iniciado</t>
        </is>
      </c>
      <c r="O659" s="3" t="inlineStr">
        <is>
          <t>P0</t>
        </is>
      </c>
      <c r="P659" s="3" t="inlineStr">
        <is>
          <t>Crítico</t>
        </is>
      </c>
      <c r="Q659" s="3" t="inlineStr">
        <is>
          <t>Obrigatória no escopo da versão</t>
        </is>
      </c>
      <c r="R659" s="10" t="inlineStr">
        <is>
          <t>Autor</t>
        </is>
      </c>
      <c r="S659" s="10" t="inlineStr"/>
      <c r="T659" s="11" t="inlineStr"/>
      <c r="U659" s="3" t="inlineStr">
        <is>
          <t>reports/S60/SL-S60-09.md</t>
        </is>
      </c>
      <c r="V659" s="10" t="inlineStr"/>
      <c r="W659" s="10" t="inlineStr"/>
      <c r="X659" s="3">
        <f>IF(N659="Concluído",IF(AND(S659&lt;&gt;"",ISNUMBER(T659),T659&gt;0,V659&lt;&gt;"",AND(OR(X658="OK",X658="DISPENSADO"))),"OK","REVISAR"),IF(N659="Dispensado (ADR)",IF(AND(LEFT(Q659,11)="Condicional",W659&lt;&gt;"",S659&lt;&gt;"",ISNUMBER(T659),T659&gt;0,V659&lt;&gt;""),"DISPENSADO","REVISAR"),"PENDENTE"))</f>
        <v/>
      </c>
      <c r="Y659" s="10" t="inlineStr"/>
    </row>
    <row r="660" ht="112" customHeight="1">
      <c r="A660" s="3" t="n">
        <v>659</v>
      </c>
      <c r="B660" s="3" t="inlineStr">
        <is>
          <t>SL-S60-10</t>
        </is>
      </c>
      <c r="C660" s="9" t="inlineStr">
        <is>
          <t>v1.0.0</t>
        </is>
      </c>
      <c r="D660" s="9" t="inlineStr">
        <is>
          <t>S60</t>
        </is>
      </c>
      <c r="E660" s="3" t="inlineStr">
        <is>
          <t>Release / escopo integral</t>
        </is>
      </c>
      <c r="F660" s="3" t="inlineStr">
        <is>
          <t>Próprio</t>
        </is>
      </c>
      <c r="G660" s="3" t="inlineStr">
        <is>
          <t>Release</t>
        </is>
      </c>
      <c r="H660" s="3" t="inlineStr">
        <is>
          <t>Publicar stable e verificar distribuição</t>
        </is>
      </c>
      <c r="I660" s="3" t="inlineStr">
        <is>
          <t>Testar download/instalação a partir do canal real sem expor credenciais.</t>
        </is>
      </c>
      <c r="J660" s="3" t="inlineStr">
        <is>
          <t>reports/releases/v1-post-publish.md</t>
        </is>
      </c>
      <c r="K660" s="3" t="inlineStr">
        <is>
          <t>Se artefato estiver incorreto, canal é corrigido/revertido e problema não é ignorado.</t>
        </is>
      </c>
      <c r="L660" s="3" t="inlineStr">
        <is>
          <t>SL-S60-09</t>
        </is>
      </c>
      <c r="M660" s="3" t="inlineStr">
        <is>
          <t>R01; R02; R05; R06; R07; R09; R33; R34</t>
        </is>
      </c>
      <c r="N660" s="10" t="inlineStr">
        <is>
          <t>Não iniciado</t>
        </is>
      </c>
      <c r="O660" s="3" t="inlineStr">
        <is>
          <t>P0</t>
        </is>
      </c>
      <c r="P660" s="3" t="inlineStr">
        <is>
          <t>Crítico</t>
        </is>
      </c>
      <c r="Q660" s="3" t="inlineStr">
        <is>
          <t>Obrigatória no escopo da versão</t>
        </is>
      </c>
      <c r="R660" s="10" t="inlineStr">
        <is>
          <t>Autor</t>
        </is>
      </c>
      <c r="S660" s="10" t="inlineStr"/>
      <c r="T660" s="11" t="inlineStr"/>
      <c r="U660" s="3" t="inlineStr">
        <is>
          <t>reports/S60/SL-S60-10.md</t>
        </is>
      </c>
      <c r="V660" s="10" t="inlineStr"/>
      <c r="W660" s="10" t="inlineStr"/>
      <c r="X660" s="3">
        <f>IF(N660="Concluído",IF(AND(S660&lt;&gt;"",ISNUMBER(T660),T660&gt;0,V660&lt;&gt;"",AND(OR(X659="OK",X659="DISPENSADO"))),"OK","REVISAR"),IF(N660="Dispensado (ADR)",IF(AND(LEFT(Q660,11)="Condicional",W660&lt;&gt;"",S660&lt;&gt;"",ISNUMBER(T660),T660&gt;0,V660&lt;&gt;""),"DISPENSADO","REVISAR"),"PENDENTE"))</f>
        <v/>
      </c>
      <c r="Y660" s="10" t="inlineStr"/>
    </row>
    <row r="661" ht="98" customHeight="1">
      <c r="A661" s="3" t="n">
        <v>660</v>
      </c>
      <c r="B661" s="12" t="inlineStr">
        <is>
          <t>SL-S60-GATE</t>
        </is>
      </c>
      <c r="C661" s="9" t="inlineStr">
        <is>
          <t>v1.0.0</t>
        </is>
      </c>
      <c r="D661" s="9" t="inlineStr">
        <is>
          <t>S60</t>
        </is>
      </c>
      <c r="E661" s="3" t="inlineStr">
        <is>
          <t>Release / escopo integral</t>
        </is>
      </c>
      <c r="F661" s="3" t="inlineStr">
        <is>
          <t>Aceite humano</t>
        </is>
      </c>
      <c r="G661" s="12" t="inlineStr">
        <is>
          <t>Gate</t>
        </is>
      </c>
      <c r="H661" s="12" t="inlineStr">
        <is>
          <t>Aceitar S60 — Publicar Sandland v1.0.0</t>
        </is>
      </c>
      <c r="I661" s="3" t="inlineStr">
        <is>
          <t>Revisar as dez tarefas, executar a demonstração do sprint, confrontar critérios e registrar decisão go/no-go.</t>
        </is>
      </c>
      <c r="J661" s="3" t="inlineStr">
        <is>
          <t>reports/S60/acceptance.md</t>
        </is>
      </c>
      <c r="K661" s="3" t="inlineStr">
        <is>
          <t>Instalar stable limpa, restaurar Vault de referência e concluir ciclo completo sem perda de dados. Todas as dependências aceitas; evidências vinculadas a revisão/ambiente; nenhum blocker de integridade/segurança.</t>
        </is>
      </c>
      <c r="L661" s="3" t="inlineStr">
        <is>
          <t>SL-S60-01; SL-S60-02; SL-S60-03; SL-S60-04; SL-S60-05; SL-S60-06; SL-S60-07; SL-S60-08; SL-S60-09; SL-S60-10</t>
        </is>
      </c>
      <c r="M661" s="3" t="inlineStr">
        <is>
          <t>R01; R02; R05; R06; R07; R09; R33; R34</t>
        </is>
      </c>
      <c r="N661" s="10" t="inlineStr">
        <is>
          <t>Não iniciado</t>
        </is>
      </c>
      <c r="O661" s="3" t="inlineStr">
        <is>
          <t>P0</t>
        </is>
      </c>
      <c r="P661" s="3" t="inlineStr">
        <is>
          <t>Crítico</t>
        </is>
      </c>
      <c r="Q661" s="3" t="inlineStr">
        <is>
          <t>Obrigatória para fechar a versão aprovada</t>
        </is>
      </c>
      <c r="R661" s="10" t="inlineStr">
        <is>
          <t>Autor</t>
        </is>
      </c>
      <c r="S661" s="10" t="inlineStr"/>
      <c r="T661" s="11" t="inlineStr"/>
      <c r="U661" s="3" t="inlineStr">
        <is>
          <t>reports/S60/acceptance.md</t>
        </is>
      </c>
      <c r="V661" s="10" t="inlineStr"/>
      <c r="W661" s="10" t="inlineStr"/>
      <c r="X661" s="3">
        <f>IF(N661="Concluído",IF(AND(S661&lt;&gt;"",ISNUMBER(T661),T661&gt;0,V661&lt;&gt;"",AND(OR(X651="OK",X651="DISPENSADO"),OR(X652="OK",X652="DISPENSADO"),OR(X653="OK",X653="DISPENSADO"),OR(X654="OK",X654="DISPENSADO"),OR(X655="OK",X655="DISPENSADO"),OR(X656="OK",X656="DISPENSADO"),OR(X657="OK",X657="DISPENSADO"),OR(X658="OK",X658="DISPENSADO"),OR(X659="OK",X659="DISPENSADO"),OR(X660="OK",X660="DISPENSADO"))),"OK","REVISAR"),IF(N661="Dispensado (ADR)",IF(AND(LEFT(Q661,11)="Condicional",W661&lt;&gt;"",S661&lt;&gt;"",ISNUMBER(T661),T661&gt;0,V661&lt;&gt;""),"DISPENSADO","REVISAR"),"PENDENTE"))</f>
        <v/>
      </c>
      <c r="Y661" s="10" t="inlineStr"/>
    </row>
    <row r="662" ht="112" customHeight="1">
      <c r="A662" s="3" t="n">
        <v>661</v>
      </c>
      <c r="B662" s="3" t="inlineStr">
        <is>
          <t>SL-S61-01</t>
        </is>
      </c>
      <c r="C662" s="9" t="inlineStr">
        <is>
          <t>v1.1.0</t>
        </is>
      </c>
      <c r="D662" s="9" t="inlineStr">
        <is>
          <t>S61</t>
        </is>
      </c>
      <c r="E662" s="3" t="inlineStr">
        <is>
          <t>Manutenção / produto</t>
        </is>
      </c>
      <c r="F662" s="3" t="inlineStr">
        <is>
          <t>Próprio</t>
        </is>
      </c>
      <c r="G662" s="3" t="inlineStr">
        <is>
          <t>Governança</t>
        </is>
      </c>
      <c r="H662" s="3" t="inlineStr">
        <is>
          <t>Coletar feedback consentido</t>
        </is>
      </c>
      <c r="I662" s="3" t="inlineStr">
        <is>
          <t>Usar issues e diagnóstico local saneado, sem telemetria compulsória.</t>
        </is>
      </c>
      <c r="J662" s="3" t="inlineStr">
        <is>
          <t>reports/post-v1/feedback-register.csv</t>
        </is>
      </c>
      <c r="K662" s="3" t="inlineStr">
        <is>
          <t>Relatos possuem consentimento/origem; ausência de usuários externos é declarada.</t>
        </is>
      </c>
      <c r="L662" s="3" t="inlineStr">
        <is>
          <t>SL-S60-GATE</t>
        </is>
      </c>
      <c r="M662" s="3" t="inlineStr">
        <is>
          <t>R05; R09; R31; R34; R36</t>
        </is>
      </c>
      <c r="N662" s="10" t="inlineStr">
        <is>
          <t>Não iniciado</t>
        </is>
      </c>
      <c r="O662" s="3" t="inlineStr">
        <is>
          <t>P0</t>
        </is>
      </c>
      <c r="P662" s="3" t="inlineStr">
        <is>
          <t>Crítico</t>
        </is>
      </c>
      <c r="Q662" s="3" t="inlineStr">
        <is>
          <t>Obrigatória no escopo da versão</t>
        </is>
      </c>
      <c r="R662" s="10" t="inlineStr">
        <is>
          <t>Autor</t>
        </is>
      </c>
      <c r="S662" s="10" t="inlineStr"/>
      <c r="T662" s="11" t="inlineStr"/>
      <c r="U662" s="3" t="inlineStr">
        <is>
          <t>reports/S61/SL-S61-01.md</t>
        </is>
      </c>
      <c r="V662" s="10" t="inlineStr"/>
      <c r="W662" s="10" t="inlineStr"/>
      <c r="X662" s="3">
        <f>IF(N662="Concluído",IF(AND(S662&lt;&gt;"",ISNUMBER(T662),T662&gt;0,V662&lt;&gt;"",AND(OR(X661="OK",X661="DISPENSADO"))),"OK","REVISAR"),IF(N662="Dispensado (ADR)",IF(AND(LEFT(Q662,11)="Condicional",W662&lt;&gt;"",S662&lt;&gt;"",ISNUMBER(T662),T662&gt;0,V662&lt;&gt;""),"DISPENSADO","REVISAR"),"PENDENTE"))</f>
        <v/>
      </c>
      <c r="Y662" s="10" t="inlineStr"/>
    </row>
    <row r="663" ht="112" customHeight="1">
      <c r="A663" s="3" t="n">
        <v>662</v>
      </c>
      <c r="B663" s="3" t="inlineStr">
        <is>
          <t>SL-S61-02</t>
        </is>
      </c>
      <c r="C663" s="9" t="inlineStr">
        <is>
          <t>v1.1.0</t>
        </is>
      </c>
      <c r="D663" s="9" t="inlineStr">
        <is>
          <t>S61</t>
        </is>
      </c>
      <c r="E663" s="3" t="inlineStr">
        <is>
          <t>Manutenção / produto</t>
        </is>
      </c>
      <c r="F663" s="3" t="inlineStr">
        <is>
          <t>Próprio</t>
        </is>
      </c>
      <c r="G663" s="3" t="inlineStr">
        <is>
          <t>Governança</t>
        </is>
      </c>
      <c r="H663" s="3" t="inlineStr">
        <is>
          <t>Triar incidentes</t>
        </is>
      </c>
      <c r="I663" s="3" t="inlineStr">
        <is>
          <t>Priorizar perda de dados, fuga de escopo, falhas essenciais e recursos.</t>
        </is>
      </c>
      <c r="J663" s="3" t="inlineStr">
        <is>
          <t>docs/maintenance/triage.md</t>
        </is>
      </c>
      <c r="K663" s="3" t="inlineStr">
        <is>
          <t>Hotfix crítico pode interromper qualquer sprint futuro.</t>
        </is>
      </c>
      <c r="L663" s="3" t="inlineStr">
        <is>
          <t>SL-S61-01</t>
        </is>
      </c>
      <c r="M663" s="3" t="inlineStr">
        <is>
          <t>R05; R09; R31; R34; R36</t>
        </is>
      </c>
      <c r="N663" s="10" t="inlineStr">
        <is>
          <t>Não iniciado</t>
        </is>
      </c>
      <c r="O663" s="3" t="inlineStr">
        <is>
          <t>P0</t>
        </is>
      </c>
      <c r="P663" s="3" t="inlineStr">
        <is>
          <t>Crítico</t>
        </is>
      </c>
      <c r="Q663" s="3" t="inlineStr">
        <is>
          <t>Obrigatória no escopo da versão</t>
        </is>
      </c>
      <c r="R663" s="10" t="inlineStr">
        <is>
          <t>Autor</t>
        </is>
      </c>
      <c r="S663" s="10" t="inlineStr"/>
      <c r="T663" s="11" t="inlineStr"/>
      <c r="U663" s="3" t="inlineStr">
        <is>
          <t>reports/S61/SL-S61-02.md</t>
        </is>
      </c>
      <c r="V663" s="10" t="inlineStr"/>
      <c r="W663" s="10" t="inlineStr"/>
      <c r="X663" s="3">
        <f>IF(N663="Concluído",IF(AND(S663&lt;&gt;"",ISNUMBER(T663),T663&gt;0,V663&lt;&gt;"",AND(OR(X662="OK",X662="DISPENSADO"))),"OK","REVISAR"),IF(N663="Dispensado (ADR)",IF(AND(LEFT(Q663,11)="Condicional",W663&lt;&gt;"",S663&lt;&gt;"",ISNUMBER(T663),T663&gt;0,V663&lt;&gt;""),"DISPENSADO","REVISAR"),"PENDENTE"))</f>
        <v/>
      </c>
      <c r="Y663" s="10" t="inlineStr"/>
    </row>
    <row r="664" ht="112" customHeight="1">
      <c r="A664" s="3" t="n">
        <v>663</v>
      </c>
      <c r="B664" s="3" t="inlineStr">
        <is>
          <t>SL-S61-03</t>
        </is>
      </c>
      <c r="C664" s="9" t="inlineStr">
        <is>
          <t>v1.1.0</t>
        </is>
      </c>
      <c r="D664" s="9" t="inlineStr">
        <is>
          <t>S61</t>
        </is>
      </c>
      <c r="E664" s="3" t="inlineStr">
        <is>
          <t>Manutenção / produto</t>
        </is>
      </c>
      <c r="F664" s="3" t="inlineStr">
        <is>
          <t>Próprio</t>
        </is>
      </c>
      <c r="G664" s="3" t="inlineStr">
        <is>
          <t>Teste</t>
        </is>
      </c>
      <c r="H664" s="3" t="inlineStr">
        <is>
          <t>Reproduzir problemas reais</t>
        </is>
      </c>
      <c r="I664" s="3" t="inlineStr">
        <is>
          <t>Transformar entradas permitidas em fixtures mínimas sem expor documentos do usuário.</t>
        </is>
      </c>
      <c r="J664" s="3" t="inlineStr">
        <is>
          <t>tests/regressions/post-v1/</t>
        </is>
      </c>
      <c r="K664" s="3" t="inlineStr">
        <is>
          <t>Cada bug corrigido tem caso reproduzível; bug não confirmado é identificado como hipótese.</t>
        </is>
      </c>
      <c r="L664" s="3" t="inlineStr">
        <is>
          <t>SL-S61-02</t>
        </is>
      </c>
      <c r="M664" s="3" t="inlineStr">
        <is>
          <t>R05; R09; R31; R34; R36</t>
        </is>
      </c>
      <c r="N664" s="10" t="inlineStr">
        <is>
          <t>Não iniciado</t>
        </is>
      </c>
      <c r="O664" s="3" t="inlineStr">
        <is>
          <t>P0</t>
        </is>
      </c>
      <c r="P664" s="3" t="inlineStr">
        <is>
          <t>Crítico</t>
        </is>
      </c>
      <c r="Q664" s="3" t="inlineStr">
        <is>
          <t>Obrigatória no escopo da versão</t>
        </is>
      </c>
      <c r="R664" s="10" t="inlineStr">
        <is>
          <t>Autor + agente de IA</t>
        </is>
      </c>
      <c r="S664" s="10" t="inlineStr"/>
      <c r="T664" s="11" t="inlineStr"/>
      <c r="U664" s="3" t="inlineStr">
        <is>
          <t>reports/S61/SL-S61-03.md</t>
        </is>
      </c>
      <c r="V664" s="10" t="inlineStr"/>
      <c r="W664" s="10" t="inlineStr"/>
      <c r="X664" s="3">
        <f>IF(N664="Concluído",IF(AND(S664&lt;&gt;"",ISNUMBER(T664),T664&gt;0,V664&lt;&gt;"",AND(OR(X663="OK",X663="DISPENSADO"))),"OK","REVISAR"),IF(N664="Dispensado (ADR)",IF(AND(LEFT(Q664,11)="Condicional",W664&lt;&gt;"",S664&lt;&gt;"",ISNUMBER(T664),T664&gt;0,V664&lt;&gt;""),"DISPENSADO","REVISAR"),"PENDENTE"))</f>
        <v/>
      </c>
      <c r="Y664" s="10" t="inlineStr"/>
    </row>
    <row r="665" ht="112" customHeight="1">
      <c r="A665" s="3" t="n">
        <v>664</v>
      </c>
      <c r="B665" s="3" t="inlineStr">
        <is>
          <t>SL-S61-04</t>
        </is>
      </c>
      <c r="C665" s="9" t="inlineStr">
        <is>
          <t>v1.1.0</t>
        </is>
      </c>
      <c r="D665" s="9" t="inlineStr">
        <is>
          <t>S61</t>
        </is>
      </c>
      <c r="E665" s="3" t="inlineStr">
        <is>
          <t>Manutenção / produto</t>
        </is>
      </c>
      <c r="F665" s="3" t="inlineStr">
        <is>
          <t>Próprio</t>
        </is>
      </c>
      <c r="G665" s="3" t="inlineStr">
        <is>
          <t>Implementação</t>
        </is>
      </c>
      <c r="H665" s="3" t="inlineStr">
        <is>
          <t>Corrigir falhas prioritárias</t>
        </is>
      </c>
      <c r="I665" s="3" t="inlineStr">
        <is>
          <t>Implementar patches estreitos com revisão e rollback.</t>
        </is>
      </c>
      <c r="J665" s="3" t="inlineStr">
        <is>
          <t>maintenance/v1.1/fixes/</t>
        </is>
      </c>
      <c r="K665" s="3" t="inlineStr">
        <is>
          <t>Correção não introduz migração/feature escondida e passa contratos pertinentes.</t>
        </is>
      </c>
      <c r="L665" s="3" t="inlineStr">
        <is>
          <t>SL-S61-03</t>
        </is>
      </c>
      <c r="M665" s="3" t="inlineStr">
        <is>
          <t>R05; R09; R31; R34; R36</t>
        </is>
      </c>
      <c r="N665" s="10" t="inlineStr">
        <is>
          <t>Não iniciado</t>
        </is>
      </c>
      <c r="O665" s="3" t="inlineStr">
        <is>
          <t>P0</t>
        </is>
      </c>
      <c r="P665" s="3" t="inlineStr">
        <is>
          <t>Crítico</t>
        </is>
      </c>
      <c r="Q665" s="3" t="inlineStr">
        <is>
          <t>Obrigatória no escopo da versão</t>
        </is>
      </c>
      <c r="R665" s="10" t="inlineStr">
        <is>
          <t>Autor + agente de IA</t>
        </is>
      </c>
      <c r="S665" s="10" t="inlineStr"/>
      <c r="T665" s="11" t="inlineStr"/>
      <c r="U665" s="3" t="inlineStr">
        <is>
          <t>reports/S61/SL-S61-04.md</t>
        </is>
      </c>
      <c r="V665" s="10" t="inlineStr"/>
      <c r="W665" s="10" t="inlineStr"/>
      <c r="X665" s="3">
        <f>IF(N665="Concluído",IF(AND(S665&lt;&gt;"",ISNUMBER(T665),T665&gt;0,V665&lt;&gt;"",AND(OR(X664="OK",X664="DISPENSADO"))),"OK","REVISAR"),IF(N665="Dispensado (ADR)",IF(AND(LEFT(Q665,11)="Condicional",W665&lt;&gt;"",S665&lt;&gt;"",ISNUMBER(T665),T665&gt;0,V665&lt;&gt;""),"DISPENSADO","REVISAR"),"PENDENTE"))</f>
        <v/>
      </c>
      <c r="Y665" s="10" t="inlineStr"/>
    </row>
    <row r="666" ht="112" customHeight="1">
      <c r="A666" s="3" t="n">
        <v>665</v>
      </c>
      <c r="B666" s="3" t="inlineStr">
        <is>
          <t>SL-S61-05</t>
        </is>
      </c>
      <c r="C666" s="9" t="inlineStr">
        <is>
          <t>v1.1.0</t>
        </is>
      </c>
      <c r="D666" s="9" t="inlineStr">
        <is>
          <t>S61</t>
        </is>
      </c>
      <c r="E666" s="3" t="inlineStr">
        <is>
          <t>Manutenção / produto</t>
        </is>
      </c>
      <c r="F666" s="3" t="inlineStr">
        <is>
          <t>Próprio</t>
        </is>
      </c>
      <c r="G666" s="3" t="inlineStr">
        <is>
          <t>Teste</t>
        </is>
      </c>
      <c r="H666" s="3" t="inlineStr">
        <is>
          <t>Executar uso prolongado</t>
        </is>
      </c>
      <c r="I666" s="3" t="inlineStr">
        <is>
          <t>Alternar Vaults, edição, OCR, pesquisa e inferência em sessão extensa.</t>
        </is>
      </c>
      <c r="J666" s="3" t="inlineStr">
        <is>
          <t>reports/post-v1/soak.json</t>
        </is>
      </c>
      <c r="K666" s="3" t="inlineStr">
        <is>
          <t>Crescimento de recursos, deadlocks e atrasos são medidos, não só observados visualmente.</t>
        </is>
      </c>
      <c r="L666" s="3" t="inlineStr">
        <is>
          <t>SL-S61-04</t>
        </is>
      </c>
      <c r="M666" s="3" t="inlineStr">
        <is>
          <t>R05; R09; R31; R34; R36</t>
        </is>
      </c>
      <c r="N666" s="10" t="inlineStr">
        <is>
          <t>Não iniciado</t>
        </is>
      </c>
      <c r="O666" s="3" t="inlineStr">
        <is>
          <t>P0</t>
        </is>
      </c>
      <c r="P666" s="3" t="inlineStr">
        <is>
          <t>Crítico</t>
        </is>
      </c>
      <c r="Q666" s="3" t="inlineStr">
        <is>
          <t>Obrigatória no escopo da versão</t>
        </is>
      </c>
      <c r="R666" s="10" t="inlineStr">
        <is>
          <t>Autor + agente de IA</t>
        </is>
      </c>
      <c r="S666" s="10" t="inlineStr"/>
      <c r="T666" s="11" t="inlineStr"/>
      <c r="U666" s="3" t="inlineStr">
        <is>
          <t>reports/S61/SL-S61-05.md</t>
        </is>
      </c>
      <c r="V666" s="10" t="inlineStr"/>
      <c r="W666" s="10" t="inlineStr"/>
      <c r="X666" s="3">
        <f>IF(N666="Concluído",IF(AND(S666&lt;&gt;"",ISNUMBER(T666),T666&gt;0,V666&lt;&gt;"",AND(OR(X665="OK",X665="DISPENSADO"))),"OK","REVISAR"),IF(N666="Dispensado (ADR)",IF(AND(LEFT(Q666,11)="Condicional",W666&lt;&gt;"",S666&lt;&gt;"",ISNUMBER(T666),T666&gt;0,V666&lt;&gt;""),"DISPENSADO","REVISAR"),"PENDENTE"))</f>
        <v/>
      </c>
      <c r="Y666" s="10" t="inlineStr"/>
    </row>
    <row r="667" ht="112" customHeight="1">
      <c r="A667" s="3" t="n">
        <v>666</v>
      </c>
      <c r="B667" s="3" t="inlineStr">
        <is>
          <t>SL-S61-06</t>
        </is>
      </c>
      <c r="C667" s="9" t="inlineStr">
        <is>
          <t>v1.1.0</t>
        </is>
      </c>
      <c r="D667" s="9" t="inlineStr">
        <is>
          <t>S61</t>
        </is>
      </c>
      <c r="E667" s="3" t="inlineStr">
        <is>
          <t>Manutenção / produto</t>
        </is>
      </c>
      <c r="F667" s="3" t="inlineStr">
        <is>
          <t>Próprio</t>
        </is>
      </c>
      <c r="G667" s="3" t="inlineStr">
        <is>
          <t>Governança</t>
        </is>
      </c>
      <c r="H667" s="3" t="inlineStr">
        <is>
          <t>Revisar dívida dos adapters</t>
        </is>
      </c>
      <c r="I667" s="3" t="inlineStr">
        <is>
          <t>Listar patches locais, APIs internas e riscos por engine.</t>
        </is>
      </c>
      <c r="J667" s="3" t="inlineStr">
        <is>
          <t>upstream/debt-register.md</t>
        </is>
      </c>
      <c r="K667" s="3" t="inlineStr">
        <is>
          <t>Cada divergência tem motivação e estratégia de reduzir/manter/upstreamar.</t>
        </is>
      </c>
      <c r="L667" s="3" t="inlineStr">
        <is>
          <t>SL-S61-05</t>
        </is>
      </c>
      <c r="M667" s="3" t="inlineStr">
        <is>
          <t>R05; R09; R31; R34; R36</t>
        </is>
      </c>
      <c r="N667" s="10" t="inlineStr">
        <is>
          <t>Não iniciado</t>
        </is>
      </c>
      <c r="O667" s="3" t="inlineStr">
        <is>
          <t>P0</t>
        </is>
      </c>
      <c r="P667" s="3" t="inlineStr">
        <is>
          <t>Crítico</t>
        </is>
      </c>
      <c r="Q667" s="3" t="inlineStr">
        <is>
          <t>Obrigatória no escopo da versão</t>
        </is>
      </c>
      <c r="R667" s="10" t="inlineStr">
        <is>
          <t>Autor</t>
        </is>
      </c>
      <c r="S667" s="10" t="inlineStr"/>
      <c r="T667" s="11" t="inlineStr"/>
      <c r="U667" s="3" t="inlineStr">
        <is>
          <t>reports/S61/SL-S61-06.md</t>
        </is>
      </c>
      <c r="V667" s="10" t="inlineStr"/>
      <c r="W667" s="10" t="inlineStr"/>
      <c r="X667" s="3">
        <f>IF(N667="Concluído",IF(AND(S667&lt;&gt;"",ISNUMBER(T667),T667&gt;0,V667&lt;&gt;"",AND(OR(X666="OK",X666="DISPENSADO"))),"OK","REVISAR"),IF(N667="Dispensado (ADR)",IF(AND(LEFT(Q667,11)="Condicional",W667&lt;&gt;"",S667&lt;&gt;"",ISNUMBER(T667),T667&gt;0,V667&lt;&gt;""),"DISPENSADO","REVISAR"),"PENDENTE"))</f>
        <v/>
      </c>
      <c r="Y667" s="10" t="inlineStr"/>
    </row>
    <row r="668" ht="112" customHeight="1">
      <c r="A668" s="3" t="n">
        <v>667</v>
      </c>
      <c r="B668" s="3" t="inlineStr">
        <is>
          <t>SL-S61-07</t>
        </is>
      </c>
      <c r="C668" s="9" t="inlineStr">
        <is>
          <t>v1.1.0</t>
        </is>
      </c>
      <c r="D668" s="9" t="inlineStr">
        <is>
          <t>S61</t>
        </is>
      </c>
      <c r="E668" s="3" t="inlineStr">
        <is>
          <t>Manutenção / produto</t>
        </is>
      </c>
      <c r="F668" s="3" t="inlineStr">
        <is>
          <t>Próprio</t>
        </is>
      </c>
      <c r="G668" s="3" t="inlineStr">
        <is>
          <t>Decisão</t>
        </is>
      </c>
      <c r="H668" s="3" t="inlineStr">
        <is>
          <t>Ratificar propostas pós-v1</t>
        </is>
      </c>
      <c r="I668" s="3" t="inlineStr">
        <is>
          <t>Resolver ADR-017 para escala, offline/interoperabilidade e futuros provedores.</t>
        </is>
      </c>
      <c r="J668" s="3" t="inlineStr">
        <is>
          <t>docs/adr/017-post-v1-scope.md</t>
        </is>
      </c>
      <c r="K668" s="3" t="inlineStr">
        <is>
          <t>Novas funcionalidades permanecem propostas até aprovação humana; não bloqueiam correções essenciais.</t>
        </is>
      </c>
      <c r="L668" s="3" t="inlineStr">
        <is>
          <t>SL-S61-06</t>
        </is>
      </c>
      <c r="M668" s="3" t="inlineStr">
        <is>
          <t>R05; R09; R31; R34; R36</t>
        </is>
      </c>
      <c r="N668" s="10" t="inlineStr">
        <is>
          <t>Não iniciado</t>
        </is>
      </c>
      <c r="O668" s="3" t="inlineStr">
        <is>
          <t>P0</t>
        </is>
      </c>
      <c r="P668" s="3" t="inlineStr">
        <is>
          <t>Crítico</t>
        </is>
      </c>
      <c r="Q668" s="3" t="inlineStr">
        <is>
          <t>Obrigatória no escopo da versão</t>
        </is>
      </c>
      <c r="R668" s="10" t="inlineStr">
        <is>
          <t>Autor</t>
        </is>
      </c>
      <c r="S668" s="10" t="inlineStr"/>
      <c r="T668" s="11" t="inlineStr"/>
      <c r="U668" s="3" t="inlineStr">
        <is>
          <t>reports/S61/SL-S61-07.md</t>
        </is>
      </c>
      <c r="V668" s="10" t="inlineStr"/>
      <c r="W668" s="10" t="inlineStr"/>
      <c r="X668" s="3">
        <f>IF(N668="Concluído",IF(AND(S668&lt;&gt;"",ISNUMBER(T668),T668&gt;0,V668&lt;&gt;"",AND(OR(X667="OK",X667="DISPENSADO"))),"OK","REVISAR"),IF(N668="Dispensado (ADR)",IF(AND(LEFT(Q668,11)="Condicional",W668&lt;&gt;"",S668&lt;&gt;"",ISNUMBER(T668),T668&gt;0,V668&lt;&gt;""),"DISPENSADO","REVISAR"),"PENDENTE"))</f>
        <v/>
      </c>
      <c r="Y668" s="10" t="inlineStr"/>
    </row>
    <row r="669" ht="112" customHeight="1">
      <c r="A669" s="3" t="n">
        <v>668</v>
      </c>
      <c r="B669" s="3" t="inlineStr">
        <is>
          <t>SL-S61-08</t>
        </is>
      </c>
      <c r="C669" s="9" t="inlineStr">
        <is>
          <t>v1.1.0</t>
        </is>
      </c>
      <c r="D669" s="9" t="inlineStr">
        <is>
          <t>S61</t>
        </is>
      </c>
      <c r="E669" s="3" t="inlineStr">
        <is>
          <t>Manutenção / produto</t>
        </is>
      </c>
      <c r="F669" s="3" t="inlineStr">
        <is>
          <t>Próprio</t>
        </is>
      </c>
      <c r="G669" s="3" t="inlineStr">
        <is>
          <t>Decisão</t>
        </is>
      </c>
      <c r="H669" s="3" t="inlineStr">
        <is>
          <t>Definir alvos de escala</t>
        </is>
      </c>
      <c r="I669" s="3" t="inlineStr">
        <is>
          <t>Escolher corpus/hardware com base em uso observado antes de otimizar.</t>
        </is>
      </c>
      <c r="J669" s="3" t="inlineStr">
        <is>
          <t>bench/profiles/post-v1.yaml</t>
        </is>
      </c>
      <c r="K669" s="3" t="inlineStr">
        <is>
          <t>Novas metas não substituem silenciosamente budgets básicos do produto.</t>
        </is>
      </c>
      <c r="L669" s="3" t="inlineStr">
        <is>
          <t>SL-S61-07</t>
        </is>
      </c>
      <c r="M669" s="3" t="inlineStr">
        <is>
          <t>R05; R09; R31; R34; R36</t>
        </is>
      </c>
      <c r="N669" s="10" t="inlineStr">
        <is>
          <t>Não iniciado</t>
        </is>
      </c>
      <c r="O669" s="3" t="inlineStr">
        <is>
          <t>P0</t>
        </is>
      </c>
      <c r="P669" s="3" t="inlineStr">
        <is>
          <t>Crítico</t>
        </is>
      </c>
      <c r="Q669" s="3" t="inlineStr">
        <is>
          <t>Obrigatória no escopo da versão</t>
        </is>
      </c>
      <c r="R669" s="10" t="inlineStr">
        <is>
          <t>Autor</t>
        </is>
      </c>
      <c r="S669" s="10" t="inlineStr"/>
      <c r="T669" s="11" t="inlineStr"/>
      <c r="U669" s="3" t="inlineStr">
        <is>
          <t>reports/S61/SL-S61-08.md</t>
        </is>
      </c>
      <c r="V669" s="10" t="inlineStr"/>
      <c r="W669" s="10" t="inlineStr"/>
      <c r="X669" s="3">
        <f>IF(N669="Concluído",IF(AND(S669&lt;&gt;"",ISNUMBER(T669),T669&gt;0,V669&lt;&gt;"",AND(OR(X668="OK",X668="DISPENSADO"))),"OK","REVISAR"),IF(N669="Dispensado (ADR)",IF(AND(LEFT(Q669,11)="Condicional",W669&lt;&gt;"",S669&lt;&gt;"",ISNUMBER(T669),T669&gt;0,V669&lt;&gt;""),"DISPENSADO","REVISAR"),"PENDENTE"))</f>
        <v/>
      </c>
      <c r="Y669" s="10" t="inlineStr"/>
    </row>
    <row r="670" ht="112" customHeight="1">
      <c r="A670" s="3" t="n">
        <v>669</v>
      </c>
      <c r="B670" s="3" t="inlineStr">
        <is>
          <t>SL-S61-09</t>
        </is>
      </c>
      <c r="C670" s="9" t="inlineStr">
        <is>
          <t>v1.1.0</t>
        </is>
      </c>
      <c r="D670" s="9" t="inlineStr">
        <is>
          <t>S61</t>
        </is>
      </c>
      <c r="E670" s="3" t="inlineStr">
        <is>
          <t>Manutenção / produto</t>
        </is>
      </c>
      <c r="F670" s="3" t="inlineStr">
        <is>
          <t>Próprio</t>
        </is>
      </c>
      <c r="G670" s="3" t="inlineStr">
        <is>
          <t>Governança</t>
        </is>
      </c>
      <c r="H670" s="3" t="inlineStr">
        <is>
          <t>Definir política de suporte</t>
        </is>
      </c>
      <c r="I670" s="3" t="inlineStr">
        <is>
          <t>Estabelecer ramos, patches de segurança, depreciação e compatibilidade de formatos.</t>
        </is>
      </c>
      <c r="J670" s="3" t="inlineStr">
        <is>
          <t>docs/maintenance/support-policy.md</t>
        </is>
      </c>
      <c r="K670" s="3" t="inlineStr">
        <is>
          <t>Não há promessa de suporte eterno ou calendário irreal para equipe solo.</t>
        </is>
      </c>
      <c r="L670" s="3" t="inlineStr">
        <is>
          <t>SL-S61-08</t>
        </is>
      </c>
      <c r="M670" s="3" t="inlineStr">
        <is>
          <t>R05; R09; R31; R34; R36</t>
        </is>
      </c>
      <c r="N670" s="10" t="inlineStr">
        <is>
          <t>Não iniciado</t>
        </is>
      </c>
      <c r="O670" s="3" t="inlineStr">
        <is>
          <t>P0</t>
        </is>
      </c>
      <c r="P670" s="3" t="inlineStr">
        <is>
          <t>Crítico</t>
        </is>
      </c>
      <c r="Q670" s="3" t="inlineStr">
        <is>
          <t>Obrigatória no escopo da versão</t>
        </is>
      </c>
      <c r="R670" s="10" t="inlineStr">
        <is>
          <t>Autor</t>
        </is>
      </c>
      <c r="S670" s="10" t="inlineStr"/>
      <c r="T670" s="11" t="inlineStr"/>
      <c r="U670" s="3" t="inlineStr">
        <is>
          <t>reports/S61/SL-S61-09.md</t>
        </is>
      </c>
      <c r="V670" s="10" t="inlineStr"/>
      <c r="W670" s="10" t="inlineStr"/>
      <c r="X670" s="3">
        <f>IF(N670="Concluído",IF(AND(S670&lt;&gt;"",ISNUMBER(T670),T670&gt;0,V670&lt;&gt;"",AND(OR(X669="OK",X669="DISPENSADO"))),"OK","REVISAR"),IF(N670="Dispensado (ADR)",IF(AND(LEFT(Q670,11)="Condicional",W670&lt;&gt;"",S670&lt;&gt;"",ISNUMBER(T670),T670&gt;0,V670&lt;&gt;""),"DISPENSADO","REVISAR"),"PENDENTE"))</f>
        <v/>
      </c>
      <c r="Y670" s="10" t="inlineStr"/>
    </row>
    <row r="671" ht="112" customHeight="1">
      <c r="A671" s="3" t="n">
        <v>670</v>
      </c>
      <c r="B671" s="3" t="inlineStr">
        <is>
          <t>SL-S61-10</t>
        </is>
      </c>
      <c r="C671" s="9" t="inlineStr">
        <is>
          <t>v1.1.0</t>
        </is>
      </c>
      <c r="D671" s="9" t="inlineStr">
        <is>
          <t>S61</t>
        </is>
      </c>
      <c r="E671" s="3" t="inlineStr">
        <is>
          <t>Manutenção / produto</t>
        </is>
      </c>
      <c r="F671" s="3" t="inlineStr">
        <is>
          <t>Próprio</t>
        </is>
      </c>
      <c r="G671" s="3" t="inlineStr">
        <is>
          <t>Teste</t>
        </is>
      </c>
      <c r="H671" s="3" t="inlineStr">
        <is>
          <t>Fechar regressão de estabilidade</t>
        </is>
      </c>
      <c r="I671" s="3" t="inlineStr">
        <is>
          <t>Comparar candidata com v1.0 e registrar o que efetivamente melhorou.</t>
        </is>
      </c>
      <c r="J671" s="3" t="inlineStr">
        <is>
          <t>reports/v1.1/stability-baseline.md</t>
        </is>
      </c>
      <c r="K671" s="3" t="inlineStr">
        <is>
          <t>Ausência de defeito conhecido não é preenchida por bug inventado para marcar tarefa concluída.</t>
        </is>
      </c>
      <c r="L671" s="3" t="inlineStr">
        <is>
          <t>SL-S61-09</t>
        </is>
      </c>
      <c r="M671" s="3" t="inlineStr">
        <is>
          <t>R05; R09; R31; R34; R36</t>
        </is>
      </c>
      <c r="N671" s="10" t="inlineStr">
        <is>
          <t>Não iniciado</t>
        </is>
      </c>
      <c r="O671" s="3" t="inlineStr">
        <is>
          <t>P0</t>
        </is>
      </c>
      <c r="P671" s="3" t="inlineStr">
        <is>
          <t>Crítico</t>
        </is>
      </c>
      <c r="Q671" s="3" t="inlineStr">
        <is>
          <t>Obrigatória no escopo da versão</t>
        </is>
      </c>
      <c r="R671" s="10" t="inlineStr">
        <is>
          <t>Autor + agente de IA</t>
        </is>
      </c>
      <c r="S671" s="10" t="inlineStr"/>
      <c r="T671" s="11" t="inlineStr"/>
      <c r="U671" s="3" t="inlineStr">
        <is>
          <t>reports/S61/SL-S61-10.md</t>
        </is>
      </c>
      <c r="V671" s="10" t="inlineStr"/>
      <c r="W671" s="10" t="inlineStr"/>
      <c r="X671" s="3">
        <f>IF(N671="Concluído",IF(AND(S671&lt;&gt;"",ISNUMBER(T671),T671&gt;0,V671&lt;&gt;"",AND(OR(X670="OK",X670="DISPENSADO"))),"OK","REVISAR"),IF(N671="Dispensado (ADR)",IF(AND(LEFT(Q671,11)="Condicional",W671&lt;&gt;"",S671&lt;&gt;"",ISNUMBER(T671),T671&gt;0,V671&lt;&gt;""),"DISPENSADO","REVISAR"),"PENDENTE"))</f>
        <v/>
      </c>
      <c r="Y671" s="10" t="inlineStr"/>
    </row>
    <row r="672" ht="98" customHeight="1">
      <c r="A672" s="3" t="n">
        <v>671</v>
      </c>
      <c r="B672" s="12" t="inlineStr">
        <is>
          <t>SL-S61-GATE</t>
        </is>
      </c>
      <c r="C672" s="9" t="inlineStr">
        <is>
          <t>v1.1.0</t>
        </is>
      </c>
      <c r="D672" s="9" t="inlineStr">
        <is>
          <t>S61</t>
        </is>
      </c>
      <c r="E672" s="3" t="inlineStr">
        <is>
          <t>Manutenção / produto</t>
        </is>
      </c>
      <c r="F672" s="3" t="inlineStr">
        <is>
          <t>Aceite humano</t>
        </is>
      </c>
      <c r="G672" s="12" t="inlineStr">
        <is>
          <t>Gate</t>
        </is>
      </c>
      <c r="H672" s="12" t="inlineStr">
        <is>
          <t>Aceitar S61 — Estabilizar uso real e ratificar evolução</t>
        </is>
      </c>
      <c r="I672" s="3" t="inlineStr">
        <is>
          <t>Revisar as dez tarefas, executar a demonstração do sprint, confrontar critérios e registrar decisão go/no-go.</t>
        </is>
      </c>
      <c r="J672" s="3" t="inlineStr">
        <is>
          <t>reports/S61/acceptance.md</t>
        </is>
      </c>
      <c r="K672" s="3" t="inlineStr">
        <is>
          <t>Reproduzir relato real/ensaio de uso e vincular correção a teste sem coletar dados privados. Todas as dependências aceitas; evidências vinculadas a revisão/ambiente; nenhum blocker de integridade/segurança.</t>
        </is>
      </c>
      <c r="L672" s="3" t="inlineStr">
        <is>
          <t>SL-S61-01; SL-S61-02; SL-S61-03; SL-S61-04; SL-S61-05; SL-S61-06; SL-S61-07; SL-S61-08; SL-S61-09; SL-S61-10</t>
        </is>
      </c>
      <c r="M672" s="3" t="inlineStr">
        <is>
          <t>R05; R09; R31; R34; R36</t>
        </is>
      </c>
      <c r="N672" s="10" t="inlineStr">
        <is>
          <t>Não iniciado</t>
        </is>
      </c>
      <c r="O672" s="3" t="inlineStr">
        <is>
          <t>P0</t>
        </is>
      </c>
      <c r="P672" s="3" t="inlineStr">
        <is>
          <t>Crítico</t>
        </is>
      </c>
      <c r="Q672" s="3" t="inlineStr">
        <is>
          <t>Obrigatória para fechar a versão aprovada</t>
        </is>
      </c>
      <c r="R672" s="10" t="inlineStr">
        <is>
          <t>Autor</t>
        </is>
      </c>
      <c r="S672" s="10" t="inlineStr"/>
      <c r="T672" s="11" t="inlineStr"/>
      <c r="U672" s="3" t="inlineStr">
        <is>
          <t>reports/S61/acceptance.md</t>
        </is>
      </c>
      <c r="V672" s="10" t="inlineStr"/>
      <c r="W672" s="10" t="inlineStr"/>
      <c r="X672" s="3">
        <f>IF(N672="Concluído",IF(AND(S672&lt;&gt;"",ISNUMBER(T672),T672&gt;0,V672&lt;&gt;"",AND(OR(X662="OK",X662="DISPENSADO"),OR(X663="OK",X663="DISPENSADO"),OR(X664="OK",X664="DISPENSADO"),OR(X665="OK",X665="DISPENSADO"),OR(X666="OK",X666="DISPENSADO"),OR(X667="OK",X667="DISPENSADO"),OR(X668="OK",X668="DISPENSADO"),OR(X669="OK",X669="DISPENSADO"),OR(X670="OK",X670="DISPENSADO"),OR(X671="OK",X671="DISPENSADO"))),"OK","REVISAR"),IF(N672="Dispensado (ADR)",IF(AND(LEFT(Q672,11)="Condicional",W672&lt;&gt;"",S672&lt;&gt;"",ISNUMBER(T672),T672&gt;0,V672&lt;&gt;""),"DISPENSADO","REVISAR"),"PENDENTE"))</f>
        <v/>
      </c>
      <c r="Y672" s="10" t="inlineStr"/>
    </row>
    <row r="673" ht="112" customHeight="1">
      <c r="A673" s="3" t="n">
        <v>672</v>
      </c>
      <c r="B673" s="3" t="inlineStr">
        <is>
          <t>SL-S62-01</t>
        </is>
      </c>
      <c r="C673" s="9" t="inlineStr">
        <is>
          <t>v1.1.0</t>
        </is>
      </c>
      <c r="D673" s="9" t="inlineStr">
        <is>
          <t>S62</t>
        </is>
      </c>
      <c r="E673" s="3" t="inlineStr">
        <is>
          <t>Recovery / observabilidade local</t>
        </is>
      </c>
      <c r="F673" s="3" t="inlineStr">
        <is>
          <t>Próprio</t>
        </is>
      </c>
      <c r="G673" s="3" t="inlineStr">
        <is>
          <t>Implementação</t>
        </is>
      </c>
      <c r="H673" s="3" t="inlineStr">
        <is>
          <t>Criar painel de saúde do Vault</t>
        </is>
      </c>
      <c r="I673" s="3" t="inlineStr">
        <is>
          <t>Reunir schemas, referências, histórico, caches e jobs.</t>
        </is>
      </c>
      <c r="J673" s="3" t="inlineStr">
        <is>
          <t>apps/desktop/src/diagnostics/vault-health.ts</t>
        </is>
      </c>
      <c r="K673" s="3" t="inlineStr">
        <is>
          <t>UI distingue problema autoral de índice descartável e evita alarmismo genérico.</t>
        </is>
      </c>
      <c r="L673" s="3" t="inlineStr">
        <is>
          <t>SL-S61-GATE</t>
        </is>
      </c>
      <c r="M673" s="3" t="inlineStr">
        <is>
          <t>R02; R05; R08; R29; R31; R37</t>
        </is>
      </c>
      <c r="N673" s="10" t="inlineStr">
        <is>
          <t>Não iniciado</t>
        </is>
      </c>
      <c r="O673" s="3" t="inlineStr">
        <is>
          <t>P0</t>
        </is>
      </c>
      <c r="P673" s="3" t="inlineStr">
        <is>
          <t>Crítico</t>
        </is>
      </c>
      <c r="Q673" s="3" t="inlineStr">
        <is>
          <t>Obrigatória no escopo da versão</t>
        </is>
      </c>
      <c r="R673" s="10" t="inlineStr">
        <is>
          <t>Autor + agente de IA</t>
        </is>
      </c>
      <c r="S673" s="10" t="inlineStr"/>
      <c r="T673" s="11" t="inlineStr"/>
      <c r="U673" s="3" t="inlineStr">
        <is>
          <t>reports/S62/SL-S62-01.md</t>
        </is>
      </c>
      <c r="V673" s="10" t="inlineStr"/>
      <c r="W673" s="10" t="inlineStr"/>
      <c r="X673" s="3">
        <f>IF(N673="Concluído",IF(AND(S673&lt;&gt;"",ISNUMBER(T673),T673&gt;0,V673&lt;&gt;"",AND(OR(X672="OK",X672="DISPENSADO"))),"OK","REVISAR"),IF(N673="Dispensado (ADR)",IF(AND(LEFT(Q673,11)="Condicional",W673&lt;&gt;"",S673&lt;&gt;"",ISNUMBER(T673),T673&gt;0,V673&lt;&gt;""),"DISPENSADO","REVISAR"),"PENDENTE"))</f>
        <v/>
      </c>
      <c r="Y673" s="10" t="inlineStr"/>
    </row>
    <row r="674" ht="112" customHeight="1">
      <c r="A674" s="3" t="n">
        <v>673</v>
      </c>
      <c r="B674" s="3" t="inlineStr">
        <is>
          <t>SL-S62-02</t>
        </is>
      </c>
      <c r="C674" s="9" t="inlineStr">
        <is>
          <t>v1.1.0</t>
        </is>
      </c>
      <c r="D674" s="9" t="inlineStr">
        <is>
          <t>S62</t>
        </is>
      </c>
      <c r="E674" s="3" t="inlineStr">
        <is>
          <t>Recovery / observabilidade local</t>
        </is>
      </c>
      <c r="F674" s="3" t="inlineStr">
        <is>
          <t>Próprio</t>
        </is>
      </c>
      <c r="G674" s="3" t="inlineStr">
        <is>
          <t>Implementação</t>
        </is>
      </c>
      <c r="H674" s="3" t="inlineStr">
        <is>
          <t>Adicionar preview de reparo</t>
        </is>
      </c>
      <c r="I674" s="3" t="inlineStr">
        <is>
          <t>Listar arquivos afetados, causa e resultado antes de modificar.</t>
        </is>
      </c>
      <c r="J674" s="3" t="inlineStr">
        <is>
          <t>crates/recovery/src/plan.rs</t>
        </is>
      </c>
      <c r="K674" s="3" t="inlineStr">
        <is>
          <t>Operação destrutiva não é escondida dentro de botão reconstruir índice.</t>
        </is>
      </c>
      <c r="L674" s="3" t="inlineStr">
        <is>
          <t>SL-S62-01</t>
        </is>
      </c>
      <c r="M674" s="3" t="inlineStr">
        <is>
          <t>R02; R05; R08; R29; R31; R37</t>
        </is>
      </c>
      <c r="N674" s="10" t="inlineStr">
        <is>
          <t>Não iniciado</t>
        </is>
      </c>
      <c r="O674" s="3" t="inlineStr">
        <is>
          <t>P0</t>
        </is>
      </c>
      <c r="P674" s="3" t="inlineStr">
        <is>
          <t>Crítico</t>
        </is>
      </c>
      <c r="Q674" s="3" t="inlineStr">
        <is>
          <t>Obrigatória no escopo da versão</t>
        </is>
      </c>
      <c r="R674" s="10" t="inlineStr">
        <is>
          <t>Autor + agente de IA</t>
        </is>
      </c>
      <c r="S674" s="10" t="inlineStr"/>
      <c r="T674" s="11" t="inlineStr"/>
      <c r="U674" s="3" t="inlineStr">
        <is>
          <t>reports/S62/SL-S62-02.md</t>
        </is>
      </c>
      <c r="V674" s="10" t="inlineStr"/>
      <c r="W674" s="10" t="inlineStr"/>
      <c r="X674" s="3">
        <f>IF(N674="Concluído",IF(AND(S674&lt;&gt;"",ISNUMBER(T674),T674&gt;0,V674&lt;&gt;"",AND(OR(X673="OK",X673="DISPENSADO"))),"OK","REVISAR"),IF(N674="Dispensado (ADR)",IF(AND(LEFT(Q674,11)="Condicional",W674&lt;&gt;"",S674&lt;&gt;"",ISNUMBER(T674),T674&gt;0,V674&lt;&gt;""),"DISPENSADO","REVISAR"),"PENDENTE"))</f>
        <v/>
      </c>
      <c r="Y674" s="10" t="inlineStr"/>
    </row>
    <row r="675" ht="112" customHeight="1">
      <c r="A675" s="3" t="n">
        <v>674</v>
      </c>
      <c r="B675" s="3" t="inlineStr">
        <is>
          <t>SL-S62-03</t>
        </is>
      </c>
      <c r="C675" s="9" t="inlineStr">
        <is>
          <t>v1.1.0</t>
        </is>
      </c>
      <c r="D675" s="9" t="inlineStr">
        <is>
          <t>S62</t>
        </is>
      </c>
      <c r="E675" s="3" t="inlineStr">
        <is>
          <t>Recovery / observabilidade local</t>
        </is>
      </c>
      <c r="F675" s="3" t="inlineStr">
        <is>
          <t>Próprio</t>
        </is>
      </c>
      <c r="G675" s="3" t="inlineStr">
        <is>
          <t>Implementação</t>
        </is>
      </c>
      <c r="H675" s="3" t="inlineStr">
        <is>
          <t>Criar checkpoint de reparo</t>
        </is>
      </c>
      <c r="I675" s="3" t="inlineStr">
        <is>
          <t>Preservar reversibilidade conforme política de retenção.</t>
        </is>
      </c>
      <c r="J675" s="3" t="inlineStr">
        <is>
          <t>crates/recovery/src/checkpoint.rs</t>
        </is>
      </c>
      <c r="K675" s="3" t="inlineStr">
        <is>
          <t>Reparo pode ser desfeito sem perder alterações confirmadas posteriores indevidamente.</t>
        </is>
      </c>
      <c r="L675" s="3" t="inlineStr">
        <is>
          <t>SL-S62-02</t>
        </is>
      </c>
      <c r="M675" s="3" t="inlineStr">
        <is>
          <t>R02; R05; R08; R29; R31; R37</t>
        </is>
      </c>
      <c r="N675" s="10" t="inlineStr">
        <is>
          <t>Não iniciado</t>
        </is>
      </c>
      <c r="O675" s="3" t="inlineStr">
        <is>
          <t>P0</t>
        </is>
      </c>
      <c r="P675" s="3" t="inlineStr">
        <is>
          <t>Crítico</t>
        </is>
      </c>
      <c r="Q675" s="3" t="inlineStr">
        <is>
          <t>Obrigatória no escopo da versão</t>
        </is>
      </c>
      <c r="R675" s="10" t="inlineStr">
        <is>
          <t>Autor + agente de IA</t>
        </is>
      </c>
      <c r="S675" s="10" t="inlineStr"/>
      <c r="T675" s="11" t="inlineStr"/>
      <c r="U675" s="3" t="inlineStr">
        <is>
          <t>reports/S62/SL-S62-03.md</t>
        </is>
      </c>
      <c r="V675" s="10" t="inlineStr"/>
      <c r="W675" s="10" t="inlineStr"/>
      <c r="X675" s="3">
        <f>IF(N675="Concluído",IF(AND(S675&lt;&gt;"",ISNUMBER(T675),T675&gt;0,V675&lt;&gt;"",AND(OR(X674="OK",X674="DISPENSADO"))),"OK","REVISAR"),IF(N675="Dispensado (ADR)",IF(AND(LEFT(Q675,11)="Condicional",W675&lt;&gt;"",S675&lt;&gt;"",ISNUMBER(T675),T675&gt;0,V675&lt;&gt;""),"DISPENSADO","REVISAR"),"PENDENTE"))</f>
        <v/>
      </c>
      <c r="Y675" s="10" t="inlineStr"/>
    </row>
    <row r="676" ht="112" customHeight="1">
      <c r="A676" s="3" t="n">
        <v>675</v>
      </c>
      <c r="B676" s="3" t="inlineStr">
        <is>
          <t>SL-S62-04</t>
        </is>
      </c>
      <c r="C676" s="9" t="inlineStr">
        <is>
          <t>v1.1.0</t>
        </is>
      </c>
      <c r="D676" s="9" t="inlineStr">
        <is>
          <t>S62</t>
        </is>
      </c>
      <c r="E676" s="3" t="inlineStr">
        <is>
          <t>Recovery / observabilidade local</t>
        </is>
      </c>
      <c r="F676" s="3" t="inlineStr">
        <is>
          <t>Próprio</t>
        </is>
      </c>
      <c r="G676" s="3" t="inlineStr">
        <is>
          <t>Implementação</t>
        </is>
      </c>
      <c r="H676" s="3" t="inlineStr">
        <is>
          <t>Melhorar reconciliação assistida</t>
        </is>
      </c>
      <c r="I676" s="3" t="inlineStr">
        <is>
          <t>Resolver órfãos e conflitos por decisão explícita.</t>
        </is>
      </c>
      <c r="J676" s="3" t="inlineStr">
        <is>
          <t>apps/desktop/src/diagnostics/reconcile.ts</t>
        </is>
      </c>
      <c r="K676" s="3" t="inlineStr">
        <is>
          <t>Sistema não escolhe automaticamente o arquivo mais novo como verdade universal.</t>
        </is>
      </c>
      <c r="L676" s="3" t="inlineStr">
        <is>
          <t>SL-S62-03</t>
        </is>
      </c>
      <c r="M676" s="3" t="inlineStr">
        <is>
          <t>R02; R05; R08; R29; R31; R37</t>
        </is>
      </c>
      <c r="N676" s="10" t="inlineStr">
        <is>
          <t>Não iniciado</t>
        </is>
      </c>
      <c r="O676" s="3" t="inlineStr">
        <is>
          <t>P0</t>
        </is>
      </c>
      <c r="P676" s="3" t="inlineStr">
        <is>
          <t>Crítico</t>
        </is>
      </c>
      <c r="Q676" s="3" t="inlineStr">
        <is>
          <t>Obrigatória no escopo da versão</t>
        </is>
      </c>
      <c r="R676" s="10" t="inlineStr">
        <is>
          <t>Autor + agente de IA</t>
        </is>
      </c>
      <c r="S676" s="10" t="inlineStr"/>
      <c r="T676" s="11" t="inlineStr"/>
      <c r="U676" s="3" t="inlineStr">
        <is>
          <t>reports/S62/SL-S62-04.md</t>
        </is>
      </c>
      <c r="V676" s="10" t="inlineStr"/>
      <c r="W676" s="10" t="inlineStr"/>
      <c r="X676" s="3">
        <f>IF(N676="Concluído",IF(AND(S676&lt;&gt;"",ISNUMBER(T676),T676&gt;0,V676&lt;&gt;"",AND(OR(X675="OK",X675="DISPENSADO"))),"OK","REVISAR"),IF(N676="Dispensado (ADR)",IF(AND(LEFT(Q676,11)="Condicional",W676&lt;&gt;"",S676&lt;&gt;"",ISNUMBER(T676),T676&gt;0,V676&lt;&gt;""),"DISPENSADO","REVISAR"),"PENDENTE"))</f>
        <v/>
      </c>
      <c r="Y676" s="10" t="inlineStr"/>
    </row>
    <row r="677" ht="112" customHeight="1">
      <c r="A677" s="3" t="n">
        <v>676</v>
      </c>
      <c r="B677" s="3" t="inlineStr">
        <is>
          <t>SL-S62-05</t>
        </is>
      </c>
      <c r="C677" s="9" t="inlineStr">
        <is>
          <t>v1.1.0</t>
        </is>
      </c>
      <c r="D677" s="9" t="inlineStr">
        <is>
          <t>S62</t>
        </is>
      </c>
      <c r="E677" s="3" t="inlineStr">
        <is>
          <t>Recovery / observabilidade local</t>
        </is>
      </c>
      <c r="F677" s="3" t="inlineStr">
        <is>
          <t>Próprio</t>
        </is>
      </c>
      <c r="G677" s="3" t="inlineStr">
        <is>
          <t>Implementação</t>
        </is>
      </c>
      <c r="H677" s="3" t="inlineStr">
        <is>
          <t>Criar export de diagnóstico saneado</t>
        </is>
      </c>
      <c r="I677" s="3" t="inlineStr">
        <is>
          <t>Remover corpo documental, caminhos sensíveis e segredos por padrão.</t>
        </is>
      </c>
      <c r="J677" s="3" t="inlineStr">
        <is>
          <t>crates/diagnostics/src/export.rs</t>
        </is>
      </c>
      <c r="K677" s="3" t="inlineStr">
        <is>
          <t>Fixtures-semente privadas não aparecem no pacote compartilhável.</t>
        </is>
      </c>
      <c r="L677" s="3" t="inlineStr">
        <is>
          <t>SL-S62-04</t>
        </is>
      </c>
      <c r="M677" s="3" t="inlineStr">
        <is>
          <t>R02; R05; R08; R29; R31; R37</t>
        </is>
      </c>
      <c r="N677" s="10" t="inlineStr">
        <is>
          <t>Não iniciado</t>
        </is>
      </c>
      <c r="O677" s="3" t="inlineStr">
        <is>
          <t>P0</t>
        </is>
      </c>
      <c r="P677" s="3" t="inlineStr">
        <is>
          <t>Crítico</t>
        </is>
      </c>
      <c r="Q677" s="3" t="inlineStr">
        <is>
          <t>Obrigatória no escopo da versão</t>
        </is>
      </c>
      <c r="R677" s="10" t="inlineStr">
        <is>
          <t>Autor + agente de IA</t>
        </is>
      </c>
      <c r="S677" s="10" t="inlineStr"/>
      <c r="T677" s="11" t="inlineStr"/>
      <c r="U677" s="3" t="inlineStr">
        <is>
          <t>reports/S62/SL-S62-05.md</t>
        </is>
      </c>
      <c r="V677" s="10" t="inlineStr"/>
      <c r="W677" s="10" t="inlineStr"/>
      <c r="X677" s="3">
        <f>IF(N677="Concluído",IF(AND(S677&lt;&gt;"",ISNUMBER(T677),T677&gt;0,V677&lt;&gt;"",AND(OR(X676="OK",X676="DISPENSADO"))),"OK","REVISAR"),IF(N677="Dispensado (ADR)",IF(AND(LEFT(Q677,11)="Condicional",W677&lt;&gt;"",S677&lt;&gt;"",ISNUMBER(T677),T677&gt;0,V677&lt;&gt;""),"DISPENSADO","REVISAR"),"PENDENTE"))</f>
        <v/>
      </c>
      <c r="Y677" s="10" t="inlineStr"/>
    </row>
    <row r="678" ht="112" customHeight="1">
      <c r="A678" s="3" t="n">
        <v>677</v>
      </c>
      <c r="B678" s="3" t="inlineStr">
        <is>
          <t>SL-S62-06</t>
        </is>
      </c>
      <c r="C678" s="9" t="inlineStr">
        <is>
          <t>v1.1.0</t>
        </is>
      </c>
      <c r="D678" s="9" t="inlineStr">
        <is>
          <t>S62</t>
        </is>
      </c>
      <c r="E678" s="3" t="inlineStr">
        <is>
          <t>Recovery / observabilidade local</t>
        </is>
      </c>
      <c r="F678" s="3" t="inlineStr">
        <is>
          <t>Próprio</t>
        </is>
      </c>
      <c r="G678" s="3" t="inlineStr">
        <is>
          <t>Implementação</t>
        </is>
      </c>
      <c r="H678" s="3" t="inlineStr">
        <is>
          <t>Explicar consumo por capacidade</t>
        </is>
      </c>
      <c r="I678" s="3" t="inlineStr">
        <is>
          <t>Atribuir recursos a modelo, browser, OCR, indexador e editor.</t>
        </is>
      </c>
      <c r="J678" s="3" t="inlineStr">
        <is>
          <t>apps/desktop/src/diagnostics/resources.ts</t>
        </is>
      </c>
      <c r="K678" s="3" t="inlineStr">
        <is>
          <t>Usuário pode pausar o causador real sem encerrar o app inteiro.</t>
        </is>
      </c>
      <c r="L678" s="3" t="inlineStr">
        <is>
          <t>SL-S62-05</t>
        </is>
      </c>
      <c r="M678" s="3" t="inlineStr">
        <is>
          <t>R02; R05; R08; R29; R31; R37</t>
        </is>
      </c>
      <c r="N678" s="10" t="inlineStr">
        <is>
          <t>Não iniciado</t>
        </is>
      </c>
      <c r="O678" s="3" t="inlineStr">
        <is>
          <t>P0</t>
        </is>
      </c>
      <c r="P678" s="3" t="inlineStr">
        <is>
          <t>Crítico</t>
        </is>
      </c>
      <c r="Q678" s="3" t="inlineStr">
        <is>
          <t>Obrigatória no escopo da versão</t>
        </is>
      </c>
      <c r="R678" s="10" t="inlineStr">
        <is>
          <t>Autor + agente de IA</t>
        </is>
      </c>
      <c r="S678" s="10" t="inlineStr"/>
      <c r="T678" s="11" t="inlineStr"/>
      <c r="U678" s="3" t="inlineStr">
        <is>
          <t>reports/S62/SL-S62-06.md</t>
        </is>
      </c>
      <c r="V678" s="10" t="inlineStr"/>
      <c r="W678" s="10" t="inlineStr"/>
      <c r="X678" s="3">
        <f>IF(N678="Concluído",IF(AND(S678&lt;&gt;"",ISNUMBER(T678),T678&gt;0,V678&lt;&gt;"",AND(OR(X677="OK",X677="DISPENSADO"))),"OK","REVISAR"),IF(N678="Dispensado (ADR)",IF(AND(LEFT(Q678,11)="Condicional",W678&lt;&gt;"",S678&lt;&gt;"",ISNUMBER(T678),T678&gt;0,V678&lt;&gt;""),"DISPENSADO","REVISAR"),"PENDENTE"))</f>
        <v/>
      </c>
      <c r="Y678" s="10" t="inlineStr"/>
    </row>
    <row r="679" ht="112" customHeight="1">
      <c r="A679" s="3" t="n">
        <v>678</v>
      </c>
      <c r="B679" s="3" t="inlineStr">
        <is>
          <t>SL-S62-07</t>
        </is>
      </c>
      <c r="C679" s="9" t="inlineStr">
        <is>
          <t>v1.1.0</t>
        </is>
      </c>
      <c r="D679" s="9" t="inlineStr">
        <is>
          <t>S62</t>
        </is>
      </c>
      <c r="E679" s="3" t="inlineStr">
        <is>
          <t>Recovery / observabilidade local</t>
        </is>
      </c>
      <c r="F679" s="3" t="inlineStr">
        <is>
          <t>Próprio</t>
        </is>
      </c>
      <c r="G679" s="3" t="inlineStr">
        <is>
          <t>Implementação</t>
        </is>
      </c>
      <c r="H679" s="3" t="inlineStr">
        <is>
          <t>Melhorar retomada de jobs</t>
        </is>
      </c>
      <c r="I679" s="3" t="inlineStr">
        <is>
          <t>Distinguir retry seguro, nova versão do input e tarefa manual necessária.</t>
        </is>
      </c>
      <c r="J679" s="3" t="inlineStr">
        <is>
          <t>crates/jobs/src/recovery.rs</t>
        </is>
      </c>
      <c r="K679" s="3" t="inlineStr">
        <is>
          <t>Job antigo não repete envio remoto após consentimento revogado.</t>
        </is>
      </c>
      <c r="L679" s="3" t="inlineStr">
        <is>
          <t>SL-S62-06</t>
        </is>
      </c>
      <c r="M679" s="3" t="inlineStr">
        <is>
          <t>R02; R05; R08; R29; R31; R37</t>
        </is>
      </c>
      <c r="N679" s="10" t="inlineStr">
        <is>
          <t>Não iniciado</t>
        </is>
      </c>
      <c r="O679" s="3" t="inlineStr">
        <is>
          <t>P0</t>
        </is>
      </c>
      <c r="P679" s="3" t="inlineStr">
        <is>
          <t>Crítico</t>
        </is>
      </c>
      <c r="Q679" s="3" t="inlineStr">
        <is>
          <t>Obrigatória no escopo da versão</t>
        </is>
      </c>
      <c r="R679" s="10" t="inlineStr">
        <is>
          <t>Autor + agente de IA</t>
        </is>
      </c>
      <c r="S679" s="10" t="inlineStr"/>
      <c r="T679" s="11" t="inlineStr"/>
      <c r="U679" s="3" t="inlineStr">
        <is>
          <t>reports/S62/SL-S62-07.md</t>
        </is>
      </c>
      <c r="V679" s="10" t="inlineStr"/>
      <c r="W679" s="10" t="inlineStr"/>
      <c r="X679" s="3">
        <f>IF(N679="Concluído",IF(AND(S679&lt;&gt;"",ISNUMBER(T679),T679&gt;0,V679&lt;&gt;"",AND(OR(X678="OK",X678="DISPENSADO"))),"OK","REVISAR"),IF(N679="Dispensado (ADR)",IF(AND(LEFT(Q679,11)="Condicional",W679&lt;&gt;"",S679&lt;&gt;"",ISNUMBER(T679),T679&gt;0,V679&lt;&gt;""),"DISPENSADO","REVISAR"),"PENDENTE"))</f>
        <v/>
      </c>
      <c r="Y679" s="10" t="inlineStr"/>
    </row>
    <row r="680" ht="112" customHeight="1">
      <c r="A680" s="3" t="n">
        <v>679</v>
      </c>
      <c r="B680" s="3" t="inlineStr">
        <is>
          <t>SL-S62-08</t>
        </is>
      </c>
      <c r="C680" s="9" t="inlineStr">
        <is>
          <t>v1.1.0</t>
        </is>
      </c>
      <c r="D680" s="9" t="inlineStr">
        <is>
          <t>S62</t>
        </is>
      </c>
      <c r="E680" s="3" t="inlineStr">
        <is>
          <t>Recovery / observabilidade local</t>
        </is>
      </c>
      <c r="F680" s="3" t="inlineStr">
        <is>
          <t>Próprio</t>
        </is>
      </c>
      <c r="G680" s="3" t="inlineStr">
        <is>
          <t>Teste</t>
        </is>
      </c>
      <c r="H680" s="3" t="inlineStr">
        <is>
          <t>Ensaiar corrupção combinada</t>
        </is>
      </c>
      <c r="I680" s="3" t="inlineStr">
        <is>
          <t>Misturar cache inválido, arquivo ausente e journal incompleto em cópia descartável.</t>
        </is>
      </c>
      <c r="J680" s="3" t="inlineStr">
        <is>
          <t>tests/recovery/scenarios/</t>
        </is>
      </c>
      <c r="K680" s="3" t="inlineStr">
        <is>
          <t>Ferramenta conserva dados recuperáveis e relata o que não pode reconstruir.</t>
        </is>
      </c>
      <c r="L680" s="3" t="inlineStr">
        <is>
          <t>SL-S62-07</t>
        </is>
      </c>
      <c r="M680" s="3" t="inlineStr">
        <is>
          <t>R02; R05; R08; R29; R31; R37</t>
        </is>
      </c>
      <c r="N680" s="10" t="inlineStr">
        <is>
          <t>Não iniciado</t>
        </is>
      </c>
      <c r="O680" s="3" t="inlineStr">
        <is>
          <t>P0</t>
        </is>
      </c>
      <c r="P680" s="3" t="inlineStr">
        <is>
          <t>Crítico</t>
        </is>
      </c>
      <c r="Q680" s="3" t="inlineStr">
        <is>
          <t>Obrigatória no escopo da versão</t>
        </is>
      </c>
      <c r="R680" s="10" t="inlineStr">
        <is>
          <t>Autor + agente de IA</t>
        </is>
      </c>
      <c r="S680" s="10" t="inlineStr"/>
      <c r="T680" s="11" t="inlineStr"/>
      <c r="U680" s="3" t="inlineStr">
        <is>
          <t>reports/S62/SL-S62-08.md</t>
        </is>
      </c>
      <c r="V680" s="10" t="inlineStr"/>
      <c r="W680" s="10" t="inlineStr"/>
      <c r="X680" s="3">
        <f>IF(N680="Concluído",IF(AND(S680&lt;&gt;"",ISNUMBER(T680),T680&gt;0,V680&lt;&gt;"",AND(OR(X679="OK",X679="DISPENSADO"))),"OK","REVISAR"),IF(N680="Dispensado (ADR)",IF(AND(LEFT(Q680,11)="Condicional",W680&lt;&gt;"",S680&lt;&gt;"",ISNUMBER(T680),T680&gt;0,V680&lt;&gt;""),"DISPENSADO","REVISAR"),"PENDENTE"))</f>
        <v/>
      </c>
      <c r="Y680" s="10" t="inlineStr"/>
    </row>
    <row r="681" ht="112" customHeight="1">
      <c r="A681" s="3" t="n">
        <v>680</v>
      </c>
      <c r="B681" s="3" t="inlineStr">
        <is>
          <t>SL-S62-09</t>
        </is>
      </c>
      <c r="C681" s="9" t="inlineStr">
        <is>
          <t>v1.1.0</t>
        </is>
      </c>
      <c r="D681" s="9" t="inlineStr">
        <is>
          <t>S62</t>
        </is>
      </c>
      <c r="E681" s="3" t="inlineStr">
        <is>
          <t>Recovery / observabilidade local</t>
        </is>
      </c>
      <c r="F681" s="3" t="inlineStr">
        <is>
          <t>Próprio</t>
        </is>
      </c>
      <c r="G681" s="3" t="inlineStr">
        <is>
          <t>Teste</t>
        </is>
      </c>
      <c r="H681" s="3" t="inlineStr">
        <is>
          <t>Testar privacidade do suporte</t>
        </is>
      </c>
      <c r="I681" s="3" t="inlineStr">
        <is>
          <t>Tentar incluir segredos/metadados por caminhos de erro e dumps.</t>
        </is>
      </c>
      <c r="J681" s="3" t="inlineStr">
        <is>
          <t>reports/recovery/privacy.json</t>
        </is>
      </c>
      <c r="K681" s="3" t="inlineStr">
        <is>
          <t>Diagnóstico automático não envia dados; compartilhamento é opção explícita.</t>
        </is>
      </c>
      <c r="L681" s="3" t="inlineStr">
        <is>
          <t>SL-S62-08</t>
        </is>
      </c>
      <c r="M681" s="3" t="inlineStr">
        <is>
          <t>R02; R05; R08; R29; R31; R37</t>
        </is>
      </c>
      <c r="N681" s="10" t="inlineStr">
        <is>
          <t>Não iniciado</t>
        </is>
      </c>
      <c r="O681" s="3" t="inlineStr">
        <is>
          <t>P0</t>
        </is>
      </c>
      <c r="P681" s="3" t="inlineStr">
        <is>
          <t>Crítico</t>
        </is>
      </c>
      <c r="Q681" s="3" t="inlineStr">
        <is>
          <t>Obrigatória no escopo da versão</t>
        </is>
      </c>
      <c r="R681" s="10" t="inlineStr">
        <is>
          <t>Autor + agente de IA</t>
        </is>
      </c>
      <c r="S681" s="10" t="inlineStr"/>
      <c r="T681" s="11" t="inlineStr"/>
      <c r="U681" s="3" t="inlineStr">
        <is>
          <t>reports/S62/SL-S62-09.md</t>
        </is>
      </c>
      <c r="V681" s="10" t="inlineStr"/>
      <c r="W681" s="10" t="inlineStr"/>
      <c r="X681" s="3">
        <f>IF(N681="Concluído",IF(AND(S681&lt;&gt;"",ISNUMBER(T681),T681&gt;0,V681&lt;&gt;"",AND(OR(X680="OK",X680="DISPENSADO"))),"OK","REVISAR"),IF(N681="Dispensado (ADR)",IF(AND(LEFT(Q681,11)="Condicional",W681&lt;&gt;"",S681&lt;&gt;"",ISNUMBER(T681),T681&gt;0,V681&lt;&gt;""),"DISPENSADO","REVISAR"),"PENDENTE"))</f>
        <v/>
      </c>
      <c r="Y681" s="10" t="inlineStr"/>
    </row>
    <row r="682" ht="112" customHeight="1">
      <c r="A682" s="3" t="n">
        <v>681</v>
      </c>
      <c r="B682" s="3" t="inlineStr">
        <is>
          <t>SL-S62-10</t>
        </is>
      </c>
      <c r="C682" s="9" t="inlineStr">
        <is>
          <t>v1.1.0</t>
        </is>
      </c>
      <c r="D682" s="9" t="inlineStr">
        <is>
          <t>S62</t>
        </is>
      </c>
      <c r="E682" s="3" t="inlineStr">
        <is>
          <t>Recovery / observabilidade local</t>
        </is>
      </c>
      <c r="F682" s="3" t="inlineStr">
        <is>
          <t>Próprio</t>
        </is>
      </c>
      <c r="G682" s="3" t="inlineStr">
        <is>
          <t>Documentação</t>
        </is>
      </c>
      <c r="H682" s="3" t="inlineStr">
        <is>
          <t>Escrever runbooks</t>
        </is>
      </c>
      <c r="I682" s="3" t="inlineStr">
        <is>
          <t>Guiar situações de disco cheio, modelo corrompido, índice perdido e conflito Git.</t>
        </is>
      </c>
      <c r="J682" s="3" t="inlineStr">
        <is>
          <t>docs/user/troubleshooting/</t>
        </is>
      </c>
      <c r="K682" s="3" t="inlineStr">
        <is>
          <t>Usuário pode seguir passos sem executar comandos desconhecidos como administrador.</t>
        </is>
      </c>
      <c r="L682" s="3" t="inlineStr">
        <is>
          <t>SL-S62-09</t>
        </is>
      </c>
      <c r="M682" s="3" t="inlineStr">
        <is>
          <t>R02; R05; R08; R29; R31; R37</t>
        </is>
      </c>
      <c r="N682" s="10" t="inlineStr">
        <is>
          <t>Não iniciado</t>
        </is>
      </c>
      <c r="O682" s="3" t="inlineStr">
        <is>
          <t>P0</t>
        </is>
      </c>
      <c r="P682" s="3" t="inlineStr">
        <is>
          <t>Crítico</t>
        </is>
      </c>
      <c r="Q682" s="3" t="inlineStr">
        <is>
          <t>Obrigatória no escopo da versão</t>
        </is>
      </c>
      <c r="R682" s="10" t="inlineStr">
        <is>
          <t>Autor + agente de IA</t>
        </is>
      </c>
      <c r="S682" s="10" t="inlineStr"/>
      <c r="T682" s="11" t="inlineStr"/>
      <c r="U682" s="3" t="inlineStr">
        <is>
          <t>reports/S62/SL-S62-10.md</t>
        </is>
      </c>
      <c r="V682" s="10" t="inlineStr"/>
      <c r="W682" s="10" t="inlineStr"/>
      <c r="X682" s="3">
        <f>IF(N682="Concluído",IF(AND(S682&lt;&gt;"",ISNUMBER(T682),T682&gt;0,V682&lt;&gt;"",AND(OR(X681="OK",X681="DISPENSADO"))),"OK","REVISAR"),IF(N682="Dispensado (ADR)",IF(AND(LEFT(Q682,11)="Condicional",W682&lt;&gt;"",S682&lt;&gt;"",ISNUMBER(T682),T682&gt;0,V682&lt;&gt;""),"DISPENSADO","REVISAR"),"PENDENTE"))</f>
        <v/>
      </c>
      <c r="Y682" s="10" t="inlineStr"/>
    </row>
    <row r="683" ht="98" customHeight="1">
      <c r="A683" s="3" t="n">
        <v>682</v>
      </c>
      <c r="B683" s="12" t="inlineStr">
        <is>
          <t>SL-S62-GATE</t>
        </is>
      </c>
      <c r="C683" s="9" t="inlineStr">
        <is>
          <t>v1.1.0</t>
        </is>
      </c>
      <c r="D683" s="9" t="inlineStr">
        <is>
          <t>S62</t>
        </is>
      </c>
      <c r="E683" s="3" t="inlineStr">
        <is>
          <t>Recovery / observabilidade local</t>
        </is>
      </c>
      <c r="F683" s="3" t="inlineStr">
        <is>
          <t>Aceite humano</t>
        </is>
      </c>
      <c r="G683" s="12" t="inlineStr">
        <is>
          <t>Gate</t>
        </is>
      </c>
      <c r="H683" s="12" t="inlineStr">
        <is>
          <t>Aceitar S62 — Aprimorar recuperação assistida e diagnóstico</t>
        </is>
      </c>
      <c r="I683" s="3" t="inlineStr">
        <is>
          <t>Revisar as dez tarefas, executar a demonstração do sprint, confrontar critérios e registrar decisão go/no-go.</t>
        </is>
      </c>
      <c r="J683" s="3" t="inlineStr">
        <is>
          <t>reports/S62/acceptance.md</t>
        </is>
      </c>
      <c r="K683" s="3" t="inlineStr">
        <is>
          <t>Diagnosticar índice corrompido e conflito, reparar somente o que foi autorizado. Todas as dependências aceitas; evidências vinculadas a revisão/ambiente; nenhum blocker de integridade/segurança.</t>
        </is>
      </c>
      <c r="L683" s="3" t="inlineStr">
        <is>
          <t>SL-S62-01; SL-S62-02; SL-S62-03; SL-S62-04; SL-S62-05; SL-S62-06; SL-S62-07; SL-S62-08; SL-S62-09; SL-S62-10</t>
        </is>
      </c>
      <c r="M683" s="3" t="inlineStr">
        <is>
          <t>R02; R05; R08; R29; R31; R37</t>
        </is>
      </c>
      <c r="N683" s="10" t="inlineStr">
        <is>
          <t>Não iniciado</t>
        </is>
      </c>
      <c r="O683" s="3" t="inlineStr">
        <is>
          <t>P0</t>
        </is>
      </c>
      <c r="P683" s="3" t="inlineStr">
        <is>
          <t>Crítico</t>
        </is>
      </c>
      <c r="Q683" s="3" t="inlineStr">
        <is>
          <t>Obrigatória para fechar a versão aprovada</t>
        </is>
      </c>
      <c r="R683" s="10" t="inlineStr">
        <is>
          <t>Autor</t>
        </is>
      </c>
      <c r="S683" s="10" t="inlineStr"/>
      <c r="T683" s="11" t="inlineStr"/>
      <c r="U683" s="3" t="inlineStr">
        <is>
          <t>reports/S62/acceptance.md</t>
        </is>
      </c>
      <c r="V683" s="10" t="inlineStr"/>
      <c r="W683" s="10" t="inlineStr"/>
      <c r="X683" s="3">
        <f>IF(N683="Concluído",IF(AND(S683&lt;&gt;"",ISNUMBER(T683),T683&gt;0,V683&lt;&gt;"",AND(OR(X673="OK",X673="DISPENSADO"),OR(X674="OK",X674="DISPENSADO"),OR(X675="OK",X675="DISPENSADO"),OR(X676="OK",X676="DISPENSADO"),OR(X677="OK",X677="DISPENSADO"),OR(X678="OK",X678="DISPENSADO"),OR(X679="OK",X679="DISPENSADO"),OR(X680="OK",X680="DISPENSADO"),OR(X681="OK",X681="DISPENSADO"),OR(X682="OK",X682="DISPENSADO"))),"OK","REVISAR"),IF(N683="Dispensado (ADR)",IF(AND(LEFT(Q683,11)="Condicional",W683&lt;&gt;"",S683&lt;&gt;"",ISNUMBER(T683),T683&gt;0,V683&lt;&gt;""),"DISPENSADO","REVISAR"),"PENDENTE"))</f>
        <v/>
      </c>
      <c r="Y683" s="10" t="inlineStr"/>
    </row>
    <row r="684" ht="112" customHeight="1">
      <c r="A684" s="3" t="n">
        <v>683</v>
      </c>
      <c r="B684" s="3" t="inlineStr">
        <is>
          <t>SL-S63-01</t>
        </is>
      </c>
      <c r="C684" s="9" t="inlineStr">
        <is>
          <t>v1.1.0</t>
        </is>
      </c>
      <c r="D684" s="9" t="inlineStr">
        <is>
          <t>S63</t>
        </is>
      </c>
      <c r="E684" s="3" t="inlineStr">
        <is>
          <t>Upstreams / estabilidade</t>
        </is>
      </c>
      <c r="F684" s="3" t="inlineStr">
        <is>
          <t>Integração</t>
        </is>
      </c>
      <c r="G684" s="3" t="inlineStr">
        <is>
          <t>Upstream</t>
        </is>
      </c>
      <c r="H684" s="3" t="inlineStr">
        <is>
          <t>Revisar mudanças upstream</t>
        </is>
      </c>
      <c r="I684" s="3" t="inlineStr">
        <is>
          <t>Examinar somente versões pertinentes e correções relevantes dos motores adotados.</t>
        </is>
      </c>
      <c r="J684" s="3" t="inlineStr">
        <is>
          <t>reports/upstream/v1.1-review.md</t>
        </is>
      </c>
      <c r="K684" s="3" t="inlineStr">
        <is>
          <t>Não se atualizam todos os componentes apenas para perseguir latest.</t>
        </is>
      </c>
      <c r="L684" s="3" t="inlineStr">
        <is>
          <t>SL-S61-GATE; SL-S62-GATE</t>
        </is>
      </c>
      <c r="M684" s="3" t="inlineStr">
        <is>
          <t>R01; R30; R32; R33; R34</t>
        </is>
      </c>
      <c r="N684" s="10" t="inlineStr">
        <is>
          <t>Não iniciado</t>
        </is>
      </c>
      <c r="O684" s="3" t="inlineStr">
        <is>
          <t>P0</t>
        </is>
      </c>
      <c r="P684" s="3" t="inlineStr">
        <is>
          <t>Crítico</t>
        </is>
      </c>
      <c r="Q684" s="3" t="inlineStr">
        <is>
          <t>Obrigatória no escopo da versão</t>
        </is>
      </c>
      <c r="R684" s="10" t="inlineStr">
        <is>
          <t>Autor + agente de IA</t>
        </is>
      </c>
      <c r="S684" s="10" t="inlineStr"/>
      <c r="T684" s="11" t="inlineStr"/>
      <c r="U684" s="3" t="inlineStr">
        <is>
          <t>reports/S63/SL-S63-01.md</t>
        </is>
      </c>
      <c r="V684" s="10" t="inlineStr"/>
      <c r="W684" s="10" t="inlineStr"/>
      <c r="X684" s="3">
        <f>IF(N684="Concluído",IF(AND(S684&lt;&gt;"",ISNUMBER(T684),T684&gt;0,V684&lt;&gt;"",AND(OR(X672="OK",X672="DISPENSADO"),OR(X683="OK",X683="DISPENSADO"))),"OK","REVISAR"),IF(N684="Dispensado (ADR)",IF(AND(LEFT(Q684,11)="Condicional",W684&lt;&gt;"",S684&lt;&gt;"",ISNUMBER(T684),T684&gt;0,V684&lt;&gt;""),"DISPENSADO","REVISAR"),"PENDENTE"))</f>
        <v/>
      </c>
      <c r="Y684" s="10" t="inlineStr"/>
    </row>
    <row r="685" ht="112" customHeight="1">
      <c r="A685" s="3" t="n">
        <v>684</v>
      </c>
      <c r="B685" s="3" t="inlineStr">
        <is>
          <t>SL-S63-02</t>
        </is>
      </c>
      <c r="C685" s="9" t="inlineStr">
        <is>
          <t>v1.1.0</t>
        </is>
      </c>
      <c r="D685" s="9" t="inlineStr">
        <is>
          <t>S63</t>
        </is>
      </c>
      <c r="E685" s="3" t="inlineStr">
        <is>
          <t>Upstreams / estabilidade</t>
        </is>
      </c>
      <c r="F685" s="3" t="inlineStr">
        <is>
          <t>Integração</t>
        </is>
      </c>
      <c r="G685" s="3" t="inlineStr">
        <is>
          <t>Upstream</t>
        </is>
      </c>
      <c r="H685" s="3" t="inlineStr">
        <is>
          <t>Rebasear patches editoriais</t>
        </is>
      </c>
      <c r="I685" s="3" t="inlineStr">
        <is>
          <t>Aplicar série BlockSuite e verificar grafo de deps/licenças.</t>
        </is>
      </c>
      <c r="J685" s="3" t="inlineStr">
        <is>
          <t>upstream/blocksuite/patches/</t>
        </is>
      </c>
      <c r="K685" s="3" t="inlineStr">
        <is>
          <t>Round-trip, input e bundle continuam dentro do contrato.</t>
        </is>
      </c>
      <c r="L685" s="3" t="inlineStr">
        <is>
          <t>SL-S63-01</t>
        </is>
      </c>
      <c r="M685" s="3" t="inlineStr">
        <is>
          <t>R01; R30; R32; R33; R34</t>
        </is>
      </c>
      <c r="N685" s="10" t="inlineStr">
        <is>
          <t>Não iniciado</t>
        </is>
      </c>
      <c r="O685" s="3" t="inlineStr">
        <is>
          <t>P0</t>
        </is>
      </c>
      <c r="P685" s="3" t="inlineStr">
        <is>
          <t>Crítico</t>
        </is>
      </c>
      <c r="Q685" s="3" t="inlineStr">
        <is>
          <t>Obrigatória no escopo da versão</t>
        </is>
      </c>
      <c r="R685" s="10" t="inlineStr">
        <is>
          <t>Autor + agente de IA</t>
        </is>
      </c>
      <c r="S685" s="10" t="inlineStr"/>
      <c r="T685" s="11" t="inlineStr"/>
      <c r="U685" s="3" t="inlineStr">
        <is>
          <t>reports/S63/SL-S63-02.md</t>
        </is>
      </c>
      <c r="V685" s="10" t="inlineStr"/>
      <c r="W685" s="10" t="inlineStr"/>
      <c r="X685" s="3">
        <f>IF(N685="Concluído",IF(AND(S685&lt;&gt;"",ISNUMBER(T685),T685&gt;0,V685&lt;&gt;"",AND(OR(X684="OK",X684="DISPENSADO"))),"OK","REVISAR"),IF(N685="Dispensado (ADR)",IF(AND(LEFT(Q685,11)="Condicional",W685&lt;&gt;"",S685&lt;&gt;"",ISNUMBER(T685),T685&gt;0,V685&lt;&gt;""),"DISPENSADO","REVISAR"),"PENDENTE"))</f>
        <v/>
      </c>
      <c r="Y685" s="10" t="inlineStr"/>
    </row>
    <row r="686" ht="112" customHeight="1">
      <c r="A686" s="3" t="n">
        <v>685</v>
      </c>
      <c r="B686" s="3" t="inlineStr">
        <is>
          <t>SL-S63-03</t>
        </is>
      </c>
      <c r="C686" s="9" t="inlineStr">
        <is>
          <t>v1.1.0</t>
        </is>
      </c>
      <c r="D686" s="9" t="inlineStr">
        <is>
          <t>S63</t>
        </is>
      </c>
      <c r="E686" s="3" t="inlineStr">
        <is>
          <t>Upstreams / estabilidade</t>
        </is>
      </c>
      <c r="F686" s="3" t="inlineStr">
        <is>
          <t>Integração</t>
        </is>
      </c>
      <c r="G686" s="3" t="inlineStr">
        <is>
          <t>Upstream</t>
        </is>
      </c>
      <c r="H686" s="3" t="inlineStr">
        <is>
          <t>Rebasear recorte PageIndex</t>
        </is>
      </c>
      <c r="I686" s="3" t="inlineStr">
        <is>
          <t>Inspecionar ferramentas, prompts, model calls e identidade.</t>
        </is>
      </c>
      <c r="J686" s="3" t="inlineStr">
        <is>
          <t>upstream/pageindex/patches/</t>
        </is>
      </c>
      <c r="K686" s="3" t="inlineStr">
        <is>
          <t>Atualização não reintroduz cloud/store global ou renumeração de IDs autorais.</t>
        </is>
      </c>
      <c r="L686" s="3" t="inlineStr">
        <is>
          <t>SL-S63-02</t>
        </is>
      </c>
      <c r="M686" s="3" t="inlineStr">
        <is>
          <t>R01; R30; R32; R33; R34</t>
        </is>
      </c>
      <c r="N686" s="10" t="inlineStr">
        <is>
          <t>Não iniciado</t>
        </is>
      </c>
      <c r="O686" s="3" t="inlineStr">
        <is>
          <t>P0</t>
        </is>
      </c>
      <c r="P686" s="3" t="inlineStr">
        <is>
          <t>Crítico</t>
        </is>
      </c>
      <c r="Q686" s="3" t="inlineStr">
        <is>
          <t>Obrigatória no escopo da versão</t>
        </is>
      </c>
      <c r="R686" s="10" t="inlineStr">
        <is>
          <t>Autor + agente de IA</t>
        </is>
      </c>
      <c r="S686" s="10" t="inlineStr"/>
      <c r="T686" s="11" t="inlineStr"/>
      <c r="U686" s="3" t="inlineStr">
        <is>
          <t>reports/S63/SL-S63-03.md</t>
        </is>
      </c>
      <c r="V686" s="10" t="inlineStr"/>
      <c r="W686" s="10" t="inlineStr"/>
      <c r="X686" s="3">
        <f>IF(N686="Concluído",IF(AND(S686&lt;&gt;"",ISNUMBER(T686),T686&gt;0,V686&lt;&gt;"",AND(OR(X685="OK",X685="DISPENSADO"))),"OK","REVISAR"),IF(N686="Dispensado (ADR)",IF(AND(LEFT(Q686,11)="Condicional",W686&lt;&gt;"",S686&lt;&gt;"",ISNUMBER(T686),T686&gt;0,V686&lt;&gt;""),"DISPENSADO","REVISAR"),"PENDENTE"))</f>
        <v/>
      </c>
      <c r="Y686" s="10" t="inlineStr"/>
    </row>
    <row r="687" ht="112" customHeight="1">
      <c r="A687" s="3" t="n">
        <v>686</v>
      </c>
      <c r="B687" s="3" t="inlineStr">
        <is>
          <t>SL-S63-04</t>
        </is>
      </c>
      <c r="C687" s="9" t="inlineStr">
        <is>
          <t>v1.1.0</t>
        </is>
      </c>
      <c r="D687" s="9" t="inlineStr">
        <is>
          <t>S63</t>
        </is>
      </c>
      <c r="E687" s="3" t="inlineStr">
        <is>
          <t>Upstreams / estabilidade</t>
        </is>
      </c>
      <c r="F687" s="3" t="inlineStr">
        <is>
          <t>Integração</t>
        </is>
      </c>
      <c r="G687" s="3" t="inlineStr">
        <is>
          <t>Upstream</t>
        </is>
      </c>
      <c r="H687" s="3" t="inlineStr">
        <is>
          <t>Atualizar ingest/web quando necessário</t>
        </is>
      </c>
      <c r="I687" s="3" t="inlineStr">
        <is>
          <t>Verificar Docling, Scrapling, normalizador e engines SearxNG.</t>
        </is>
      </c>
      <c r="J687" s="3" t="inlineStr">
        <is>
          <t>upstream/maintenance-v1.1.json</t>
        </is>
      </c>
      <c r="K687" s="3" t="inlineStr">
        <is>
          <t>Mudanças de extração são avaliadas com corpus; fontes antigas não são reescritas automaticamente.</t>
        </is>
      </c>
      <c r="L687" s="3" t="inlineStr">
        <is>
          <t>SL-S63-03</t>
        </is>
      </c>
      <c r="M687" s="3" t="inlineStr">
        <is>
          <t>R01; R30; R32; R33; R34</t>
        </is>
      </c>
      <c r="N687" s="10" t="inlineStr">
        <is>
          <t>Não iniciado</t>
        </is>
      </c>
      <c r="O687" s="3" t="inlineStr">
        <is>
          <t>P0</t>
        </is>
      </c>
      <c r="P687" s="3" t="inlineStr">
        <is>
          <t>Crítico</t>
        </is>
      </c>
      <c r="Q687" s="3" t="inlineStr">
        <is>
          <t>Obrigatória no escopo da versão</t>
        </is>
      </c>
      <c r="R687" s="10" t="inlineStr">
        <is>
          <t>Autor + agente de IA</t>
        </is>
      </c>
      <c r="S687" s="10" t="inlineStr"/>
      <c r="T687" s="11" t="inlineStr"/>
      <c r="U687" s="3" t="inlineStr">
        <is>
          <t>reports/S63/SL-S63-04.md</t>
        </is>
      </c>
      <c r="V687" s="10" t="inlineStr"/>
      <c r="W687" s="10" t="inlineStr"/>
      <c r="X687" s="3">
        <f>IF(N687="Concluído",IF(AND(S687&lt;&gt;"",ISNUMBER(T687),T687&gt;0,V687&lt;&gt;"",AND(OR(X686="OK",X686="DISPENSADO"))),"OK","REVISAR"),IF(N687="Dispensado (ADR)",IF(AND(LEFT(Q687,11)="Condicional",W687&lt;&gt;"",S687&lt;&gt;"",ISNUMBER(T687),T687&gt;0,V687&lt;&gt;""),"DISPENSADO","REVISAR"),"PENDENTE"))</f>
        <v/>
      </c>
      <c r="Y687" s="10" t="inlineStr"/>
    </row>
    <row r="688" ht="112" customHeight="1">
      <c r="A688" s="3" t="n">
        <v>687</v>
      </c>
      <c r="B688" s="3" t="inlineStr">
        <is>
          <t>SL-S63-05</t>
        </is>
      </c>
      <c r="C688" s="9" t="inlineStr">
        <is>
          <t>v1.1.0</t>
        </is>
      </c>
      <c r="D688" s="9" t="inlineStr">
        <is>
          <t>S63</t>
        </is>
      </c>
      <c r="E688" s="3" t="inlineStr">
        <is>
          <t>Upstreams / estabilidade</t>
        </is>
      </c>
      <c r="F688" s="3" t="inlineStr">
        <is>
          <t>Integração</t>
        </is>
      </c>
      <c r="G688" s="3" t="inlineStr">
        <is>
          <t>Upstream</t>
        </is>
      </c>
      <c r="H688" s="3" t="inlineStr">
        <is>
          <t>Revisar LocalAI/modelos</t>
        </is>
      </c>
      <c r="I688" s="3" t="inlineStr">
        <is>
          <t>Separar atualização de runtime de mudança de pesos e backend.</t>
        </is>
      </c>
      <c r="J688" s="3" t="inlineStr">
        <is>
          <t>models/maintenance-v1.1.json</t>
        </is>
      </c>
      <c r="K688" s="3" t="inlineStr">
        <is>
          <t>Usuário não recebe troca silenciosa de modelo ou espaço de embeddings.</t>
        </is>
      </c>
      <c r="L688" s="3" t="inlineStr">
        <is>
          <t>SL-S63-04</t>
        </is>
      </c>
      <c r="M688" s="3" t="inlineStr">
        <is>
          <t>R01; R30; R32; R33; R34</t>
        </is>
      </c>
      <c r="N688" s="10" t="inlineStr">
        <is>
          <t>Não iniciado</t>
        </is>
      </c>
      <c r="O688" s="3" t="inlineStr">
        <is>
          <t>P0</t>
        </is>
      </c>
      <c r="P688" s="3" t="inlineStr">
        <is>
          <t>Crítico</t>
        </is>
      </c>
      <c r="Q688" s="3" t="inlineStr">
        <is>
          <t>Obrigatória no escopo da versão</t>
        </is>
      </c>
      <c r="R688" s="10" t="inlineStr">
        <is>
          <t>Autor + agente de IA</t>
        </is>
      </c>
      <c r="S688" s="10" t="inlineStr"/>
      <c r="T688" s="11" t="inlineStr"/>
      <c r="U688" s="3" t="inlineStr">
        <is>
          <t>reports/S63/SL-S63-05.md</t>
        </is>
      </c>
      <c r="V688" s="10" t="inlineStr"/>
      <c r="W688" s="10" t="inlineStr"/>
      <c r="X688" s="3">
        <f>IF(N688="Concluído",IF(AND(S688&lt;&gt;"",ISNUMBER(T688),T688&gt;0,V688&lt;&gt;"",AND(OR(X687="OK",X687="DISPENSADO"))),"OK","REVISAR"),IF(N688="Dispensado (ADR)",IF(AND(LEFT(Q688,11)="Condicional",W688&lt;&gt;"",S688&lt;&gt;"",ISNUMBER(T688),T688&gt;0,V688&lt;&gt;""),"DISPENSADO","REVISAR"),"PENDENTE"))</f>
        <v/>
      </c>
      <c r="Y688" s="10" t="inlineStr"/>
    </row>
    <row r="689" ht="112" customHeight="1">
      <c r="A689" s="3" t="n">
        <v>688</v>
      </c>
      <c r="B689" s="3" t="inlineStr">
        <is>
          <t>SL-S63-06</t>
        </is>
      </c>
      <c r="C689" s="9" t="inlineStr">
        <is>
          <t>v1.1.0</t>
        </is>
      </c>
      <c r="D689" s="9" t="inlineStr">
        <is>
          <t>S63</t>
        </is>
      </c>
      <c r="E689" s="3" t="inlineStr">
        <is>
          <t>Upstreams / estabilidade</t>
        </is>
      </c>
      <c r="F689" s="3" t="inlineStr">
        <is>
          <t>Integração</t>
        </is>
      </c>
      <c r="G689" s="3" t="inlineStr">
        <is>
          <t>Upstream</t>
        </is>
      </c>
      <c r="H689" s="3" t="inlineStr">
        <is>
          <t>Revisar backend de busca</t>
        </is>
      </c>
      <c r="I689" s="3" t="inlineStr">
        <is>
          <t>Testar índice/SDK escolhido e migração de cache em cópia descartável.</t>
        </is>
      </c>
      <c r="J689" s="3" t="inlineStr">
        <is>
          <t>reports/search/v1.1-upgrade.md</t>
        </is>
      </c>
      <c r="K689" s="3" t="inlineStr">
        <is>
          <t>Mudança do motor não exige modificar dados autorais para continuar funcionando.</t>
        </is>
      </c>
      <c r="L689" s="3" t="inlineStr">
        <is>
          <t>SL-S63-05</t>
        </is>
      </c>
      <c r="M689" s="3" t="inlineStr">
        <is>
          <t>R01; R30; R32; R33; R34</t>
        </is>
      </c>
      <c r="N689" s="10" t="inlineStr">
        <is>
          <t>Não iniciado</t>
        </is>
      </c>
      <c r="O689" s="3" t="inlineStr">
        <is>
          <t>P0</t>
        </is>
      </c>
      <c r="P689" s="3" t="inlineStr">
        <is>
          <t>Crítico</t>
        </is>
      </c>
      <c r="Q689" s="3" t="inlineStr">
        <is>
          <t>Obrigatória no escopo da versão</t>
        </is>
      </c>
      <c r="R689" s="10" t="inlineStr">
        <is>
          <t>Autor + agente de IA</t>
        </is>
      </c>
      <c r="S689" s="10" t="inlineStr"/>
      <c r="T689" s="11" t="inlineStr"/>
      <c r="U689" s="3" t="inlineStr">
        <is>
          <t>reports/S63/SL-S63-06.md</t>
        </is>
      </c>
      <c r="V689" s="10" t="inlineStr"/>
      <c r="W689" s="10" t="inlineStr"/>
      <c r="X689" s="3">
        <f>IF(N689="Concluído",IF(AND(S689&lt;&gt;"",ISNUMBER(T689),T689&gt;0,V689&lt;&gt;"",AND(OR(X688="OK",X688="DISPENSADO"))),"OK","REVISAR"),IF(N689="Dispensado (ADR)",IF(AND(LEFT(Q689,11)="Condicional",W689&lt;&gt;"",S689&lt;&gt;"",ISNUMBER(T689),T689&gt;0,V689&lt;&gt;""),"DISPENSADO","REVISAR"),"PENDENTE"))</f>
        <v/>
      </c>
      <c r="Y689" s="10" t="inlineStr"/>
    </row>
    <row r="690" ht="112" customHeight="1">
      <c r="A690" s="3" t="n">
        <v>689</v>
      </c>
      <c r="B690" s="3" t="inlineStr">
        <is>
          <t>SL-S63-07</t>
        </is>
      </c>
      <c r="C690" s="9" t="inlineStr">
        <is>
          <t>v1.1.0</t>
        </is>
      </c>
      <c r="D690" s="9" t="inlineStr">
        <is>
          <t>S63</t>
        </is>
      </c>
      <c r="E690" s="3" t="inlineStr">
        <is>
          <t>Upstreams / estabilidade</t>
        </is>
      </c>
      <c r="F690" s="3" t="inlineStr">
        <is>
          <t>Integração</t>
        </is>
      </c>
      <c r="G690" s="3" t="inlineStr">
        <is>
          <t>Teste</t>
        </is>
      </c>
      <c r="H690" s="3" t="inlineStr">
        <is>
          <t>Executar comparação diferencial</t>
        </is>
      </c>
      <c r="I690" s="3" t="inlineStr">
        <is>
          <t>Rodar corpus antigo e novo comparando estrutura, busca e citações.</t>
        </is>
      </c>
      <c r="J690" s="3" t="inlineStr">
        <is>
          <t>reports/v1.1/differential.json</t>
        </is>
      </c>
      <c r="K690" s="3" t="inlineStr">
        <is>
          <t>Ganho em um corpus não oculta regressão de escopo, IDs ou fonte.</t>
        </is>
      </c>
      <c r="L690" s="3" t="inlineStr">
        <is>
          <t>SL-S63-06</t>
        </is>
      </c>
      <c r="M690" s="3" t="inlineStr">
        <is>
          <t>R01; R30; R32; R33; R34</t>
        </is>
      </c>
      <c r="N690" s="10" t="inlineStr">
        <is>
          <t>Não iniciado</t>
        </is>
      </c>
      <c r="O690" s="3" t="inlineStr">
        <is>
          <t>P0</t>
        </is>
      </c>
      <c r="P690" s="3" t="inlineStr">
        <is>
          <t>Crítico</t>
        </is>
      </c>
      <c r="Q690" s="3" t="inlineStr">
        <is>
          <t>Obrigatória no escopo da versão</t>
        </is>
      </c>
      <c r="R690" s="10" t="inlineStr">
        <is>
          <t>Autor + agente de IA</t>
        </is>
      </c>
      <c r="S690" s="10" t="inlineStr"/>
      <c r="T690" s="11" t="inlineStr"/>
      <c r="U690" s="3" t="inlineStr">
        <is>
          <t>reports/S63/SL-S63-07.md</t>
        </is>
      </c>
      <c r="V690" s="10" t="inlineStr"/>
      <c r="W690" s="10" t="inlineStr"/>
      <c r="X690" s="3">
        <f>IF(N690="Concluído",IF(AND(S690&lt;&gt;"",ISNUMBER(T690),T690&gt;0,V690&lt;&gt;"",AND(OR(X689="OK",X689="DISPENSADO"))),"OK","REVISAR"),IF(N690="Dispensado (ADR)",IF(AND(LEFT(Q690,11)="Condicional",W690&lt;&gt;"",S690&lt;&gt;"",ISNUMBER(T690),T690&gt;0,V690&lt;&gt;""),"DISPENSADO","REVISAR"),"PENDENTE"))</f>
        <v/>
      </c>
      <c r="Y690" s="10" t="inlineStr"/>
    </row>
    <row r="691" ht="112" customHeight="1">
      <c r="A691" s="3" t="n">
        <v>690</v>
      </c>
      <c r="B691" s="3" t="inlineStr">
        <is>
          <t>SL-S63-08</t>
        </is>
      </c>
      <c r="C691" s="9" t="inlineStr">
        <is>
          <t>v1.1.0</t>
        </is>
      </c>
      <c r="D691" s="9" t="inlineStr">
        <is>
          <t>S63</t>
        </is>
      </c>
      <c r="E691" s="3" t="inlineStr">
        <is>
          <t>Upstreams / estabilidade</t>
        </is>
      </c>
      <c r="F691" s="3" t="inlineStr">
        <is>
          <t>Integração</t>
        </is>
      </c>
      <c r="G691" s="3" t="inlineStr">
        <is>
          <t>Licença</t>
        </is>
      </c>
      <c r="H691" s="3" t="inlineStr">
        <is>
          <t>Atualizar SBOM/fontes</t>
        </is>
      </c>
      <c r="I691" s="3" t="inlineStr">
        <is>
          <t>Registrar novas versões, avisos, patches e artefatos distribuídos.</t>
        </is>
      </c>
      <c r="J691" s="3" t="inlineStr">
        <is>
          <t>compliance/releases/v1.1.0/</t>
        </is>
      </c>
      <c r="K691" s="3" t="inlineStr">
        <is>
          <t>Inventário corresponde ao pacote publicado, não só às dependências de desenvolvimento.</t>
        </is>
      </c>
      <c r="L691" s="3" t="inlineStr">
        <is>
          <t>SL-S63-07</t>
        </is>
      </c>
      <c r="M691" s="3" t="inlineStr">
        <is>
          <t>R01; R30; R32; R33; R34</t>
        </is>
      </c>
      <c r="N691" s="10" t="inlineStr">
        <is>
          <t>Não iniciado</t>
        </is>
      </c>
      <c r="O691" s="3" t="inlineStr">
        <is>
          <t>P0</t>
        </is>
      </c>
      <c r="P691" s="3" t="inlineStr">
        <is>
          <t>Crítico</t>
        </is>
      </c>
      <c r="Q691" s="3" t="inlineStr">
        <is>
          <t>Obrigatória no escopo da versão</t>
        </is>
      </c>
      <c r="R691" s="10" t="inlineStr">
        <is>
          <t>Autor</t>
        </is>
      </c>
      <c r="S691" s="10" t="inlineStr"/>
      <c r="T691" s="11" t="inlineStr"/>
      <c r="U691" s="3" t="inlineStr">
        <is>
          <t>reports/S63/SL-S63-08.md</t>
        </is>
      </c>
      <c r="V691" s="10" t="inlineStr"/>
      <c r="W691" s="10" t="inlineStr"/>
      <c r="X691" s="3">
        <f>IF(N691="Concluído",IF(AND(S691&lt;&gt;"",ISNUMBER(T691),T691&gt;0,V691&lt;&gt;"",AND(OR(X690="OK",X690="DISPENSADO"))),"OK","REVISAR"),IF(N691="Dispensado (ADR)",IF(AND(LEFT(Q691,11)="Condicional",W691&lt;&gt;"",S691&lt;&gt;"",ISNUMBER(T691),T691&gt;0,V691&lt;&gt;""),"DISPENSADO","REVISAR"),"PENDENTE"))</f>
        <v/>
      </c>
      <c r="Y691" s="10" t="inlineStr"/>
    </row>
    <row r="692" ht="112" customHeight="1">
      <c r="A692" s="3" t="n">
        <v>691</v>
      </c>
      <c r="B692" s="3" t="inlineStr">
        <is>
          <t>SL-S63-09</t>
        </is>
      </c>
      <c r="C692" s="9" t="inlineStr">
        <is>
          <t>v1.1.0</t>
        </is>
      </c>
      <c r="D692" s="9" t="inlineStr">
        <is>
          <t>S63</t>
        </is>
      </c>
      <c r="E692" s="3" t="inlineStr">
        <is>
          <t>Upstreams / estabilidade</t>
        </is>
      </c>
      <c r="F692" s="3" t="inlineStr">
        <is>
          <t>Integração</t>
        </is>
      </c>
      <c r="G692" s="3" t="inlineStr">
        <is>
          <t>Governança</t>
        </is>
      </c>
      <c r="H692" s="3" t="inlineStr">
        <is>
          <t>Contribuir correções genéricas</t>
        </is>
      </c>
      <c r="I692" s="3" t="inlineStr">
        <is>
          <t>Preparar propostas upstream quando adequado, sem depender da aceitação para preservar segurança.</t>
        </is>
      </c>
      <c r="J692" s="3" t="inlineStr">
        <is>
          <t>upstream/contributions-v1.1.md</t>
        </is>
      </c>
      <c r="K692" s="3" t="inlineStr">
        <is>
          <t>Mudança mantém rastreabilidade e termos; PR não enviado não é anunciado como contribuição aceita.</t>
        </is>
      </c>
      <c r="L692" s="3" t="inlineStr">
        <is>
          <t>SL-S63-08</t>
        </is>
      </c>
      <c r="M692" s="3" t="inlineStr">
        <is>
          <t>R01; R30; R32; R33; R34</t>
        </is>
      </c>
      <c r="N692" s="10" t="inlineStr">
        <is>
          <t>Não iniciado</t>
        </is>
      </c>
      <c r="O692" s="3" t="inlineStr">
        <is>
          <t>P0</t>
        </is>
      </c>
      <c r="P692" s="3" t="inlineStr">
        <is>
          <t>Crítico</t>
        </is>
      </c>
      <c r="Q692" s="3" t="inlineStr">
        <is>
          <t>Obrigatória no escopo da versão</t>
        </is>
      </c>
      <c r="R692" s="10" t="inlineStr">
        <is>
          <t>Autor</t>
        </is>
      </c>
      <c r="S692" s="10" t="inlineStr"/>
      <c r="T692" s="11" t="inlineStr"/>
      <c r="U692" s="3" t="inlineStr">
        <is>
          <t>reports/S63/SL-S63-09.md</t>
        </is>
      </c>
      <c r="V692" s="10" t="inlineStr"/>
      <c r="W692" s="10" t="inlineStr"/>
      <c r="X692" s="3">
        <f>IF(N692="Concluído",IF(AND(S692&lt;&gt;"",ISNUMBER(T692),T692&gt;0,V692&lt;&gt;"",AND(OR(X691="OK",X691="DISPENSADO"))),"OK","REVISAR"),IF(N692="Dispensado (ADR)",IF(AND(LEFT(Q692,11)="Condicional",W692&lt;&gt;"",S692&lt;&gt;"",ISNUMBER(T692),T692&gt;0,V692&lt;&gt;""),"DISPENSADO","REVISAR"),"PENDENTE"))</f>
        <v/>
      </c>
      <c r="Y692" s="10" t="inlineStr"/>
    </row>
    <row r="693" ht="112" customHeight="1">
      <c r="A693" s="3" t="n">
        <v>692</v>
      </c>
      <c r="B693" s="3" t="inlineStr">
        <is>
          <t>SL-S63-10</t>
        </is>
      </c>
      <c r="C693" s="9" t="inlineStr">
        <is>
          <t>v1.1.0</t>
        </is>
      </c>
      <c r="D693" s="9" t="inlineStr">
        <is>
          <t>S63</t>
        </is>
      </c>
      <c r="E693" s="3" t="inlineStr">
        <is>
          <t>Upstreams / estabilidade</t>
        </is>
      </c>
      <c r="F693" s="3" t="inlineStr">
        <is>
          <t>Integração</t>
        </is>
      </c>
      <c r="G693" s="3" t="inlineStr">
        <is>
          <t>Release</t>
        </is>
      </c>
      <c r="H693" s="3" t="inlineStr">
        <is>
          <t>Publicar v1.1 e verificar rollback</t>
        </is>
      </c>
      <c r="I693" s="3" t="inlineStr">
        <is>
          <t>Incluir fixes, suporte, diagnóstico e restauração testada.</t>
        </is>
      </c>
      <c r="J693" s="3" t="inlineStr">
        <is>
          <t>release/v1.1.0/</t>
        </is>
      </c>
      <c r="K693" s="3" t="inlineStr">
        <is>
          <t>Usuário v1.0 atualiza sem perder dados e dispõe de procedimento de retorno compatível.</t>
        </is>
      </c>
      <c r="L693" s="3" t="inlineStr">
        <is>
          <t>SL-S63-09</t>
        </is>
      </c>
      <c r="M693" s="3" t="inlineStr">
        <is>
          <t>R01; R30; R32; R33; R34</t>
        </is>
      </c>
      <c r="N693" s="10" t="inlineStr">
        <is>
          <t>Não iniciado</t>
        </is>
      </c>
      <c r="O693" s="3" t="inlineStr">
        <is>
          <t>P0</t>
        </is>
      </c>
      <c r="P693" s="3" t="inlineStr">
        <is>
          <t>Crítico</t>
        </is>
      </c>
      <c r="Q693" s="3" t="inlineStr">
        <is>
          <t>Obrigatória no escopo da versão</t>
        </is>
      </c>
      <c r="R693" s="10" t="inlineStr">
        <is>
          <t>Autor</t>
        </is>
      </c>
      <c r="S693" s="10" t="inlineStr"/>
      <c r="T693" s="11" t="inlineStr"/>
      <c r="U693" s="3" t="inlineStr">
        <is>
          <t>reports/S63/SL-S63-10.md</t>
        </is>
      </c>
      <c r="V693" s="10" t="inlineStr"/>
      <c r="W693" s="10" t="inlineStr"/>
      <c r="X693" s="3">
        <f>IF(N693="Concluído",IF(AND(S693&lt;&gt;"",ISNUMBER(T693),T693&gt;0,V693&lt;&gt;"",AND(OR(X692="OK",X692="DISPENSADO"))),"OK","REVISAR"),IF(N693="Dispensado (ADR)",IF(AND(LEFT(Q693,11)="Condicional",W693&lt;&gt;"",S693&lt;&gt;"",ISNUMBER(T693),T693&gt;0,V693&lt;&gt;""),"DISPENSADO","REVISAR"),"PENDENTE"))</f>
        <v/>
      </c>
      <c r="Y693" s="10" t="inlineStr"/>
    </row>
    <row r="694" ht="98" customHeight="1">
      <c r="A694" s="3" t="n">
        <v>693</v>
      </c>
      <c r="B694" s="12" t="inlineStr">
        <is>
          <t>SL-S63-GATE</t>
        </is>
      </c>
      <c r="C694" s="9" t="inlineStr">
        <is>
          <t>v1.1.0</t>
        </is>
      </c>
      <c r="D694" s="9" t="inlineStr">
        <is>
          <t>S63</t>
        </is>
      </c>
      <c r="E694" s="3" t="inlineStr">
        <is>
          <t>Upstreams / estabilidade</t>
        </is>
      </c>
      <c r="F694" s="3" t="inlineStr">
        <is>
          <t>Aceite humano</t>
        </is>
      </c>
      <c r="G694" s="12" t="inlineStr">
        <is>
          <t>Gate</t>
        </is>
      </c>
      <c r="H694" s="12" t="inlineStr">
        <is>
          <t>Aceitar S63 — Atualizar motores com segurança e publicar v1.1</t>
        </is>
      </c>
      <c r="I694" s="3" t="inlineStr">
        <is>
          <t>Revisar as dez tarefas, executar a demonstração do sprint, confrontar critérios e registrar decisão go/no-go.</t>
        </is>
      </c>
      <c r="J694" s="3" t="inlineStr">
        <is>
          <t>reports/S63/acceptance.md</t>
        </is>
      </c>
      <c r="K694" s="3" t="inlineStr">
        <is>
          <t>Atualizar recorte necessário, comparar resultados e reverter se um contrato quebrar. Todas as dependências aceitas; evidências vinculadas a revisão/ambiente; nenhum blocker de integridade/segurança.</t>
        </is>
      </c>
      <c r="L694" s="3" t="inlineStr">
        <is>
          <t>SL-S63-01; SL-S63-02; SL-S63-03; SL-S63-04; SL-S63-05; SL-S63-06; SL-S63-07; SL-S63-08; SL-S63-09; SL-S63-10</t>
        </is>
      </c>
      <c r="M694" s="3" t="inlineStr">
        <is>
          <t>R01; R30; R32; R33; R34</t>
        </is>
      </c>
      <c r="N694" s="10" t="inlineStr">
        <is>
          <t>Não iniciado</t>
        </is>
      </c>
      <c r="O694" s="3" t="inlineStr">
        <is>
          <t>P0</t>
        </is>
      </c>
      <c r="P694" s="3" t="inlineStr">
        <is>
          <t>Crítico</t>
        </is>
      </c>
      <c r="Q694" s="3" t="inlineStr">
        <is>
          <t>Obrigatória para fechar a versão aprovada</t>
        </is>
      </c>
      <c r="R694" s="10" t="inlineStr">
        <is>
          <t>Autor</t>
        </is>
      </c>
      <c r="S694" s="10" t="inlineStr"/>
      <c r="T694" s="11" t="inlineStr"/>
      <c r="U694" s="3" t="inlineStr">
        <is>
          <t>reports/S63/acceptance.md</t>
        </is>
      </c>
      <c r="V694" s="10" t="inlineStr"/>
      <c r="W694" s="10" t="inlineStr"/>
      <c r="X694" s="3">
        <f>IF(N694="Concluído",IF(AND(S694&lt;&gt;"",ISNUMBER(T694),T694&gt;0,V694&lt;&gt;"",AND(OR(X684="OK",X684="DISPENSADO"),OR(X685="OK",X685="DISPENSADO"),OR(X686="OK",X686="DISPENSADO"),OR(X687="OK",X687="DISPENSADO"),OR(X688="OK",X688="DISPENSADO"),OR(X689="OK",X689="DISPENSADO"),OR(X690="OK",X690="DISPENSADO"),OR(X691="OK",X691="DISPENSADO"),OR(X692="OK",X692="DISPENSADO"),OR(X693="OK",X693="DISPENSADO"))),"OK","REVISAR"),IF(N694="Dispensado (ADR)",IF(AND(LEFT(Q694,11)="Condicional",W694&lt;&gt;"",S694&lt;&gt;"",ISNUMBER(T694),T694&gt;0,V694&lt;&gt;""),"DISPENSADO","REVISAR"),"PENDENTE"))</f>
        <v/>
      </c>
      <c r="Y694" s="10" t="inlineStr"/>
    </row>
    <row r="695" ht="112" customHeight="1">
      <c r="A695" s="3" t="n">
        <v>694</v>
      </c>
      <c r="B695" s="3" t="inlineStr">
        <is>
          <t>SL-S64-01</t>
        </is>
      </c>
      <c r="C695" s="9" t="inlineStr">
        <is>
          <t>v1.2.0</t>
        </is>
      </c>
      <c r="D695" s="9" t="inlineStr">
        <is>
          <t>S64</t>
        </is>
      </c>
      <c r="E695" s="3" t="inlineStr">
        <is>
          <t>Escala / pipelines</t>
        </is>
      </c>
      <c r="F695" s="3" t="inlineStr">
        <is>
          <t>Evolução proposta</t>
        </is>
      </c>
      <c r="G695" s="3" t="inlineStr">
        <is>
          <t>Decisão</t>
        </is>
      </c>
      <c r="H695" s="3" t="inlineStr">
        <is>
          <t>Confirmar escopo de escala</t>
        </is>
      </c>
      <c r="I695" s="3" t="inlineStr">
        <is>
          <t>Ratificar metas/corpus de ADR-017 e preservar os budgets base.</t>
        </is>
      </c>
      <c r="J695" s="3" t="inlineStr">
        <is>
          <t>docs/product/scale-v1.2.md</t>
        </is>
      </c>
      <c r="K695" s="3" t="inlineStr">
        <is>
          <t>Novo alvo é definido antes do benchmark, não depois de ver resultados favoráveis.</t>
        </is>
      </c>
      <c r="L695" s="3" t="inlineStr">
        <is>
          <t>SL-S61-GATE; SL-S63-GATE</t>
        </is>
      </c>
      <c r="M695" s="3" t="inlineStr">
        <is>
          <t>R09; R12; R14; R21; R22; R36</t>
        </is>
      </c>
      <c r="N695" s="10" t="inlineStr">
        <is>
          <t>Não iniciado</t>
        </is>
      </c>
      <c r="O695" s="3" t="inlineStr">
        <is>
          <t>P0</t>
        </is>
      </c>
      <c r="P695" s="3" t="inlineStr">
        <is>
          <t>Alto</t>
        </is>
      </c>
      <c r="Q695" s="3" t="inlineStr">
        <is>
          <t>Condicional à ratificação do escopo pós-v1 (ADR-017/018)</t>
        </is>
      </c>
      <c r="R695" s="10" t="inlineStr">
        <is>
          <t>Autor</t>
        </is>
      </c>
      <c r="S695" s="10" t="inlineStr"/>
      <c r="T695" s="11" t="inlineStr"/>
      <c r="U695" s="3" t="inlineStr">
        <is>
          <t>reports/S64/SL-S64-01.md</t>
        </is>
      </c>
      <c r="V695" s="10" t="inlineStr"/>
      <c r="W695" s="10" t="inlineStr"/>
      <c r="X695" s="3">
        <f>IF(N695="Concluído",IF(AND(S695&lt;&gt;"",ISNUMBER(T695),T695&gt;0,V695&lt;&gt;"",AND(OR(X672="OK",X672="DISPENSADO"),OR(X694="OK",X694="DISPENSADO"))),"OK","REVISAR"),IF(N695="Dispensado (ADR)",IF(AND(LEFT(Q695,11)="Condicional",W695&lt;&gt;"",S695&lt;&gt;"",ISNUMBER(T695),T695&gt;0,V695&lt;&gt;""),"DISPENSADO","REVISAR"),"PENDENTE"))</f>
        <v/>
      </c>
      <c r="Y695" s="10" t="inlineStr"/>
    </row>
    <row r="696" ht="112" customHeight="1">
      <c r="A696" s="3" t="n">
        <v>695</v>
      </c>
      <c r="B696" s="3" t="inlineStr">
        <is>
          <t>SL-S64-02</t>
        </is>
      </c>
      <c r="C696" s="9" t="inlineStr">
        <is>
          <t>v1.2.0</t>
        </is>
      </c>
      <c r="D696" s="9" t="inlineStr">
        <is>
          <t>S64</t>
        </is>
      </c>
      <c r="E696" s="3" t="inlineStr">
        <is>
          <t>Escala / pipelines</t>
        </is>
      </c>
      <c r="F696" s="3" t="inlineStr">
        <is>
          <t>Evolução proposta</t>
        </is>
      </c>
      <c r="G696" s="3" t="inlineStr">
        <is>
          <t>Teste</t>
        </is>
      </c>
      <c r="H696" s="3" t="inlineStr">
        <is>
          <t>Identificar gargalos</t>
        </is>
      </c>
      <c r="I696" s="3" t="inlineStr">
        <is>
          <t>Perfilar parsing, snapshots, indexação, queries, summaries e cena separadamente.</t>
        </is>
      </c>
      <c r="J696" s="3" t="inlineStr">
        <is>
          <t>reports/scale/hotspots.json</t>
        </is>
      </c>
      <c r="K696" s="3" t="inlineStr">
        <is>
          <t>Otimização nasce de evidência e não de preferência por reescrever Python em Rust.</t>
        </is>
      </c>
      <c r="L696" s="3" t="inlineStr">
        <is>
          <t>SL-S64-01</t>
        </is>
      </c>
      <c r="M696" s="3" t="inlineStr">
        <is>
          <t>R09; R12; R14; R21; R22; R36</t>
        </is>
      </c>
      <c r="N696" s="10" t="inlineStr">
        <is>
          <t>Não iniciado</t>
        </is>
      </c>
      <c r="O696" s="3" t="inlineStr">
        <is>
          <t>P2</t>
        </is>
      </c>
      <c r="P696" s="3" t="inlineStr">
        <is>
          <t>Alto</t>
        </is>
      </c>
      <c r="Q696" s="3" t="inlineStr">
        <is>
          <t>Condicional à ratificação do escopo pós-v1 (ADR-017/018)</t>
        </is>
      </c>
      <c r="R696" s="10" t="inlineStr">
        <is>
          <t>Autor + agente de IA</t>
        </is>
      </c>
      <c r="S696" s="10" t="inlineStr"/>
      <c r="T696" s="11" t="inlineStr"/>
      <c r="U696" s="3" t="inlineStr">
        <is>
          <t>reports/S64/SL-S64-02.md</t>
        </is>
      </c>
      <c r="V696" s="10" t="inlineStr"/>
      <c r="W696" s="10" t="inlineStr"/>
      <c r="X696" s="3">
        <f>IF(N696="Concluído",IF(AND(S696&lt;&gt;"",ISNUMBER(T696),T696&gt;0,V696&lt;&gt;"",AND(OR(X695="OK",X695="DISPENSADO"))),"OK","REVISAR"),IF(N696="Dispensado (ADR)",IF(AND(LEFT(Q696,11)="Condicional",W696&lt;&gt;"",S696&lt;&gt;"",ISNUMBER(T696),T696&gt;0,V696&lt;&gt;""),"DISPENSADO","REVISAR"),"PENDENTE"))</f>
        <v/>
      </c>
      <c r="Y696" s="10" t="inlineStr"/>
    </row>
    <row r="697" ht="112" customHeight="1">
      <c r="A697" s="3" t="n">
        <v>696</v>
      </c>
      <c r="B697" s="3" t="inlineStr">
        <is>
          <t>SL-S64-03</t>
        </is>
      </c>
      <c r="C697" s="9" t="inlineStr">
        <is>
          <t>v1.2.0</t>
        </is>
      </c>
      <c r="D697" s="9" t="inlineStr">
        <is>
          <t>S64</t>
        </is>
      </c>
      <c r="E697" s="3" t="inlineStr">
        <is>
          <t>Escala / pipelines</t>
        </is>
      </c>
      <c r="F697" s="3" t="inlineStr">
        <is>
          <t>Evolução proposta</t>
        </is>
      </c>
      <c r="G697" s="3" t="inlineStr">
        <is>
          <t>Implementação</t>
        </is>
      </c>
      <c r="H697" s="3" t="inlineStr">
        <is>
          <t>Otimizar filas de lote</t>
        </is>
      </c>
      <c r="I697" s="3" t="inlineStr">
        <is>
          <t>Introduzir prioridades/fairness e backpressure para UI versus tarefas em massa.</t>
        </is>
      </c>
      <c r="J697" s="3" t="inlineStr">
        <is>
          <t>crates/jobs/src/batch_scheduler.rs</t>
        </is>
      </c>
      <c r="K697" s="3" t="inlineStr">
        <is>
          <t>Lote grande não impede salvar edição ou cancelar tarefa prioritária.</t>
        </is>
      </c>
      <c r="L697" s="3" t="inlineStr">
        <is>
          <t>SL-S64-02</t>
        </is>
      </c>
      <c r="M697" s="3" t="inlineStr">
        <is>
          <t>R09; R12; R14; R21; R22; R36</t>
        </is>
      </c>
      <c r="N697" s="10" t="inlineStr">
        <is>
          <t>Não iniciado</t>
        </is>
      </c>
      <c r="O697" s="3" t="inlineStr">
        <is>
          <t>P2</t>
        </is>
      </c>
      <c r="P697" s="3" t="inlineStr">
        <is>
          <t>Alto</t>
        </is>
      </c>
      <c r="Q697" s="3" t="inlineStr">
        <is>
          <t>Condicional à ratificação do escopo pós-v1 (ADR-017/018)</t>
        </is>
      </c>
      <c r="R697" s="10" t="inlineStr">
        <is>
          <t>Autor + agente de IA</t>
        </is>
      </c>
      <c r="S697" s="10" t="inlineStr"/>
      <c r="T697" s="11" t="inlineStr"/>
      <c r="U697" s="3" t="inlineStr">
        <is>
          <t>reports/S64/SL-S64-03.md</t>
        </is>
      </c>
      <c r="V697" s="10" t="inlineStr"/>
      <c r="W697" s="10" t="inlineStr"/>
      <c r="X697" s="3">
        <f>IF(N697="Concluído",IF(AND(S697&lt;&gt;"",ISNUMBER(T697),T697&gt;0,V697&lt;&gt;"",AND(OR(X696="OK",X696="DISPENSADO"))),"OK","REVISAR"),IF(N697="Dispensado (ADR)",IF(AND(LEFT(Q697,11)="Condicional",W697&lt;&gt;"",S697&lt;&gt;"",ISNUMBER(T697),T697&gt;0,V697&lt;&gt;""),"DISPENSADO","REVISAR"),"PENDENTE"))</f>
        <v/>
      </c>
      <c r="Y697" s="10" t="inlineStr"/>
    </row>
    <row r="698" ht="112" customHeight="1">
      <c r="A698" s="3" t="n">
        <v>697</v>
      </c>
      <c r="B698" s="3" t="inlineStr">
        <is>
          <t>SL-S64-04</t>
        </is>
      </c>
      <c r="C698" s="9" t="inlineStr">
        <is>
          <t>v1.2.0</t>
        </is>
      </c>
      <c r="D698" s="9" t="inlineStr">
        <is>
          <t>S64</t>
        </is>
      </c>
      <c r="E698" s="3" t="inlineStr">
        <is>
          <t>Escala / pipelines</t>
        </is>
      </c>
      <c r="F698" s="3" t="inlineStr">
        <is>
          <t>Evolução proposta</t>
        </is>
      </c>
      <c r="G698" s="3" t="inlineStr">
        <is>
          <t>Implementação</t>
        </is>
      </c>
      <c r="H698" s="3" t="inlineStr">
        <is>
          <t>Otimizar parsing incremental</t>
        </is>
      </c>
      <c r="I698" s="3" t="inlineStr">
        <is>
          <t>Reaproveitar revisões/unidades quando backend permitir sem perder cobertura.</t>
        </is>
      </c>
      <c r="J698" s="3" t="inlineStr">
        <is>
          <t>crates/ingest/src/incremental_extract.rs</t>
        </is>
      </c>
      <c r="K698" s="3" t="inlineStr">
        <is>
          <t>Documento alterado não reutiliza texto de páginas incompatíveis apenas por posição.</t>
        </is>
      </c>
      <c r="L698" s="3" t="inlineStr">
        <is>
          <t>SL-S64-03</t>
        </is>
      </c>
      <c r="M698" s="3" t="inlineStr">
        <is>
          <t>R09; R12; R14; R21; R22; R36</t>
        </is>
      </c>
      <c r="N698" s="10" t="inlineStr">
        <is>
          <t>Não iniciado</t>
        </is>
      </c>
      <c r="O698" s="3" t="inlineStr">
        <is>
          <t>P2</t>
        </is>
      </c>
      <c r="P698" s="3" t="inlineStr">
        <is>
          <t>Alto</t>
        </is>
      </c>
      <c r="Q698" s="3" t="inlineStr">
        <is>
          <t>Condicional à ratificação do escopo pós-v1 (ADR-017/018)</t>
        </is>
      </c>
      <c r="R698" s="10" t="inlineStr">
        <is>
          <t>Autor + agente de IA</t>
        </is>
      </c>
      <c r="S698" s="10" t="inlineStr"/>
      <c r="T698" s="11" t="inlineStr"/>
      <c r="U698" s="3" t="inlineStr">
        <is>
          <t>reports/S64/SL-S64-04.md</t>
        </is>
      </c>
      <c r="V698" s="10" t="inlineStr"/>
      <c r="W698" s="10" t="inlineStr"/>
      <c r="X698" s="3">
        <f>IF(N698="Concluído",IF(AND(S698&lt;&gt;"",ISNUMBER(T698),T698&gt;0,V698&lt;&gt;"",AND(OR(X697="OK",X697="DISPENSADO"))),"OK","REVISAR"),IF(N698="Dispensado (ADR)",IF(AND(LEFT(Q698,11)="Condicional",W698&lt;&gt;"",S698&lt;&gt;"",ISNUMBER(T698),T698&gt;0,V698&lt;&gt;""),"DISPENSADO","REVISAR"),"PENDENTE"))</f>
        <v/>
      </c>
      <c r="Y698" s="10" t="inlineStr"/>
    </row>
    <row r="699" ht="112" customHeight="1">
      <c r="A699" s="3" t="n">
        <v>698</v>
      </c>
      <c r="B699" s="3" t="inlineStr">
        <is>
          <t>SL-S64-05</t>
        </is>
      </c>
      <c r="C699" s="9" t="inlineStr">
        <is>
          <t>v1.2.0</t>
        </is>
      </c>
      <c r="D699" s="9" t="inlineStr">
        <is>
          <t>S64</t>
        </is>
      </c>
      <c r="E699" s="3" t="inlineStr">
        <is>
          <t>Escala / pipelines</t>
        </is>
      </c>
      <c r="F699" s="3" t="inlineStr">
        <is>
          <t>Evolução proposta</t>
        </is>
      </c>
      <c r="G699" s="3" t="inlineStr">
        <is>
          <t>Implementação</t>
        </is>
      </c>
      <c r="H699" s="3" t="inlineStr">
        <is>
          <t>Otimizar indexação em geração</t>
        </is>
      </c>
      <c r="I699" s="3" t="inlineStr">
        <is>
          <t>Agrupar upserts e publicar revisão consistente com tombstones.</t>
        </is>
      </c>
      <c r="J699" s="3" t="inlineStr">
        <is>
          <t>crates/search/src/bulk_index.rs</t>
        </is>
      </c>
      <c r="K699" s="3" t="inlineStr">
        <is>
          <t>Pico de throughput não faz ressurgir material excluído.</t>
        </is>
      </c>
      <c r="L699" s="3" t="inlineStr">
        <is>
          <t>SL-S64-04</t>
        </is>
      </c>
      <c r="M699" s="3" t="inlineStr">
        <is>
          <t>R09; R12; R14; R21; R22; R36</t>
        </is>
      </c>
      <c r="N699" s="10" t="inlineStr">
        <is>
          <t>Não iniciado</t>
        </is>
      </c>
      <c r="O699" s="3" t="inlineStr">
        <is>
          <t>P2</t>
        </is>
      </c>
      <c r="P699" s="3" t="inlineStr">
        <is>
          <t>Alto</t>
        </is>
      </c>
      <c r="Q699" s="3" t="inlineStr">
        <is>
          <t>Condicional à ratificação do escopo pós-v1 (ADR-017/018)</t>
        </is>
      </c>
      <c r="R699" s="10" t="inlineStr">
        <is>
          <t>Autor + agente de IA</t>
        </is>
      </c>
      <c r="S699" s="10" t="inlineStr"/>
      <c r="T699" s="11" t="inlineStr"/>
      <c r="U699" s="3" t="inlineStr">
        <is>
          <t>reports/S64/SL-S64-05.md</t>
        </is>
      </c>
      <c r="V699" s="10" t="inlineStr"/>
      <c r="W699" s="10" t="inlineStr"/>
      <c r="X699" s="3">
        <f>IF(N699="Concluído",IF(AND(S699&lt;&gt;"",ISNUMBER(T699),T699&gt;0,V699&lt;&gt;"",AND(OR(X698="OK",X698="DISPENSADO"))),"OK","REVISAR"),IF(N699="Dispensado (ADR)",IF(AND(LEFT(Q699,11)="Condicional",W699&lt;&gt;"",S699&lt;&gt;"",ISNUMBER(T699),T699&gt;0,V699&lt;&gt;""),"DISPENSADO","REVISAR"),"PENDENTE"))</f>
        <v/>
      </c>
      <c r="Y699" s="10" t="inlineStr"/>
    </row>
    <row r="700" ht="112" customHeight="1">
      <c r="A700" s="3" t="n">
        <v>699</v>
      </c>
      <c r="B700" s="3" t="inlineStr">
        <is>
          <t>SL-S64-06</t>
        </is>
      </c>
      <c r="C700" s="9" t="inlineStr">
        <is>
          <t>v1.2.0</t>
        </is>
      </c>
      <c r="D700" s="9" t="inlineStr">
        <is>
          <t>S64</t>
        </is>
      </c>
      <c r="E700" s="3" t="inlineStr">
        <is>
          <t>Escala / pipelines</t>
        </is>
      </c>
      <c r="F700" s="3" t="inlineStr">
        <is>
          <t>Evolução proposta</t>
        </is>
      </c>
      <c r="G700" s="3" t="inlineStr">
        <is>
          <t>Implementação</t>
        </is>
      </c>
      <c r="H700" s="3" t="inlineStr">
        <is>
          <t>Otimizar contexto incremental</t>
        </is>
      </c>
      <c r="I700" s="3" t="inlineStr">
        <is>
          <t>Recalcular subárvores/grupos necessários e limitar entradas de cache.</t>
        </is>
      </c>
      <c r="J700" s="3" t="inlineStr">
        <is>
          <t>crates/context/src/incremental_large.rs</t>
        </is>
      </c>
      <c r="K700" s="3" t="inlineStr">
        <is>
          <t>Contexto permanece fiel às relações e não usa summaries obsoletos por economia.</t>
        </is>
      </c>
      <c r="L700" s="3" t="inlineStr">
        <is>
          <t>SL-S64-05</t>
        </is>
      </c>
      <c r="M700" s="3" t="inlineStr">
        <is>
          <t>R09; R12; R14; R21; R22; R36</t>
        </is>
      </c>
      <c r="N700" s="10" t="inlineStr">
        <is>
          <t>Não iniciado</t>
        </is>
      </c>
      <c r="O700" s="3" t="inlineStr">
        <is>
          <t>P2</t>
        </is>
      </c>
      <c r="P700" s="3" t="inlineStr">
        <is>
          <t>Alto</t>
        </is>
      </c>
      <c r="Q700" s="3" t="inlineStr">
        <is>
          <t>Condicional à ratificação do escopo pós-v1 (ADR-017/018)</t>
        </is>
      </c>
      <c r="R700" s="10" t="inlineStr">
        <is>
          <t>Autor + agente de IA</t>
        </is>
      </c>
      <c r="S700" s="10" t="inlineStr"/>
      <c r="T700" s="11" t="inlineStr"/>
      <c r="U700" s="3" t="inlineStr">
        <is>
          <t>reports/S64/SL-S64-06.md</t>
        </is>
      </c>
      <c r="V700" s="10" t="inlineStr"/>
      <c r="W700" s="10" t="inlineStr"/>
      <c r="X700" s="3">
        <f>IF(N700="Concluído",IF(AND(S700&lt;&gt;"",ISNUMBER(T700),T700&gt;0,V700&lt;&gt;"",AND(OR(X699="OK",X699="DISPENSADO"))),"OK","REVISAR"),IF(N700="Dispensado (ADR)",IF(AND(LEFT(Q700,11)="Condicional",W700&lt;&gt;"",S700&lt;&gt;"",ISNUMBER(T700),T700&gt;0,V700&lt;&gt;""),"DISPENSADO","REVISAR"),"PENDENTE"))</f>
        <v/>
      </c>
      <c r="Y700" s="10" t="inlineStr"/>
    </row>
    <row r="701" ht="112" customHeight="1">
      <c r="A701" s="3" t="n">
        <v>700</v>
      </c>
      <c r="B701" s="3" t="inlineStr">
        <is>
          <t>SL-S64-07</t>
        </is>
      </c>
      <c r="C701" s="9" t="inlineStr">
        <is>
          <t>v1.2.0</t>
        </is>
      </c>
      <c r="D701" s="9" t="inlineStr">
        <is>
          <t>S64</t>
        </is>
      </c>
      <c r="E701" s="3" t="inlineStr">
        <is>
          <t>Escala / pipelines</t>
        </is>
      </c>
      <c r="F701" s="3" t="inlineStr">
        <is>
          <t>Evolução proposta</t>
        </is>
      </c>
      <c r="G701" s="3" t="inlineStr">
        <is>
          <t>Implementação</t>
        </is>
      </c>
      <c r="H701" s="3" t="inlineStr">
        <is>
          <t>Otimizar viewport medida</t>
        </is>
      </c>
      <c r="I701" s="3" t="inlineStr">
        <is>
          <t>Corrigir gargalos de arestas/previews/texturas demonstrados.</t>
        </is>
      </c>
      <c r="J701" s="3" t="inlineStr">
        <is>
          <t>apps/desktop/src/board/perf/</t>
        </is>
      </c>
      <c r="K701" s="3" t="inlineStr">
        <is>
          <t>Melhor fluidez não remove acessibilidade ou precisão de hit testing.</t>
        </is>
      </c>
      <c r="L701" s="3" t="inlineStr">
        <is>
          <t>SL-S64-06</t>
        </is>
      </c>
      <c r="M701" s="3" t="inlineStr">
        <is>
          <t>R09; R12; R14; R21; R22; R36</t>
        </is>
      </c>
      <c r="N701" s="10" t="inlineStr">
        <is>
          <t>Não iniciado</t>
        </is>
      </c>
      <c r="O701" s="3" t="inlineStr">
        <is>
          <t>P2</t>
        </is>
      </c>
      <c r="P701" s="3" t="inlineStr">
        <is>
          <t>Alto</t>
        </is>
      </c>
      <c r="Q701" s="3" t="inlineStr">
        <is>
          <t>Condicional à ratificação do escopo pós-v1 (ADR-017/018)</t>
        </is>
      </c>
      <c r="R701" s="10" t="inlineStr">
        <is>
          <t>Autor + agente de IA</t>
        </is>
      </c>
      <c r="S701" s="10" t="inlineStr"/>
      <c r="T701" s="11" t="inlineStr"/>
      <c r="U701" s="3" t="inlineStr">
        <is>
          <t>reports/S64/SL-S64-07.md</t>
        </is>
      </c>
      <c r="V701" s="10" t="inlineStr"/>
      <c r="W701" s="10" t="inlineStr"/>
      <c r="X701" s="3">
        <f>IF(N701="Concluído",IF(AND(S701&lt;&gt;"",ISNUMBER(T701),T701&gt;0,V701&lt;&gt;"",AND(OR(X700="OK",X700="DISPENSADO"))),"OK","REVISAR"),IF(N701="Dispensado (ADR)",IF(AND(LEFT(Q701,11)="Condicional",W701&lt;&gt;"",S701&lt;&gt;"",ISNUMBER(T701),T701&gt;0,V701&lt;&gt;""),"DISPENSADO","REVISAR"),"PENDENTE"))</f>
        <v/>
      </c>
      <c r="Y701" s="10" t="inlineStr"/>
    </row>
    <row r="702" ht="112" customHeight="1">
      <c r="A702" s="3" t="n">
        <v>701</v>
      </c>
      <c r="B702" s="3" t="inlineStr">
        <is>
          <t>SL-S64-08</t>
        </is>
      </c>
      <c r="C702" s="9" t="inlineStr">
        <is>
          <t>v1.2.0</t>
        </is>
      </c>
      <c r="D702" s="9" t="inlineStr">
        <is>
          <t>S64</t>
        </is>
      </c>
      <c r="E702" s="3" t="inlineStr">
        <is>
          <t>Escala / pipelines</t>
        </is>
      </c>
      <c r="F702" s="3" t="inlineStr">
        <is>
          <t>Evolução proposta</t>
        </is>
      </c>
      <c r="G702" s="3" t="inlineStr">
        <is>
          <t>Teste</t>
        </is>
      </c>
      <c r="H702" s="3" t="inlineStr">
        <is>
          <t>Validar cancelamento/retomada em escala</t>
        </is>
      </c>
      <c r="I702" s="3" t="inlineStr">
        <is>
          <t>Interromper import/index/contexto em diferentes pontos do lote.</t>
        </is>
      </c>
      <c r="J702" s="3" t="inlineStr">
        <is>
          <t>tests/scale/recovery/</t>
        </is>
      </c>
      <c r="K702" s="3" t="inlineStr">
        <is>
          <t>Retomar não duplica autoria nem exige iniciar todo o trabalho sem motivo documentado.</t>
        </is>
      </c>
      <c r="L702" s="3" t="inlineStr">
        <is>
          <t>SL-S64-07</t>
        </is>
      </c>
      <c r="M702" s="3" t="inlineStr">
        <is>
          <t>R09; R12; R14; R21; R22; R36</t>
        </is>
      </c>
      <c r="N702" s="10" t="inlineStr">
        <is>
          <t>Não iniciado</t>
        </is>
      </c>
      <c r="O702" s="3" t="inlineStr">
        <is>
          <t>P2</t>
        </is>
      </c>
      <c r="P702" s="3" t="inlineStr">
        <is>
          <t>Alto</t>
        </is>
      </c>
      <c r="Q702" s="3" t="inlineStr">
        <is>
          <t>Condicional à ratificação do escopo pós-v1 (ADR-017/018)</t>
        </is>
      </c>
      <c r="R702" s="10" t="inlineStr">
        <is>
          <t>Autor + agente de IA</t>
        </is>
      </c>
      <c r="S702" s="10" t="inlineStr"/>
      <c r="T702" s="11" t="inlineStr"/>
      <c r="U702" s="3" t="inlineStr">
        <is>
          <t>reports/S64/SL-S64-08.md</t>
        </is>
      </c>
      <c r="V702" s="10" t="inlineStr"/>
      <c r="W702" s="10" t="inlineStr"/>
      <c r="X702" s="3">
        <f>IF(N702="Concluído",IF(AND(S702&lt;&gt;"",ISNUMBER(T702),T702&gt;0,V702&lt;&gt;"",AND(OR(X701="OK",X701="DISPENSADO"))),"OK","REVISAR"),IF(N702="Dispensado (ADR)",IF(AND(LEFT(Q702,11)="Condicional",W702&lt;&gt;"",S702&lt;&gt;"",ISNUMBER(T702),T702&gt;0,V702&lt;&gt;""),"DISPENSADO","REVISAR"),"PENDENTE"))</f>
        <v/>
      </c>
      <c r="Y702" s="10" t="inlineStr"/>
    </row>
    <row r="703" ht="112" customHeight="1">
      <c r="A703" s="3" t="n">
        <v>702</v>
      </c>
      <c r="B703" s="3" t="inlineStr">
        <is>
          <t>SL-S64-09</t>
        </is>
      </c>
      <c r="C703" s="9" t="inlineStr">
        <is>
          <t>v1.2.0</t>
        </is>
      </c>
      <c r="D703" s="9" t="inlineStr">
        <is>
          <t>S64</t>
        </is>
      </c>
      <c r="E703" s="3" t="inlineStr">
        <is>
          <t>Escala / pipelines</t>
        </is>
      </c>
      <c r="F703" s="3" t="inlineStr">
        <is>
          <t>Evolução proposta</t>
        </is>
      </c>
      <c r="G703" s="3" t="inlineStr">
        <is>
          <t>Teste</t>
        </is>
      </c>
      <c r="H703" s="3" t="inlineStr">
        <is>
          <t>Comparar qualidade antes/depois</t>
        </is>
      </c>
      <c r="I703" s="3" t="inlineStr">
        <is>
          <t>Reexecutar avaliações reservadas de busca, summaries e fontes.</t>
        </is>
      </c>
      <c r="J703" s="3" t="inlineStr">
        <is>
          <t>reports/scale/quality-regression.json</t>
        </is>
      </c>
      <c r="K703" s="3" t="inlineStr">
        <is>
          <t>Otimização não reduz métricas essenciais abaixo dos limiares aprovados.</t>
        </is>
      </c>
      <c r="L703" s="3" t="inlineStr">
        <is>
          <t>SL-S64-08</t>
        </is>
      </c>
      <c r="M703" s="3" t="inlineStr">
        <is>
          <t>R09; R12; R14; R21; R22; R36</t>
        </is>
      </c>
      <c r="N703" s="10" t="inlineStr">
        <is>
          <t>Não iniciado</t>
        </is>
      </c>
      <c r="O703" s="3" t="inlineStr">
        <is>
          <t>P2</t>
        </is>
      </c>
      <c r="P703" s="3" t="inlineStr">
        <is>
          <t>Alto</t>
        </is>
      </c>
      <c r="Q703" s="3" t="inlineStr">
        <is>
          <t>Condicional à ratificação do escopo pós-v1 (ADR-017/018)</t>
        </is>
      </c>
      <c r="R703" s="10" t="inlineStr">
        <is>
          <t>Autor + agente de IA</t>
        </is>
      </c>
      <c r="S703" s="10" t="inlineStr"/>
      <c r="T703" s="11" t="inlineStr"/>
      <c r="U703" s="3" t="inlineStr">
        <is>
          <t>reports/S64/SL-S64-09.md</t>
        </is>
      </c>
      <c r="V703" s="10" t="inlineStr"/>
      <c r="W703" s="10" t="inlineStr"/>
      <c r="X703" s="3">
        <f>IF(N703="Concluído",IF(AND(S703&lt;&gt;"",ISNUMBER(T703),T703&gt;0,V703&lt;&gt;"",AND(OR(X702="OK",X702="DISPENSADO"))),"OK","REVISAR"),IF(N703="Dispensado (ADR)",IF(AND(LEFT(Q703,11)="Condicional",W703&lt;&gt;"",S703&lt;&gt;"",ISNUMBER(T703),T703&gt;0,V703&lt;&gt;""),"DISPENSADO","REVISAR"),"PENDENTE"))</f>
        <v/>
      </c>
      <c r="Y703" s="10" t="inlineStr"/>
    </row>
    <row r="704" ht="112" customHeight="1">
      <c r="A704" s="3" t="n">
        <v>703</v>
      </c>
      <c r="B704" s="3" t="inlineStr">
        <is>
          <t>SL-S64-10</t>
        </is>
      </c>
      <c r="C704" s="9" t="inlineStr">
        <is>
          <t>v1.2.0</t>
        </is>
      </c>
      <c r="D704" s="9" t="inlineStr">
        <is>
          <t>S64</t>
        </is>
      </c>
      <c r="E704" s="3" t="inlineStr">
        <is>
          <t>Escala / pipelines</t>
        </is>
      </c>
      <c r="F704" s="3" t="inlineStr">
        <is>
          <t>Evolução proposta</t>
        </is>
      </c>
      <c r="G704" s="3" t="inlineStr">
        <is>
          <t>Documentação</t>
        </is>
      </c>
      <c r="H704" s="3" t="inlineStr">
        <is>
          <t>Publicar limites reais</t>
        </is>
      </c>
      <c r="I704" s="3" t="inlineStr">
        <is>
          <t>Descrever corpus/hardware e capacidades desabilitadas por orçamento.</t>
        </is>
      </c>
      <c r="J704" s="3" t="inlineStr">
        <is>
          <t>docs/performance/v1.2.md</t>
        </is>
      </c>
      <c r="K704" s="3" t="inlineStr">
        <is>
          <t>Nenhum número vira garantia genérica para qualquer desktop ou acervo.</t>
        </is>
      </c>
      <c r="L704" s="3" t="inlineStr">
        <is>
          <t>SL-S64-09</t>
        </is>
      </c>
      <c r="M704" s="3" t="inlineStr">
        <is>
          <t>R09; R12; R14; R21; R22; R36</t>
        </is>
      </c>
      <c r="N704" s="10" t="inlineStr">
        <is>
          <t>Não iniciado</t>
        </is>
      </c>
      <c r="O704" s="3" t="inlineStr">
        <is>
          <t>P2</t>
        </is>
      </c>
      <c r="P704" s="3" t="inlineStr">
        <is>
          <t>Alto</t>
        </is>
      </c>
      <c r="Q704" s="3" t="inlineStr">
        <is>
          <t>Condicional à ratificação do escopo pós-v1 (ADR-017/018)</t>
        </is>
      </c>
      <c r="R704" s="10" t="inlineStr">
        <is>
          <t>Autor + agente de IA</t>
        </is>
      </c>
      <c r="S704" s="10" t="inlineStr"/>
      <c r="T704" s="11" t="inlineStr"/>
      <c r="U704" s="3" t="inlineStr">
        <is>
          <t>reports/S64/SL-S64-10.md</t>
        </is>
      </c>
      <c r="V704" s="10" t="inlineStr"/>
      <c r="W704" s="10" t="inlineStr"/>
      <c r="X704" s="3">
        <f>IF(N704="Concluído",IF(AND(S704&lt;&gt;"",ISNUMBER(T704),T704&gt;0,V704&lt;&gt;"",AND(OR(X703="OK",X703="DISPENSADO"))),"OK","REVISAR"),IF(N704="Dispensado (ADR)",IF(AND(LEFT(Q704,11)="Condicional",W704&lt;&gt;"",S704&lt;&gt;"",ISNUMBER(T704),T704&gt;0,V704&lt;&gt;""),"DISPENSADO","REVISAR"),"PENDENTE"))</f>
        <v/>
      </c>
      <c r="Y704" s="10" t="inlineStr"/>
    </row>
    <row r="705" ht="98" customHeight="1">
      <c r="A705" s="3" t="n">
        <v>704</v>
      </c>
      <c r="B705" s="12" t="inlineStr">
        <is>
          <t>SL-S64-GATE</t>
        </is>
      </c>
      <c r="C705" s="9" t="inlineStr">
        <is>
          <t>v1.2.0</t>
        </is>
      </c>
      <c r="D705" s="9" t="inlineStr">
        <is>
          <t>S64</t>
        </is>
      </c>
      <c r="E705" s="3" t="inlineStr">
        <is>
          <t>Escala / pipelines</t>
        </is>
      </c>
      <c r="F705" s="3" t="inlineStr">
        <is>
          <t>Aceite humano</t>
        </is>
      </c>
      <c r="G705" s="12" t="inlineStr">
        <is>
          <t>Gate</t>
        </is>
      </c>
      <c r="H705" s="12" t="inlineStr">
        <is>
          <t>Aceitar S64 — Escalar busca, ingestão e contexto com evidência</t>
        </is>
      </c>
      <c r="I705" s="3" t="inlineStr">
        <is>
          <t>Revisar as dez tarefas, executar a demonstração do sprint, confrontar critérios e registrar decisão go/no-go.</t>
        </is>
      </c>
      <c r="J705" s="3" t="inlineStr">
        <is>
          <t>reports/S64/acceptance.md</t>
        </is>
      </c>
      <c r="K705" s="3" t="inlineStr">
        <is>
          <t>Processar lote maior mantendo autoria responsiva e resultados/revisões corretos. Todas as dependências aceitas; evidências vinculadas a revisão/ambiente; nenhum blocker de integridade/segurança.</t>
        </is>
      </c>
      <c r="L705" s="3" t="inlineStr">
        <is>
          <t>SL-S64-01; SL-S64-02; SL-S64-03; SL-S64-04; SL-S64-05; SL-S64-06; SL-S64-07; SL-S64-08; SL-S64-09; SL-S64-10</t>
        </is>
      </c>
      <c r="M705" s="3" t="inlineStr">
        <is>
          <t>R09; R12; R14; R21; R22; R36</t>
        </is>
      </c>
      <c r="N705" s="10" t="inlineStr">
        <is>
          <t>Não iniciado</t>
        </is>
      </c>
      <c r="O705" s="3" t="inlineStr">
        <is>
          <t>P0</t>
        </is>
      </c>
      <c r="P705" s="3" t="inlineStr">
        <is>
          <t>Alto</t>
        </is>
      </c>
      <c r="Q705" s="3" t="inlineStr">
        <is>
          <t>Obrigatória para fechar a versão aprovada</t>
        </is>
      </c>
      <c r="R705" s="10" t="inlineStr">
        <is>
          <t>Autor</t>
        </is>
      </c>
      <c r="S705" s="10" t="inlineStr"/>
      <c r="T705" s="11" t="inlineStr"/>
      <c r="U705" s="3" t="inlineStr">
        <is>
          <t>reports/S64/acceptance.md</t>
        </is>
      </c>
      <c r="V705" s="10" t="inlineStr"/>
      <c r="W705" s="10" t="inlineStr"/>
      <c r="X705" s="3">
        <f>IF(N705="Concluído",IF(AND(S705&lt;&gt;"",ISNUMBER(T705),T705&gt;0,V705&lt;&gt;"",AND(OR(X695="OK",X695="DISPENSADO"),OR(X696="OK",X696="DISPENSADO"),OR(X697="OK",X697="DISPENSADO"),OR(X698="OK",X698="DISPENSADO"),OR(X699="OK",X699="DISPENSADO"),OR(X700="OK",X700="DISPENSADO"),OR(X701="OK",X701="DISPENSADO"),OR(X702="OK",X702="DISPENSADO"),OR(X703="OK",X703="DISPENSADO"),OR(X704="OK",X704="DISPENSADO"))),"OK","REVISAR"),IF(N705="Dispensado (ADR)",IF(AND(LEFT(Q705,11)="Condicional",W705&lt;&gt;"",S705&lt;&gt;"",ISNUMBER(T705),T705&gt;0,V705&lt;&gt;""),"DISPENSADO","REVISAR"),"PENDENTE"))</f>
        <v/>
      </c>
      <c r="Y705" s="10" t="inlineStr"/>
    </row>
    <row r="706" ht="112" customHeight="1">
      <c r="A706" s="3" t="n">
        <v>705</v>
      </c>
      <c r="B706" s="3" t="inlineStr">
        <is>
          <t>SL-S65-01</t>
        </is>
      </c>
      <c r="C706" s="9" t="inlineStr">
        <is>
          <t>v1.2.0</t>
        </is>
      </c>
      <c r="D706" s="9" t="inlineStr">
        <is>
          <t>S65</t>
        </is>
      </c>
      <c r="E706" s="3" t="inlineStr">
        <is>
          <t>Distribuição offline / modelos</t>
        </is>
      </c>
      <c r="F706" s="3" t="inlineStr">
        <is>
          <t>Evolução proposta</t>
        </is>
      </c>
      <c r="G706" s="3" t="inlineStr">
        <is>
          <t>Contrato</t>
        </is>
      </c>
      <c r="H706" s="3" t="inlineStr">
        <is>
          <t>Definir pacote de capacidade</t>
        </is>
      </c>
      <c r="I706" s="3" t="inlineStr">
        <is>
          <t>Agrupar backend, modelos, licenças, hashes, target e dependências.</t>
        </is>
      </c>
      <c r="J706" s="3" t="inlineStr">
        <is>
          <t>schemas/capability-pack-v1.json</t>
        </is>
      </c>
      <c r="K706" s="3" t="inlineStr">
        <is>
          <t>Pacote declara tudo de que precisa e não executa script arbitrário ao importar.</t>
        </is>
      </c>
      <c r="L706" s="3" t="inlineStr">
        <is>
          <t>SL-S32-GATE; SL-S57-GATE; SL-S63-GATE; SL-S64-GATE</t>
        </is>
      </c>
      <c r="M706" s="3" t="inlineStr">
        <is>
          <t>R01; R07; R09; R30; R36</t>
        </is>
      </c>
      <c r="N706" s="10" t="inlineStr">
        <is>
          <t>Não iniciado</t>
        </is>
      </c>
      <c r="O706" s="3" t="inlineStr">
        <is>
          <t>P0</t>
        </is>
      </c>
      <c r="P706" s="3" t="inlineStr">
        <is>
          <t>Crítico</t>
        </is>
      </c>
      <c r="Q706" s="3" t="inlineStr">
        <is>
          <t>Condicional à ratificação do escopo pós-v1 (ADR-017/018)</t>
        </is>
      </c>
      <c r="R706" s="10" t="inlineStr">
        <is>
          <t>Autor + agente de IA</t>
        </is>
      </c>
      <c r="S706" s="10" t="inlineStr"/>
      <c r="T706" s="11" t="inlineStr"/>
      <c r="U706" s="3" t="inlineStr">
        <is>
          <t>reports/S65/SL-S65-01.md</t>
        </is>
      </c>
      <c r="V706" s="10" t="inlineStr"/>
      <c r="W706" s="10" t="inlineStr"/>
      <c r="X706" s="3">
        <f>IF(N706="Concluído",IF(AND(S706&lt;&gt;"",ISNUMBER(T706),T706&gt;0,V706&lt;&gt;"",AND(OR(X353="OK",X353="DISPENSADO"),OR(X628="OK",X628="DISPENSADO"),OR(X694="OK",X694="DISPENSADO"),OR(X705="OK",X705="DISPENSADO"))),"OK","REVISAR"),IF(N706="Dispensado (ADR)",IF(AND(LEFT(Q706,11)="Condicional",W706&lt;&gt;"",S706&lt;&gt;"",ISNUMBER(T706),T706&gt;0,V706&lt;&gt;""),"DISPENSADO","REVISAR"),"PENDENTE"))</f>
        <v/>
      </c>
      <c r="Y706" s="10" t="inlineStr"/>
    </row>
    <row r="707" ht="112" customHeight="1">
      <c r="A707" s="3" t="n">
        <v>706</v>
      </c>
      <c r="B707" s="3" t="inlineStr">
        <is>
          <t>SL-S65-02</t>
        </is>
      </c>
      <c r="C707" s="9" t="inlineStr">
        <is>
          <t>v1.2.0</t>
        </is>
      </c>
      <c r="D707" s="9" t="inlineStr">
        <is>
          <t>S65</t>
        </is>
      </c>
      <c r="E707" s="3" t="inlineStr">
        <is>
          <t>Distribuição offline / modelos</t>
        </is>
      </c>
      <c r="F707" s="3" t="inlineStr">
        <is>
          <t>Evolução proposta</t>
        </is>
      </c>
      <c r="G707" s="3" t="inlineStr">
        <is>
          <t>Implementação</t>
        </is>
      </c>
      <c r="H707" s="3" t="inlineStr">
        <is>
          <t>Criar construtor de pacotes</t>
        </is>
      </c>
      <c r="I707" s="3" t="inlineStr">
        <is>
          <t>Selecionar somente artefatos com redistribuição permitida e manifest verificado.</t>
        </is>
      </c>
      <c r="J707" s="3" t="inlineStr">
        <is>
          <t>tooling/capability-pack/build/</t>
        </is>
      </c>
      <c r="K707" s="3" t="inlineStr">
        <is>
          <t>Peso com termos incompatíveis não é incorporado apenas porque está disponível para download.</t>
        </is>
      </c>
      <c r="L707" s="3" t="inlineStr">
        <is>
          <t>SL-S65-01</t>
        </is>
      </c>
      <c r="M707" s="3" t="inlineStr">
        <is>
          <t>R01; R07; R09; R30; R36</t>
        </is>
      </c>
      <c r="N707" s="10" t="inlineStr">
        <is>
          <t>Não iniciado</t>
        </is>
      </c>
      <c r="O707" s="3" t="inlineStr">
        <is>
          <t>P0</t>
        </is>
      </c>
      <c r="P707" s="3" t="inlineStr">
        <is>
          <t>Crítico</t>
        </is>
      </c>
      <c r="Q707" s="3" t="inlineStr">
        <is>
          <t>Condicional à ratificação do escopo pós-v1 (ADR-017/018)</t>
        </is>
      </c>
      <c r="R707" s="10" t="inlineStr">
        <is>
          <t>Autor + agente de IA</t>
        </is>
      </c>
      <c r="S707" s="10" t="inlineStr"/>
      <c r="T707" s="11" t="inlineStr"/>
      <c r="U707" s="3" t="inlineStr">
        <is>
          <t>reports/S65/SL-S65-02.md</t>
        </is>
      </c>
      <c r="V707" s="10" t="inlineStr"/>
      <c r="W707" s="10" t="inlineStr"/>
      <c r="X707" s="3">
        <f>IF(N707="Concluído",IF(AND(S707&lt;&gt;"",ISNUMBER(T707),T707&gt;0,V707&lt;&gt;"",AND(OR(X706="OK",X706="DISPENSADO"))),"OK","REVISAR"),IF(N707="Dispensado (ADR)",IF(AND(LEFT(Q707,11)="Condicional",W707&lt;&gt;"",S707&lt;&gt;"",ISNUMBER(T707),T707&gt;0,V707&lt;&gt;""),"DISPENSADO","REVISAR"),"PENDENTE"))</f>
        <v/>
      </c>
      <c r="Y707" s="10" t="inlineStr"/>
    </row>
    <row r="708" ht="112" customHeight="1">
      <c r="A708" s="3" t="n">
        <v>707</v>
      </c>
      <c r="B708" s="3" t="inlineStr">
        <is>
          <t>SL-S65-03</t>
        </is>
      </c>
      <c r="C708" s="9" t="inlineStr">
        <is>
          <t>v1.2.0</t>
        </is>
      </c>
      <c r="D708" s="9" t="inlineStr">
        <is>
          <t>S65</t>
        </is>
      </c>
      <c r="E708" s="3" t="inlineStr">
        <is>
          <t>Distribuição offline / modelos</t>
        </is>
      </c>
      <c r="F708" s="3" t="inlineStr">
        <is>
          <t>Evolução proposta</t>
        </is>
      </c>
      <c r="G708" s="3" t="inlineStr">
        <is>
          <t>Implementação</t>
        </is>
      </c>
      <c r="H708" s="3" t="inlineStr">
        <is>
          <t>Criar importador offline</t>
        </is>
      </c>
      <c r="I708" s="3" t="inlineStr">
        <is>
          <t>Validar assinatura/hash, arquitetura e espaço antes de publicar instalação.</t>
        </is>
      </c>
      <c r="J708" s="3" t="inlineStr">
        <is>
          <t>crates/models/src/import_pack.rs</t>
        </is>
      </c>
      <c r="K708" s="3" t="inlineStr">
        <is>
          <t>Pacote errado/corrompido é recusado sem substituir uma instalação funcional.</t>
        </is>
      </c>
      <c r="L708" s="3" t="inlineStr">
        <is>
          <t>SL-S65-02</t>
        </is>
      </c>
      <c r="M708" s="3" t="inlineStr">
        <is>
          <t>R01; R07; R09; R30; R36</t>
        </is>
      </c>
      <c r="N708" s="10" t="inlineStr">
        <is>
          <t>Não iniciado</t>
        </is>
      </c>
      <c r="O708" s="3" t="inlineStr">
        <is>
          <t>P0</t>
        </is>
      </c>
      <c r="P708" s="3" t="inlineStr">
        <is>
          <t>Crítico</t>
        </is>
      </c>
      <c r="Q708" s="3" t="inlineStr">
        <is>
          <t>Condicional à ratificação do escopo pós-v1 (ADR-017/018)</t>
        </is>
      </c>
      <c r="R708" s="10" t="inlineStr">
        <is>
          <t>Autor + agente de IA</t>
        </is>
      </c>
      <c r="S708" s="10" t="inlineStr"/>
      <c r="T708" s="11" t="inlineStr"/>
      <c r="U708" s="3" t="inlineStr">
        <is>
          <t>reports/S65/SL-S65-03.md</t>
        </is>
      </c>
      <c r="V708" s="10" t="inlineStr"/>
      <c r="W708" s="10" t="inlineStr"/>
      <c r="X708" s="3">
        <f>IF(N708="Concluído",IF(AND(S708&lt;&gt;"",ISNUMBER(T708),T708&gt;0,V708&lt;&gt;"",AND(OR(X707="OK",X707="DISPENSADO"))),"OK","REVISAR"),IF(N708="Dispensado (ADR)",IF(AND(LEFT(Q708,11)="Condicional",W708&lt;&gt;"",S708&lt;&gt;"",ISNUMBER(T708),T708&gt;0,V708&lt;&gt;""),"DISPENSADO","REVISAR"),"PENDENTE"))</f>
        <v/>
      </c>
      <c r="Y708" s="10" t="inlineStr"/>
    </row>
    <row r="709" ht="112" customHeight="1">
      <c r="A709" s="3" t="n">
        <v>708</v>
      </c>
      <c r="B709" s="3" t="inlineStr">
        <is>
          <t>SL-S65-04</t>
        </is>
      </c>
      <c r="C709" s="9" t="inlineStr">
        <is>
          <t>v1.2.0</t>
        </is>
      </c>
      <c r="D709" s="9" t="inlineStr">
        <is>
          <t>S65</t>
        </is>
      </c>
      <c r="E709" s="3" t="inlineStr">
        <is>
          <t>Distribuição offline / modelos</t>
        </is>
      </c>
      <c r="F709" s="3" t="inlineStr">
        <is>
          <t>Evolução proposta</t>
        </is>
      </c>
      <c r="G709" s="3" t="inlineStr">
        <is>
          <t>Implementação</t>
        </is>
      </c>
      <c r="H709" s="3" t="inlineStr">
        <is>
          <t>Deduplicar armazenamento de artefatos</t>
        </is>
      </c>
      <c r="I709" s="3" t="inlineStr">
        <is>
          <t>Compartilhar conteúdo compatível entre perfis preservando versões.</t>
        </is>
      </c>
      <c r="J709" s="3" t="inlineStr">
        <is>
          <t>crates/models/src/artifact_store.rs</t>
        </is>
      </c>
      <c r="K709" s="3" t="inlineStr">
        <is>
          <t>Remover um perfil não remove modelo ainda usado por outro.</t>
        </is>
      </c>
      <c r="L709" s="3" t="inlineStr">
        <is>
          <t>SL-S65-03</t>
        </is>
      </c>
      <c r="M709" s="3" t="inlineStr">
        <is>
          <t>R01; R07; R09; R30; R36</t>
        </is>
      </c>
      <c r="N709" s="10" t="inlineStr">
        <is>
          <t>Não iniciado</t>
        </is>
      </c>
      <c r="O709" s="3" t="inlineStr">
        <is>
          <t>P0</t>
        </is>
      </c>
      <c r="P709" s="3" t="inlineStr">
        <is>
          <t>Crítico</t>
        </is>
      </c>
      <c r="Q709" s="3" t="inlineStr">
        <is>
          <t>Condicional à ratificação do escopo pós-v1 (ADR-017/018)</t>
        </is>
      </c>
      <c r="R709" s="10" t="inlineStr">
        <is>
          <t>Autor + agente de IA</t>
        </is>
      </c>
      <c r="S709" s="10" t="inlineStr"/>
      <c r="T709" s="11" t="inlineStr"/>
      <c r="U709" s="3" t="inlineStr">
        <is>
          <t>reports/S65/SL-S65-04.md</t>
        </is>
      </c>
      <c r="V709" s="10" t="inlineStr"/>
      <c r="W709" s="10" t="inlineStr"/>
      <c r="X709" s="3">
        <f>IF(N709="Concluído",IF(AND(S709&lt;&gt;"",ISNUMBER(T709),T709&gt;0,V709&lt;&gt;"",AND(OR(X708="OK",X708="DISPENSADO"))),"OK","REVISAR"),IF(N709="Dispensado (ADR)",IF(AND(LEFT(Q709,11)="Condicional",W709&lt;&gt;"",S709&lt;&gt;"",ISNUMBER(T709),T709&gt;0,V709&lt;&gt;""),"DISPENSADO","REVISAR"),"PENDENTE"))</f>
        <v/>
      </c>
      <c r="Y709" s="10" t="inlineStr"/>
    </row>
    <row r="710" ht="112" customHeight="1">
      <c r="A710" s="3" t="n">
        <v>709</v>
      </c>
      <c r="B710" s="3" t="inlineStr">
        <is>
          <t>SL-S65-05</t>
        </is>
      </c>
      <c r="C710" s="9" t="inlineStr">
        <is>
          <t>v1.2.0</t>
        </is>
      </c>
      <c r="D710" s="9" t="inlineStr">
        <is>
          <t>S65</t>
        </is>
      </c>
      <c r="E710" s="3" t="inlineStr">
        <is>
          <t>Distribuição offline / modelos</t>
        </is>
      </c>
      <c r="F710" s="3" t="inlineStr">
        <is>
          <t>Evolução proposta</t>
        </is>
      </c>
      <c r="G710" s="3" t="inlineStr">
        <is>
          <t>Implementação</t>
        </is>
      </c>
      <c r="H710" s="3" t="inlineStr">
        <is>
          <t>Criar perfis de hardware</t>
        </is>
      </c>
      <c r="I710" s="3" t="inlineStr">
        <is>
          <t>Recomendar capacidades com base em memória/CPU/GPU detectadas e homologadas.</t>
        </is>
      </c>
      <c r="J710" s="3" t="inlineStr">
        <is>
          <t>crates/resources/src/hardware_profiles.rs</t>
        </is>
      </c>
      <c r="K710" s="3" t="inlineStr">
        <is>
          <t>Detecção não concede download/rede automaticamente nem presume aceleração não testada.</t>
        </is>
      </c>
      <c r="L710" s="3" t="inlineStr">
        <is>
          <t>SL-S65-04</t>
        </is>
      </c>
      <c r="M710" s="3" t="inlineStr">
        <is>
          <t>R01; R07; R09; R30; R36</t>
        </is>
      </c>
      <c r="N710" s="10" t="inlineStr">
        <is>
          <t>Não iniciado</t>
        </is>
      </c>
      <c r="O710" s="3" t="inlineStr">
        <is>
          <t>P0</t>
        </is>
      </c>
      <c r="P710" s="3" t="inlineStr">
        <is>
          <t>Crítico</t>
        </is>
      </c>
      <c r="Q710" s="3" t="inlineStr">
        <is>
          <t>Condicional à ratificação do escopo pós-v1 (ADR-017/018)</t>
        </is>
      </c>
      <c r="R710" s="10" t="inlineStr">
        <is>
          <t>Autor + agente de IA</t>
        </is>
      </c>
      <c r="S710" s="10" t="inlineStr"/>
      <c r="T710" s="11" t="inlineStr"/>
      <c r="U710" s="3" t="inlineStr">
        <is>
          <t>reports/S65/SL-S65-05.md</t>
        </is>
      </c>
      <c r="V710" s="10" t="inlineStr"/>
      <c r="W710" s="10" t="inlineStr"/>
      <c r="X710" s="3">
        <f>IF(N710="Concluído",IF(AND(S710&lt;&gt;"",ISNUMBER(T710),T710&gt;0,V710&lt;&gt;"",AND(OR(X709="OK",X709="DISPENSADO"))),"OK","REVISAR"),IF(N710="Dispensado (ADR)",IF(AND(LEFT(Q710,11)="Condicional",W710&lt;&gt;"",S710&lt;&gt;"",ISNUMBER(T710),T710&gt;0,V710&lt;&gt;""),"DISPENSADO","REVISAR"),"PENDENTE"))</f>
        <v/>
      </c>
      <c r="Y710" s="10" t="inlineStr"/>
    </row>
    <row r="711" ht="112" customHeight="1">
      <c r="A711" s="3" t="n">
        <v>710</v>
      </c>
      <c r="B711" s="3" t="inlineStr">
        <is>
          <t>SL-S65-06</t>
        </is>
      </c>
      <c r="C711" s="9" t="inlineStr">
        <is>
          <t>v1.2.0</t>
        </is>
      </c>
      <c r="D711" s="9" t="inlineStr">
        <is>
          <t>S65</t>
        </is>
      </c>
      <c r="E711" s="3" t="inlineStr">
        <is>
          <t>Distribuição offline / modelos</t>
        </is>
      </c>
      <c r="F711" s="3" t="inlineStr">
        <is>
          <t>Evolução proposta</t>
        </is>
      </c>
      <c r="G711" s="3" t="inlineStr">
        <is>
          <t>Implementação</t>
        </is>
      </c>
      <c r="H711" s="3" t="inlineStr">
        <is>
          <t>Aplicar fallback de capacidade</t>
        </is>
      </c>
      <c r="I711" s="3" t="inlineStr">
        <is>
          <t>Escolher perfil já instalado ou marcar operação indisponível.</t>
        </is>
      </c>
      <c r="J711" s="3" t="inlineStr">
        <is>
          <t>crates/models/src/profile_fallback.rs</t>
        </is>
      </c>
      <c r="K711" s="3" t="inlineStr">
        <is>
          <t>Fallback nunca migra para provedor remoto sem consentimento.</t>
        </is>
      </c>
      <c r="L711" s="3" t="inlineStr">
        <is>
          <t>SL-S65-05</t>
        </is>
      </c>
      <c r="M711" s="3" t="inlineStr">
        <is>
          <t>R01; R07; R09; R30; R36</t>
        </is>
      </c>
      <c r="N711" s="10" t="inlineStr">
        <is>
          <t>Não iniciado</t>
        </is>
      </c>
      <c r="O711" s="3" t="inlineStr">
        <is>
          <t>P0</t>
        </is>
      </c>
      <c r="P711" s="3" t="inlineStr">
        <is>
          <t>Crítico</t>
        </is>
      </c>
      <c r="Q711" s="3" t="inlineStr">
        <is>
          <t>Condicional à ratificação do escopo pós-v1 (ADR-017/018)</t>
        </is>
      </c>
      <c r="R711" s="10" t="inlineStr">
        <is>
          <t>Autor + agente de IA</t>
        </is>
      </c>
      <c r="S711" s="10" t="inlineStr"/>
      <c r="T711" s="11" t="inlineStr"/>
      <c r="U711" s="3" t="inlineStr">
        <is>
          <t>reports/S65/SL-S65-06.md</t>
        </is>
      </c>
      <c r="V711" s="10" t="inlineStr"/>
      <c r="W711" s="10" t="inlineStr"/>
      <c r="X711" s="3">
        <f>IF(N711="Concluído",IF(AND(S711&lt;&gt;"",ISNUMBER(T711),T711&gt;0,V711&lt;&gt;"",AND(OR(X710="OK",X710="DISPENSADO"))),"OK","REVISAR"),IF(N711="Dispensado (ADR)",IF(AND(LEFT(Q711,11)="Condicional",W711&lt;&gt;"",S711&lt;&gt;"",ISNUMBER(T711),T711&gt;0,V711&lt;&gt;""),"DISPENSADO","REVISAR"),"PENDENTE"))</f>
        <v/>
      </c>
      <c r="Y711" s="10" t="inlineStr"/>
    </row>
    <row r="712" ht="112" customHeight="1">
      <c r="A712" s="3" t="n">
        <v>711</v>
      </c>
      <c r="B712" s="3" t="inlineStr">
        <is>
          <t>SL-S65-07</t>
        </is>
      </c>
      <c r="C712" s="9" t="inlineStr">
        <is>
          <t>v1.2.0</t>
        </is>
      </c>
      <c r="D712" s="9" t="inlineStr">
        <is>
          <t>S65</t>
        </is>
      </c>
      <c r="E712" s="3" t="inlineStr">
        <is>
          <t>Distribuição offline / modelos</t>
        </is>
      </c>
      <c r="F712" s="3" t="inlineStr">
        <is>
          <t>Evolução proposta</t>
        </is>
      </c>
      <c r="G712" s="3" t="inlineStr">
        <is>
          <t>Implementação</t>
        </is>
      </c>
      <c r="H712" s="3" t="inlineStr">
        <is>
          <t>Criar UI de instalação/remoção</t>
        </is>
      </c>
      <c r="I712" s="3" t="inlineStr">
        <is>
          <t>Mostrar tamanho, licença, destino e consequências de remover pacote.</t>
        </is>
      </c>
      <c r="J712" s="3" t="inlineStr">
        <is>
          <t>apps/desktop/src/settings/capability-packs/</t>
        </is>
      </c>
      <c r="K712" s="3" t="inlineStr">
        <is>
          <t>Remoção não apaga Vault nem resultado autoral produzido pelo modelo.</t>
        </is>
      </c>
      <c r="L712" s="3" t="inlineStr">
        <is>
          <t>SL-S65-06</t>
        </is>
      </c>
      <c r="M712" s="3" t="inlineStr">
        <is>
          <t>R01; R07; R09; R30; R36</t>
        </is>
      </c>
      <c r="N712" s="10" t="inlineStr">
        <is>
          <t>Não iniciado</t>
        </is>
      </c>
      <c r="O712" s="3" t="inlineStr">
        <is>
          <t>P0</t>
        </is>
      </c>
      <c r="P712" s="3" t="inlineStr">
        <is>
          <t>Crítico</t>
        </is>
      </c>
      <c r="Q712" s="3" t="inlineStr">
        <is>
          <t>Condicional à ratificação do escopo pós-v1 (ADR-017/018)</t>
        </is>
      </c>
      <c r="R712" s="10" t="inlineStr">
        <is>
          <t>Autor + agente de IA</t>
        </is>
      </c>
      <c r="S712" s="10" t="inlineStr"/>
      <c r="T712" s="11" t="inlineStr"/>
      <c r="U712" s="3" t="inlineStr">
        <is>
          <t>reports/S65/SL-S65-07.md</t>
        </is>
      </c>
      <c r="V712" s="10" t="inlineStr"/>
      <c r="W712" s="10" t="inlineStr"/>
      <c r="X712" s="3">
        <f>IF(N712="Concluído",IF(AND(S712&lt;&gt;"",ISNUMBER(T712),T712&gt;0,V712&lt;&gt;"",AND(OR(X711="OK",X711="DISPENSADO"))),"OK","REVISAR"),IF(N712="Dispensado (ADR)",IF(AND(LEFT(Q712,11)="Condicional",W712&lt;&gt;"",S712&lt;&gt;"",ISNUMBER(T712),T712&gt;0,V712&lt;&gt;""),"DISPENSADO","REVISAR"),"PENDENTE"))</f>
        <v/>
      </c>
      <c r="Y712" s="10" t="inlineStr"/>
    </row>
    <row r="713" ht="112" customHeight="1">
      <c r="A713" s="3" t="n">
        <v>712</v>
      </c>
      <c r="B713" s="3" t="inlineStr">
        <is>
          <t>SL-S65-08</t>
        </is>
      </c>
      <c r="C713" s="9" t="inlineStr">
        <is>
          <t>v1.2.0</t>
        </is>
      </c>
      <c r="D713" s="9" t="inlineStr">
        <is>
          <t>S65</t>
        </is>
      </c>
      <c r="E713" s="3" t="inlineStr">
        <is>
          <t>Distribuição offline / modelos</t>
        </is>
      </c>
      <c r="F713" s="3" t="inlineStr">
        <is>
          <t>Evolução proposta</t>
        </is>
      </c>
      <c r="G713" s="3" t="inlineStr">
        <is>
          <t>Teste</t>
        </is>
      </c>
      <c r="H713" s="3" t="inlineStr">
        <is>
          <t>Testar portabilidade por target</t>
        </is>
      </c>
      <c r="I713" s="3" t="inlineStr">
        <is>
          <t>Instalar packs nos cinco alvos compatíveis e verificar dependências faltantes.</t>
        </is>
      </c>
      <c r="J713" s="3" t="inlineStr">
        <is>
          <t>reports/offline/packs-matrix.json</t>
        </is>
      </c>
      <c r="K713" s="3" t="inlineStr">
        <is>
          <t>Pacote de uma arquitetura não é anunciado como universal sem prova.</t>
        </is>
      </c>
      <c r="L713" s="3" t="inlineStr">
        <is>
          <t>SL-S65-07</t>
        </is>
      </c>
      <c r="M713" s="3" t="inlineStr">
        <is>
          <t>R01; R07; R09; R30; R36</t>
        </is>
      </c>
      <c r="N713" s="10" t="inlineStr">
        <is>
          <t>Não iniciado</t>
        </is>
      </c>
      <c r="O713" s="3" t="inlineStr">
        <is>
          <t>P0</t>
        </is>
      </c>
      <c r="P713" s="3" t="inlineStr">
        <is>
          <t>Crítico</t>
        </is>
      </c>
      <c r="Q713" s="3" t="inlineStr">
        <is>
          <t>Condicional à ratificação do escopo pós-v1 (ADR-017/018)</t>
        </is>
      </c>
      <c r="R713" s="10" t="inlineStr">
        <is>
          <t>Autor + agente de IA</t>
        </is>
      </c>
      <c r="S713" s="10" t="inlineStr"/>
      <c r="T713" s="11" t="inlineStr"/>
      <c r="U713" s="3" t="inlineStr">
        <is>
          <t>reports/S65/SL-S65-08.md</t>
        </is>
      </c>
      <c r="V713" s="10" t="inlineStr"/>
      <c r="W713" s="10" t="inlineStr"/>
      <c r="X713" s="3">
        <f>IF(N713="Concluído",IF(AND(S713&lt;&gt;"",ISNUMBER(T713),T713&gt;0,V713&lt;&gt;"",AND(OR(X712="OK",X712="DISPENSADO"))),"OK","REVISAR"),IF(N713="Dispensado (ADR)",IF(AND(LEFT(Q713,11)="Condicional",W713&lt;&gt;"",S713&lt;&gt;"",ISNUMBER(T713),T713&gt;0,V713&lt;&gt;""),"DISPENSADO","REVISAR"),"PENDENTE"))</f>
        <v/>
      </c>
      <c r="Y713" s="10" t="inlineStr"/>
    </row>
    <row r="714" ht="112" customHeight="1">
      <c r="A714" s="3" t="n">
        <v>713</v>
      </c>
      <c r="B714" s="3" t="inlineStr">
        <is>
          <t>SL-S65-09</t>
        </is>
      </c>
      <c r="C714" s="9" t="inlineStr">
        <is>
          <t>v1.2.0</t>
        </is>
      </c>
      <c r="D714" s="9" t="inlineStr">
        <is>
          <t>S65</t>
        </is>
      </c>
      <c r="E714" s="3" t="inlineStr">
        <is>
          <t>Distribuição offline / modelos</t>
        </is>
      </c>
      <c r="F714" s="3" t="inlineStr">
        <is>
          <t>Evolução proposta</t>
        </is>
      </c>
      <c r="G714" s="3" t="inlineStr">
        <is>
          <t>Teste</t>
        </is>
      </c>
      <c r="H714" s="3" t="inlineStr">
        <is>
          <t>Validar zero egress</t>
        </is>
      </c>
      <c r="I714" s="3" t="inlineStr">
        <is>
          <t>Executar rotas locais completas em rede bloqueada e registrar tentativas.</t>
        </is>
      </c>
      <c r="J714" s="3" t="inlineStr">
        <is>
          <t>reports/offline/airgap-v1.2.json</t>
        </is>
      </c>
      <c r="K714" s="3" t="inlineStr">
        <is>
          <t>Nenhum backend tenta buscar tokenizer/modelo auxiliar não declarado.</t>
        </is>
      </c>
      <c r="L714" s="3" t="inlineStr">
        <is>
          <t>SL-S65-08</t>
        </is>
      </c>
      <c r="M714" s="3" t="inlineStr">
        <is>
          <t>R01; R07; R09; R30; R36</t>
        </is>
      </c>
      <c r="N714" s="10" t="inlineStr">
        <is>
          <t>Não iniciado</t>
        </is>
      </c>
      <c r="O714" s="3" t="inlineStr">
        <is>
          <t>P0</t>
        </is>
      </c>
      <c r="P714" s="3" t="inlineStr">
        <is>
          <t>Crítico</t>
        </is>
      </c>
      <c r="Q714" s="3" t="inlineStr">
        <is>
          <t>Condicional à ratificação do escopo pós-v1 (ADR-017/018)</t>
        </is>
      </c>
      <c r="R714" s="10" t="inlineStr">
        <is>
          <t>Autor + agente de IA</t>
        </is>
      </c>
      <c r="S714" s="10" t="inlineStr"/>
      <c r="T714" s="11" t="inlineStr"/>
      <c r="U714" s="3" t="inlineStr">
        <is>
          <t>reports/S65/SL-S65-09.md</t>
        </is>
      </c>
      <c r="V714" s="10" t="inlineStr"/>
      <c r="W714" s="10" t="inlineStr"/>
      <c r="X714" s="3">
        <f>IF(N714="Concluído",IF(AND(S714&lt;&gt;"",ISNUMBER(T714),T714&gt;0,V714&lt;&gt;"",AND(OR(X713="OK",X713="DISPENSADO"))),"OK","REVISAR"),IF(N714="Dispensado (ADR)",IF(AND(LEFT(Q714,11)="Condicional",W714&lt;&gt;"",S714&lt;&gt;"",ISNUMBER(T714),T714&gt;0,V714&lt;&gt;""),"DISPENSADO","REVISAR"),"PENDENTE"))</f>
        <v/>
      </c>
      <c r="Y714" s="10" t="inlineStr"/>
    </row>
    <row r="715" ht="112" customHeight="1">
      <c r="A715" s="3" t="n">
        <v>714</v>
      </c>
      <c r="B715" s="3" t="inlineStr">
        <is>
          <t>SL-S65-10</t>
        </is>
      </c>
      <c r="C715" s="9" t="inlineStr">
        <is>
          <t>v1.2.0</t>
        </is>
      </c>
      <c r="D715" s="9" t="inlineStr">
        <is>
          <t>S65</t>
        </is>
      </c>
      <c r="E715" s="3" t="inlineStr">
        <is>
          <t>Distribuição offline / modelos</t>
        </is>
      </c>
      <c r="F715" s="3" t="inlineStr">
        <is>
          <t>Evolução proposta</t>
        </is>
      </c>
      <c r="G715" s="3" t="inlineStr">
        <is>
          <t>Documentação</t>
        </is>
      </c>
      <c r="H715" s="3" t="inlineStr">
        <is>
          <t>Publicar guia de operação desconectada</t>
        </is>
      </c>
      <c r="I715" s="3" t="inlineStr">
        <is>
          <t>Explicar preparação, atualização, verificação e limites do modo offline.</t>
        </is>
      </c>
      <c r="J715" s="3" t="inlineStr">
        <is>
          <t>docs/user/offline-packs.md</t>
        </is>
      </c>
      <c r="K715" s="3" t="inlineStr">
        <is>
          <t>App distingue operação local de instalação inicial que pode requerer aquisição prévia dos artefatos.</t>
        </is>
      </c>
      <c r="L715" s="3" t="inlineStr">
        <is>
          <t>SL-S65-09</t>
        </is>
      </c>
      <c r="M715" s="3" t="inlineStr">
        <is>
          <t>R01; R07; R09; R30; R36</t>
        </is>
      </c>
      <c r="N715" s="10" t="inlineStr">
        <is>
          <t>Não iniciado</t>
        </is>
      </c>
      <c r="O715" s="3" t="inlineStr">
        <is>
          <t>P0</t>
        </is>
      </c>
      <c r="P715" s="3" t="inlineStr">
        <is>
          <t>Crítico</t>
        </is>
      </c>
      <c r="Q715" s="3" t="inlineStr">
        <is>
          <t>Condicional à ratificação do escopo pós-v1 (ADR-017/018)</t>
        </is>
      </c>
      <c r="R715" s="10" t="inlineStr">
        <is>
          <t>Autor + agente de IA</t>
        </is>
      </c>
      <c r="S715" s="10" t="inlineStr"/>
      <c r="T715" s="11" t="inlineStr"/>
      <c r="U715" s="3" t="inlineStr">
        <is>
          <t>reports/S65/SL-S65-10.md</t>
        </is>
      </c>
      <c r="V715" s="10" t="inlineStr"/>
      <c r="W715" s="10" t="inlineStr"/>
      <c r="X715" s="3">
        <f>IF(N715="Concluído",IF(AND(S715&lt;&gt;"",ISNUMBER(T715),T715&gt;0,V715&lt;&gt;"",AND(OR(X714="OK",X714="DISPENSADO"))),"OK","REVISAR"),IF(N715="Dispensado (ADR)",IF(AND(LEFT(Q715,11)="Condicional",W715&lt;&gt;"",S715&lt;&gt;"",ISNUMBER(T715),T715&gt;0,V715&lt;&gt;""),"DISPENSADO","REVISAR"),"PENDENTE"))</f>
        <v/>
      </c>
      <c r="Y715" s="10" t="inlineStr"/>
    </row>
    <row r="716" ht="98" customHeight="1">
      <c r="A716" s="3" t="n">
        <v>715</v>
      </c>
      <c r="B716" s="12" t="inlineStr">
        <is>
          <t>SL-S65-GATE</t>
        </is>
      </c>
      <c r="C716" s="9" t="inlineStr">
        <is>
          <t>v1.2.0</t>
        </is>
      </c>
      <c r="D716" s="9" t="inlineStr">
        <is>
          <t>S65</t>
        </is>
      </c>
      <c r="E716" s="3" t="inlineStr">
        <is>
          <t>Distribuição offline / modelos</t>
        </is>
      </c>
      <c r="F716" s="3" t="inlineStr">
        <is>
          <t>Aceite humano</t>
        </is>
      </c>
      <c r="G716" s="12" t="inlineStr">
        <is>
          <t>Gate</t>
        </is>
      </c>
      <c r="H716" s="12" t="inlineStr">
        <is>
          <t>Aceitar S65 — Consolidar pacotes offline e perfis portáveis</t>
        </is>
      </c>
      <c r="I716" s="3" t="inlineStr">
        <is>
          <t>Revisar as dez tarefas, executar a demonstração do sprint, confrontar critérios e registrar decisão go/no-go.</t>
        </is>
      </c>
      <c r="J716" s="3" t="inlineStr">
        <is>
          <t>reports/S65/acceptance.md</t>
        </is>
      </c>
      <c r="K716" s="3" t="inlineStr">
        <is>
          <t>Levar pacote permitido para outra máquina compatível e usar IA local sem conectividade. Todas as dependências aceitas; evidências vinculadas a revisão/ambiente; nenhum blocker de integridade/segurança.</t>
        </is>
      </c>
      <c r="L716" s="3" t="inlineStr">
        <is>
          <t>SL-S65-01; SL-S65-02; SL-S65-03; SL-S65-04; SL-S65-05; SL-S65-06; SL-S65-07; SL-S65-08; SL-S65-09; SL-S65-10</t>
        </is>
      </c>
      <c r="M716" s="3" t="inlineStr">
        <is>
          <t>R01; R07; R09; R30; R36</t>
        </is>
      </c>
      <c r="N716" s="10" t="inlineStr">
        <is>
          <t>Não iniciado</t>
        </is>
      </c>
      <c r="O716" s="3" t="inlineStr">
        <is>
          <t>P0</t>
        </is>
      </c>
      <c r="P716" s="3" t="inlineStr">
        <is>
          <t>Crítico</t>
        </is>
      </c>
      <c r="Q716" s="3" t="inlineStr">
        <is>
          <t>Obrigatória para fechar a versão aprovada</t>
        </is>
      </c>
      <c r="R716" s="10" t="inlineStr">
        <is>
          <t>Autor</t>
        </is>
      </c>
      <c r="S716" s="10" t="inlineStr"/>
      <c r="T716" s="11" t="inlineStr"/>
      <c r="U716" s="3" t="inlineStr">
        <is>
          <t>reports/S65/acceptance.md</t>
        </is>
      </c>
      <c r="V716" s="10" t="inlineStr"/>
      <c r="W716" s="10" t="inlineStr"/>
      <c r="X716" s="3">
        <f>IF(N716="Concluído",IF(AND(S716&lt;&gt;"",ISNUMBER(T716),T716&gt;0,V716&lt;&gt;"",AND(OR(X706="OK",X706="DISPENSADO"),OR(X707="OK",X707="DISPENSADO"),OR(X708="OK",X708="DISPENSADO"),OR(X709="OK",X709="DISPENSADO"),OR(X710="OK",X710="DISPENSADO"),OR(X711="OK",X711="DISPENSADO"),OR(X712="OK",X712="DISPENSADO"),OR(X713="OK",X713="DISPENSADO"),OR(X714="OK",X714="DISPENSADO"),OR(X715="OK",X715="DISPENSADO"))),"OK","REVISAR"),IF(N716="Dispensado (ADR)",IF(AND(LEFT(Q716,11)="Condicional",W716&lt;&gt;"",S716&lt;&gt;"",ISNUMBER(T716),T716&gt;0,V716&lt;&gt;""),"DISPENSADO","REVISAR"),"PENDENTE"))</f>
        <v/>
      </c>
      <c r="Y716" s="10" t="inlineStr"/>
    </row>
    <row r="717" ht="112" customHeight="1">
      <c r="A717" s="3" t="n">
        <v>716</v>
      </c>
      <c r="B717" s="3" t="inlineStr">
        <is>
          <t>SL-S66-01</t>
        </is>
      </c>
      <c r="C717" s="9" t="inlineStr">
        <is>
          <t>v1.2.0</t>
        </is>
      </c>
      <c r="D717" s="9" t="inlineStr">
        <is>
          <t>S66</t>
        </is>
      </c>
      <c r="E717" s="3" t="inlineStr">
        <is>
          <t>Formatos abertos / exportação</t>
        </is>
      </c>
      <c r="F717" s="3" t="inlineStr">
        <is>
          <t>Evolução proposta</t>
        </is>
      </c>
      <c r="G717" s="3" t="inlineStr">
        <is>
          <t>Decisão</t>
        </is>
      </c>
      <c r="H717" s="3" t="inlineStr">
        <is>
          <t>Aprovar formatos adicionais</t>
        </is>
      </c>
      <c r="I717" s="3" t="inlineStr">
        <is>
          <t>Escolher recorte interoperável, por exemplo JSON Canvas e export editorial local.</t>
        </is>
      </c>
      <c r="J717" s="3" t="inlineStr">
        <is>
          <t>docs/product/interoperability-v1.2.md</t>
        </is>
      </c>
      <c r="K717" s="3" t="inlineStr">
        <is>
          <t>Formatos são propostas ratificadas; não se promete compatibilidade irrestrita com todo app de notas.</t>
        </is>
      </c>
      <c r="L717" s="3" t="inlineStr">
        <is>
          <t>SL-S58-GATE; SL-S63-GATE; SL-S64-GATE; SL-S65-GATE</t>
        </is>
      </c>
      <c r="M717" s="3" t="inlineStr">
        <is>
          <t>R02; R04; R13; R29; R32; R36</t>
        </is>
      </c>
      <c r="N717" s="10" t="inlineStr">
        <is>
          <t>Não iniciado</t>
        </is>
      </c>
      <c r="O717" s="3" t="inlineStr">
        <is>
          <t>P0</t>
        </is>
      </c>
      <c r="P717" s="3" t="inlineStr">
        <is>
          <t>Alto</t>
        </is>
      </c>
      <c r="Q717" s="3" t="inlineStr">
        <is>
          <t>Condicional à ratificação do escopo pós-v1 (ADR-017/018)</t>
        </is>
      </c>
      <c r="R717" s="10" t="inlineStr">
        <is>
          <t>Autor</t>
        </is>
      </c>
      <c r="S717" s="10" t="inlineStr"/>
      <c r="T717" s="11" t="inlineStr"/>
      <c r="U717" s="3" t="inlineStr">
        <is>
          <t>reports/S66/SL-S66-01.md</t>
        </is>
      </c>
      <c r="V717" s="10" t="inlineStr"/>
      <c r="W717" s="10" t="inlineStr"/>
      <c r="X717" s="3">
        <f>IF(N717="Concluído",IF(AND(S717&lt;&gt;"",ISNUMBER(T717),T717&gt;0,V717&lt;&gt;"",AND(OR(X639="OK",X639="DISPENSADO"),OR(X694="OK",X694="DISPENSADO"),OR(X705="OK",X705="DISPENSADO"),OR(X716="OK",X716="DISPENSADO"))),"OK","REVISAR"),IF(N717="Dispensado (ADR)",IF(AND(LEFT(Q717,11)="Condicional",W717&lt;&gt;"",S717&lt;&gt;"",ISNUMBER(T717),T717&gt;0,V717&lt;&gt;""),"DISPENSADO","REVISAR"),"PENDENTE"))</f>
        <v/>
      </c>
      <c r="Y717" s="10" t="inlineStr"/>
    </row>
    <row r="718" ht="112" customHeight="1">
      <c r="A718" s="3" t="n">
        <v>717</v>
      </c>
      <c r="B718" s="3" t="inlineStr">
        <is>
          <t>SL-S66-02</t>
        </is>
      </c>
      <c r="C718" s="9" t="inlineStr">
        <is>
          <t>v1.2.0</t>
        </is>
      </c>
      <c r="D718" s="9" t="inlineStr">
        <is>
          <t>S66</t>
        </is>
      </c>
      <c r="E718" s="3" t="inlineStr">
        <is>
          <t>Formatos abertos / exportação</t>
        </is>
      </c>
      <c r="F718" s="3" t="inlineStr">
        <is>
          <t>Evolução proposta</t>
        </is>
      </c>
      <c r="G718" s="3" t="inlineStr">
        <is>
          <t>Contrato</t>
        </is>
      </c>
      <c r="H718" s="3" t="inlineStr">
        <is>
          <t>Definir mapeamento de topologia</t>
        </is>
      </c>
      <c r="I718" s="3" t="inlineStr">
        <is>
          <t>Relacionar nós/arestas/grupos e extensões Sandland ao formato escolhido.</t>
        </is>
      </c>
      <c r="J718" s="3" t="inlineStr">
        <is>
          <t>schemas/interop/board-mapping.json</t>
        </is>
      </c>
      <c r="K718" s="3" t="inlineStr">
        <is>
          <t>Relação sem representação é preservada em extensão ou relatada como perda antes do export.</t>
        </is>
      </c>
      <c r="L718" s="3" t="inlineStr">
        <is>
          <t>SL-S66-01</t>
        </is>
      </c>
      <c r="M718" s="3" t="inlineStr">
        <is>
          <t>R02; R04; R13; R29; R32; R36</t>
        </is>
      </c>
      <c r="N718" s="10" t="inlineStr">
        <is>
          <t>Não iniciado</t>
        </is>
      </c>
      <c r="O718" s="3" t="inlineStr">
        <is>
          <t>P0</t>
        </is>
      </c>
      <c r="P718" s="3" t="inlineStr">
        <is>
          <t>Alto</t>
        </is>
      </c>
      <c r="Q718" s="3" t="inlineStr">
        <is>
          <t>Condicional à ratificação do escopo pós-v1 (ADR-017/018)</t>
        </is>
      </c>
      <c r="R718" s="10" t="inlineStr">
        <is>
          <t>Autor + agente de IA</t>
        </is>
      </c>
      <c r="S718" s="10" t="inlineStr"/>
      <c r="T718" s="11" t="inlineStr"/>
      <c r="U718" s="3" t="inlineStr">
        <is>
          <t>reports/S66/SL-S66-02.md</t>
        </is>
      </c>
      <c r="V718" s="10" t="inlineStr"/>
      <c r="W718" s="10" t="inlineStr"/>
      <c r="X718" s="3">
        <f>IF(N718="Concluído",IF(AND(S718&lt;&gt;"",ISNUMBER(T718),T718&gt;0,V718&lt;&gt;"",AND(OR(X717="OK",X717="DISPENSADO"))),"OK","REVISAR"),IF(N718="Dispensado (ADR)",IF(AND(LEFT(Q718,11)="Condicional",W718&lt;&gt;"",S718&lt;&gt;"",ISNUMBER(T718),T718&gt;0,V718&lt;&gt;""),"DISPENSADO","REVISAR"),"PENDENTE"))</f>
        <v/>
      </c>
      <c r="Y718" s="10" t="inlineStr"/>
    </row>
    <row r="719" ht="112" customHeight="1">
      <c r="A719" s="3" t="n">
        <v>718</v>
      </c>
      <c r="B719" s="3" t="inlineStr">
        <is>
          <t>SL-S66-03</t>
        </is>
      </c>
      <c r="C719" s="9" t="inlineStr">
        <is>
          <t>v1.2.0</t>
        </is>
      </c>
      <c r="D719" s="9" t="inlineStr">
        <is>
          <t>S66</t>
        </is>
      </c>
      <c r="E719" s="3" t="inlineStr">
        <is>
          <t>Formatos abertos / exportação</t>
        </is>
      </c>
      <c r="F719" s="3" t="inlineStr">
        <is>
          <t>Evolução proposta</t>
        </is>
      </c>
      <c r="G719" s="3" t="inlineStr">
        <is>
          <t>Implementação</t>
        </is>
      </c>
      <c r="H719" s="3" t="inlineStr">
        <is>
          <t>Exportar board aberto</t>
        </is>
      </c>
      <c r="I719" s="3" t="inlineStr">
        <is>
          <t>Produzir referências portáveis e metadados de extensão documentados.</t>
        </is>
      </c>
      <c r="J719" s="3" t="inlineStr">
        <is>
          <t>crates/export/src/board_interop.rs</t>
        </is>
      </c>
      <c r="K719" s="3" t="inlineStr">
        <is>
          <t>Conteúdo não é duplicado de modo a perder identidade/proveniência.</t>
        </is>
      </c>
      <c r="L719" s="3" t="inlineStr">
        <is>
          <t>SL-S66-02</t>
        </is>
      </c>
      <c r="M719" s="3" t="inlineStr">
        <is>
          <t>R02; R04; R13; R29; R32; R36</t>
        </is>
      </c>
      <c r="N719" s="10" t="inlineStr">
        <is>
          <t>Não iniciado</t>
        </is>
      </c>
      <c r="O719" s="3" t="inlineStr">
        <is>
          <t>P2</t>
        </is>
      </c>
      <c r="P719" s="3" t="inlineStr">
        <is>
          <t>Alto</t>
        </is>
      </c>
      <c r="Q719" s="3" t="inlineStr">
        <is>
          <t>Condicional à ratificação do escopo pós-v1 (ADR-017/018)</t>
        </is>
      </c>
      <c r="R719" s="10" t="inlineStr">
        <is>
          <t>Autor + agente de IA</t>
        </is>
      </c>
      <c r="S719" s="10" t="inlineStr"/>
      <c r="T719" s="11" t="inlineStr"/>
      <c r="U719" s="3" t="inlineStr">
        <is>
          <t>reports/S66/SL-S66-03.md</t>
        </is>
      </c>
      <c r="V719" s="10" t="inlineStr"/>
      <c r="W719" s="10" t="inlineStr"/>
      <c r="X719" s="3">
        <f>IF(N719="Concluído",IF(AND(S719&lt;&gt;"",ISNUMBER(T719),T719&gt;0,V719&lt;&gt;"",AND(OR(X718="OK",X718="DISPENSADO"))),"OK","REVISAR"),IF(N719="Dispensado (ADR)",IF(AND(LEFT(Q719,11)="Condicional",W719&lt;&gt;"",S719&lt;&gt;"",ISNUMBER(T719),T719&gt;0,V719&lt;&gt;""),"DISPENSADO","REVISAR"),"PENDENTE"))</f>
        <v/>
      </c>
      <c r="Y719" s="10" t="inlineStr"/>
    </row>
    <row r="720" ht="112" customHeight="1">
      <c r="A720" s="3" t="n">
        <v>719</v>
      </c>
      <c r="B720" s="3" t="inlineStr">
        <is>
          <t>SL-S66-04</t>
        </is>
      </c>
      <c r="C720" s="9" t="inlineStr">
        <is>
          <t>v1.2.0</t>
        </is>
      </c>
      <c r="D720" s="9" t="inlineStr">
        <is>
          <t>S66</t>
        </is>
      </c>
      <c r="E720" s="3" t="inlineStr">
        <is>
          <t>Formatos abertos / exportação</t>
        </is>
      </c>
      <c r="F720" s="3" t="inlineStr">
        <is>
          <t>Evolução proposta</t>
        </is>
      </c>
      <c r="G720" s="3" t="inlineStr">
        <is>
          <t>Implementação</t>
        </is>
      </c>
      <c r="H720" s="3" t="inlineStr">
        <is>
          <t>Importar board em cópia segura</t>
        </is>
      </c>
      <c r="I720" s="3" t="inlineStr">
        <is>
          <t>Resolver paths e gerar IDs/mapeamentos sem autorizar acesso externo indevido.</t>
        </is>
      </c>
      <c r="J720" s="3" t="inlineStr">
        <is>
          <t>crates/import/src/board_interop.rs</t>
        </is>
      </c>
      <c r="K720" s="3" t="inlineStr">
        <is>
          <t>Importação não sobrepõe Vault ativo nem lê path arbitrário vindo do arquivo.</t>
        </is>
      </c>
      <c r="L720" s="3" t="inlineStr">
        <is>
          <t>SL-S66-03</t>
        </is>
      </c>
      <c r="M720" s="3" t="inlineStr">
        <is>
          <t>R02; R04; R13; R29; R32; R36</t>
        </is>
      </c>
      <c r="N720" s="10" t="inlineStr">
        <is>
          <t>Não iniciado</t>
        </is>
      </c>
      <c r="O720" s="3" t="inlineStr">
        <is>
          <t>P2</t>
        </is>
      </c>
      <c r="P720" s="3" t="inlineStr">
        <is>
          <t>Alto</t>
        </is>
      </c>
      <c r="Q720" s="3" t="inlineStr">
        <is>
          <t>Condicional à ratificação do escopo pós-v1 (ADR-017/018)</t>
        </is>
      </c>
      <c r="R720" s="10" t="inlineStr">
        <is>
          <t>Autor + agente de IA</t>
        </is>
      </c>
      <c r="S720" s="10" t="inlineStr"/>
      <c r="T720" s="11" t="inlineStr"/>
      <c r="U720" s="3" t="inlineStr">
        <is>
          <t>reports/S66/SL-S66-04.md</t>
        </is>
      </c>
      <c r="V720" s="10" t="inlineStr"/>
      <c r="W720" s="10" t="inlineStr"/>
      <c r="X720" s="3">
        <f>IF(N720="Concluído",IF(AND(S720&lt;&gt;"",ISNUMBER(T720),T720&gt;0,V720&lt;&gt;"",AND(OR(X719="OK",X719="DISPENSADO"))),"OK","REVISAR"),IF(N720="Dispensado (ADR)",IF(AND(LEFT(Q720,11)="Condicional",W720&lt;&gt;"",S720&lt;&gt;"",ISNUMBER(T720),T720&gt;0,V720&lt;&gt;""),"DISPENSADO","REVISAR"),"PENDENTE"))</f>
        <v/>
      </c>
      <c r="Y720" s="10" t="inlineStr"/>
    </row>
    <row r="721" ht="112" customHeight="1">
      <c r="A721" s="3" t="n">
        <v>720</v>
      </c>
      <c r="B721" s="3" t="inlineStr">
        <is>
          <t>SL-S66-05</t>
        </is>
      </c>
      <c r="C721" s="9" t="inlineStr">
        <is>
          <t>v1.2.0</t>
        </is>
      </c>
      <c r="D721" s="9" t="inlineStr">
        <is>
          <t>S66</t>
        </is>
      </c>
      <c r="E721" s="3" t="inlineStr">
        <is>
          <t>Formatos abertos / exportação</t>
        </is>
      </c>
      <c r="F721" s="3" t="inlineStr">
        <is>
          <t>Evolução proposta</t>
        </is>
      </c>
      <c r="G721" s="3" t="inlineStr">
        <is>
          <t>Implementação</t>
        </is>
      </c>
      <c r="H721" s="3" t="inlineStr">
        <is>
          <t>Exportar Peça em formato adicional</t>
        </is>
      </c>
      <c r="I721" s="3" t="inlineStr">
        <is>
          <t>Implementar formato aprovado, como HTML/PDF local, com assets e citações.</t>
        </is>
      </c>
      <c r="J721" s="3" t="inlineStr">
        <is>
          <t>crates/export/src/editorial.rs</t>
        </is>
      </c>
      <c r="K721" s="3" t="inlineStr">
        <is>
          <t>Não depende de renderer cloud nem recursos remotos não autorizados.</t>
        </is>
      </c>
      <c r="L721" s="3" t="inlineStr">
        <is>
          <t>SL-S66-04</t>
        </is>
      </c>
      <c r="M721" s="3" t="inlineStr">
        <is>
          <t>R02; R04; R13; R29; R32; R36</t>
        </is>
      </c>
      <c r="N721" s="10" t="inlineStr">
        <is>
          <t>Não iniciado</t>
        </is>
      </c>
      <c r="O721" s="3" t="inlineStr">
        <is>
          <t>P2</t>
        </is>
      </c>
      <c r="P721" s="3" t="inlineStr">
        <is>
          <t>Alto</t>
        </is>
      </c>
      <c r="Q721" s="3" t="inlineStr">
        <is>
          <t>Condicional à ratificação do escopo pós-v1 (ADR-017/018)</t>
        </is>
      </c>
      <c r="R721" s="10" t="inlineStr">
        <is>
          <t>Autor + agente de IA</t>
        </is>
      </c>
      <c r="S721" s="10" t="inlineStr"/>
      <c r="T721" s="11" t="inlineStr"/>
      <c r="U721" s="3" t="inlineStr">
        <is>
          <t>reports/S66/SL-S66-05.md</t>
        </is>
      </c>
      <c r="V721" s="10" t="inlineStr"/>
      <c r="W721" s="10" t="inlineStr"/>
      <c r="X721" s="3">
        <f>IF(N721="Concluído",IF(AND(S721&lt;&gt;"",ISNUMBER(T721),T721&gt;0,V721&lt;&gt;"",AND(OR(X720="OK",X720="DISPENSADO"))),"OK","REVISAR"),IF(N721="Dispensado (ADR)",IF(AND(LEFT(Q721,11)="Condicional",W721&lt;&gt;"",S721&lt;&gt;"",ISNUMBER(T721),T721&gt;0,V721&lt;&gt;""),"DISPENSADO","REVISAR"),"PENDENTE"))</f>
        <v/>
      </c>
      <c r="Y721" s="10" t="inlineStr"/>
    </row>
    <row r="722" ht="112" customHeight="1">
      <c r="A722" s="3" t="n">
        <v>721</v>
      </c>
      <c r="B722" s="3" t="inlineStr">
        <is>
          <t>SL-S66-06</t>
        </is>
      </c>
      <c r="C722" s="9" t="inlineStr">
        <is>
          <t>v1.2.0</t>
        </is>
      </c>
      <c r="D722" s="9" t="inlineStr">
        <is>
          <t>S66</t>
        </is>
      </c>
      <c r="E722" s="3" t="inlineStr">
        <is>
          <t>Formatos abertos / exportação</t>
        </is>
      </c>
      <c r="F722" s="3" t="inlineStr">
        <is>
          <t>Evolução proposta</t>
        </is>
      </c>
      <c r="G722" s="3" t="inlineStr">
        <is>
          <t>Implementação</t>
        </is>
      </c>
      <c r="H722" s="3" t="inlineStr">
        <is>
          <t>Exportar mapa de evidências</t>
        </is>
      </c>
      <c r="I722" s="3" t="inlineStr">
        <is>
          <t>Incluir fonte/revisão/localizador em manifest legível.</t>
        </is>
      </c>
      <c r="J722" s="3" t="inlineStr">
        <is>
          <t>crates/export/src/evidence_manifest.rs</t>
        </is>
      </c>
      <c r="K722" s="3" t="inlineStr">
        <is>
          <t>Texto final continua auditável por ferramenta externa.</t>
        </is>
      </c>
      <c r="L722" s="3" t="inlineStr">
        <is>
          <t>SL-S66-05</t>
        </is>
      </c>
      <c r="M722" s="3" t="inlineStr">
        <is>
          <t>R02; R04; R13; R29; R32; R36</t>
        </is>
      </c>
      <c r="N722" s="10" t="inlineStr">
        <is>
          <t>Não iniciado</t>
        </is>
      </c>
      <c r="O722" s="3" t="inlineStr">
        <is>
          <t>P2</t>
        </is>
      </c>
      <c r="P722" s="3" t="inlineStr">
        <is>
          <t>Alto</t>
        </is>
      </c>
      <c r="Q722" s="3" t="inlineStr">
        <is>
          <t>Condicional à ratificação do escopo pós-v1 (ADR-017/018)</t>
        </is>
      </c>
      <c r="R722" s="10" t="inlineStr">
        <is>
          <t>Autor + agente de IA</t>
        </is>
      </c>
      <c r="S722" s="10" t="inlineStr"/>
      <c r="T722" s="11" t="inlineStr"/>
      <c r="U722" s="3" t="inlineStr">
        <is>
          <t>reports/S66/SL-S66-06.md</t>
        </is>
      </c>
      <c r="V722" s="10" t="inlineStr"/>
      <c r="W722" s="10" t="inlineStr"/>
      <c r="X722" s="3">
        <f>IF(N722="Concluído",IF(AND(S722&lt;&gt;"",ISNUMBER(T722),T722&gt;0,V722&lt;&gt;"",AND(OR(X721="OK",X721="DISPENSADO"))),"OK","REVISAR"),IF(N722="Dispensado (ADR)",IF(AND(LEFT(Q722,11)="Condicional",W722&lt;&gt;"",S722&lt;&gt;"",ISNUMBER(T722),T722&gt;0,V722&lt;&gt;""),"DISPENSADO","REVISAR"),"PENDENTE"))</f>
        <v/>
      </c>
      <c r="Y722" s="10" t="inlineStr"/>
    </row>
    <row r="723" ht="112" customHeight="1">
      <c r="A723" s="3" t="n">
        <v>722</v>
      </c>
      <c r="B723" s="3" t="inlineStr">
        <is>
          <t>SL-S66-07</t>
        </is>
      </c>
      <c r="C723" s="9" t="inlineStr">
        <is>
          <t>v1.2.0</t>
        </is>
      </c>
      <c r="D723" s="9" t="inlineStr">
        <is>
          <t>S66</t>
        </is>
      </c>
      <c r="E723" s="3" t="inlineStr">
        <is>
          <t>Formatos abertos / exportação</t>
        </is>
      </c>
      <c r="F723" s="3" t="inlineStr">
        <is>
          <t>Evolução proposta</t>
        </is>
      </c>
      <c r="G723" s="3" t="inlineStr">
        <is>
          <t>Teste</t>
        </is>
      </c>
      <c r="H723" s="3" t="inlineStr">
        <is>
          <t>Testar round-trip interoperável</t>
        </is>
      </c>
      <c r="I723" s="3" t="inlineStr">
        <is>
          <t>Comparar campos suportados e perdas declaradas em fixtures.</t>
        </is>
      </c>
      <c r="J723" s="3" t="inlineStr">
        <is>
          <t>tests/interop/</t>
        </is>
      </c>
      <c r="K723" s="3" t="inlineStr">
        <is>
          <t>Import/export não é chamado lossless quando o formato alvo não representa toda a semântica.</t>
        </is>
      </c>
      <c r="L723" s="3" t="inlineStr">
        <is>
          <t>SL-S66-06</t>
        </is>
      </c>
      <c r="M723" s="3" t="inlineStr">
        <is>
          <t>R02; R04; R13; R29; R32; R36</t>
        </is>
      </c>
      <c r="N723" s="10" t="inlineStr">
        <is>
          <t>Não iniciado</t>
        </is>
      </c>
      <c r="O723" s="3" t="inlineStr">
        <is>
          <t>P2</t>
        </is>
      </c>
      <c r="P723" s="3" t="inlineStr">
        <is>
          <t>Alto</t>
        </is>
      </c>
      <c r="Q723" s="3" t="inlineStr">
        <is>
          <t>Condicional à ratificação do escopo pós-v1 (ADR-017/018)</t>
        </is>
      </c>
      <c r="R723" s="10" t="inlineStr">
        <is>
          <t>Autor + agente de IA</t>
        </is>
      </c>
      <c r="S723" s="10" t="inlineStr"/>
      <c r="T723" s="11" t="inlineStr"/>
      <c r="U723" s="3" t="inlineStr">
        <is>
          <t>reports/S66/SL-S66-07.md</t>
        </is>
      </c>
      <c r="V723" s="10" t="inlineStr"/>
      <c r="W723" s="10" t="inlineStr"/>
      <c r="X723" s="3">
        <f>IF(N723="Concluído",IF(AND(S723&lt;&gt;"",ISNUMBER(T723),T723&gt;0,V723&lt;&gt;"",AND(OR(X722="OK",X722="DISPENSADO"))),"OK","REVISAR"),IF(N723="Dispensado (ADR)",IF(AND(LEFT(Q723,11)="Condicional",W723&lt;&gt;"",S723&lt;&gt;"",ISNUMBER(T723),T723&gt;0,V723&lt;&gt;""),"DISPENSADO","REVISAR"),"PENDENTE"))</f>
        <v/>
      </c>
      <c r="Y723" s="10" t="inlineStr"/>
    </row>
    <row r="724" ht="112" customHeight="1">
      <c r="A724" s="3" t="n">
        <v>723</v>
      </c>
      <c r="B724" s="3" t="inlineStr">
        <is>
          <t>SL-S66-08</t>
        </is>
      </c>
      <c r="C724" s="9" t="inlineStr">
        <is>
          <t>v1.2.0</t>
        </is>
      </c>
      <c r="D724" s="9" t="inlineStr">
        <is>
          <t>S66</t>
        </is>
      </c>
      <c r="E724" s="3" t="inlineStr">
        <is>
          <t>Formatos abertos / exportação</t>
        </is>
      </c>
      <c r="F724" s="3" t="inlineStr">
        <is>
          <t>Evolução proposta</t>
        </is>
      </c>
      <c r="G724" s="3" t="inlineStr">
        <is>
          <t>Teste</t>
        </is>
      </c>
      <c r="H724" s="3" t="inlineStr">
        <is>
          <t>Testar migração de v1.0/v1.1</t>
        </is>
      </c>
      <c r="I724" s="3" t="inlineStr">
        <is>
          <t>Rodar corpus de versões e procedimento de restauração.</t>
        </is>
      </c>
      <c r="J724" s="3" t="inlineStr">
        <is>
          <t>reports/v1.2/compatibility.json</t>
        </is>
      </c>
      <c r="K724" s="3" t="inlineStr">
        <is>
          <t>Novos exports não quebram formatos canônicos existentes.</t>
        </is>
      </c>
      <c r="L724" s="3" t="inlineStr">
        <is>
          <t>SL-S66-07</t>
        </is>
      </c>
      <c r="M724" s="3" t="inlineStr">
        <is>
          <t>R02; R04; R13; R29; R32; R36</t>
        </is>
      </c>
      <c r="N724" s="10" t="inlineStr">
        <is>
          <t>Não iniciado</t>
        </is>
      </c>
      <c r="O724" s="3" t="inlineStr">
        <is>
          <t>P2</t>
        </is>
      </c>
      <c r="P724" s="3" t="inlineStr">
        <is>
          <t>Alto</t>
        </is>
      </c>
      <c r="Q724" s="3" t="inlineStr">
        <is>
          <t>Condicional à ratificação do escopo pós-v1 (ADR-017/018)</t>
        </is>
      </c>
      <c r="R724" s="10" t="inlineStr">
        <is>
          <t>Autor + agente de IA</t>
        </is>
      </c>
      <c r="S724" s="10" t="inlineStr"/>
      <c r="T724" s="11" t="inlineStr"/>
      <c r="U724" s="3" t="inlineStr">
        <is>
          <t>reports/S66/SL-S66-08.md</t>
        </is>
      </c>
      <c r="V724" s="10" t="inlineStr"/>
      <c r="W724" s="10" t="inlineStr"/>
      <c r="X724" s="3">
        <f>IF(N724="Concluído",IF(AND(S724&lt;&gt;"",ISNUMBER(T724),T724&gt;0,V724&lt;&gt;"",AND(OR(X723="OK",X723="DISPENSADO"))),"OK","REVISAR"),IF(N724="Dispensado (ADR)",IF(AND(LEFT(Q724,11)="Condicional",W724&lt;&gt;"",S724&lt;&gt;"",ISNUMBER(T724),T724&gt;0,V724&lt;&gt;""),"DISPENSADO","REVISAR"),"PENDENTE"))</f>
        <v/>
      </c>
      <c r="Y724" s="10" t="inlineStr"/>
    </row>
    <row r="725" ht="112" customHeight="1">
      <c r="A725" s="3" t="n">
        <v>724</v>
      </c>
      <c r="B725" s="3" t="inlineStr">
        <is>
          <t>SL-S66-09</t>
        </is>
      </c>
      <c r="C725" s="9" t="inlineStr">
        <is>
          <t>v1.2.0</t>
        </is>
      </c>
      <c r="D725" s="9" t="inlineStr">
        <is>
          <t>S66</t>
        </is>
      </c>
      <c r="E725" s="3" t="inlineStr">
        <is>
          <t>Formatos abertos / exportação</t>
        </is>
      </c>
      <c r="F725" s="3" t="inlineStr">
        <is>
          <t>Evolução proposta</t>
        </is>
      </c>
      <c r="G725" s="3" t="inlineStr">
        <is>
          <t>Documentação</t>
        </is>
      </c>
      <c r="H725" s="3" t="inlineStr">
        <is>
          <t>Publicar especificação de formato</t>
        </is>
      </c>
      <c r="I725" s="3" t="inlineStr">
        <is>
          <t>Fornecer exemplos e validadores para implementadores externos.</t>
        </is>
      </c>
      <c r="J725" s="3" t="inlineStr">
        <is>
          <t>docs/specs/interoperability/</t>
        </is>
      </c>
      <c r="K725" s="3" t="inlineStr">
        <is>
          <t>É possível ler/converter dados sem vincular ao runtime do Sandland.</t>
        </is>
      </c>
      <c r="L725" s="3" t="inlineStr">
        <is>
          <t>SL-S66-08</t>
        </is>
      </c>
      <c r="M725" s="3" t="inlineStr">
        <is>
          <t>R02; R04; R13; R29; R32; R36</t>
        </is>
      </c>
      <c r="N725" s="10" t="inlineStr">
        <is>
          <t>Não iniciado</t>
        </is>
      </c>
      <c r="O725" s="3" t="inlineStr">
        <is>
          <t>P2</t>
        </is>
      </c>
      <c r="P725" s="3" t="inlineStr">
        <is>
          <t>Alto</t>
        </is>
      </c>
      <c r="Q725" s="3" t="inlineStr">
        <is>
          <t>Condicional à ratificação do escopo pós-v1 (ADR-017/018)</t>
        </is>
      </c>
      <c r="R725" s="10" t="inlineStr">
        <is>
          <t>Autor + agente de IA</t>
        </is>
      </c>
      <c r="S725" s="10" t="inlineStr"/>
      <c r="T725" s="11" t="inlineStr"/>
      <c r="U725" s="3" t="inlineStr">
        <is>
          <t>reports/S66/SL-S66-09.md</t>
        </is>
      </c>
      <c r="V725" s="10" t="inlineStr"/>
      <c r="W725" s="10" t="inlineStr"/>
      <c r="X725" s="3">
        <f>IF(N725="Concluído",IF(AND(S725&lt;&gt;"",ISNUMBER(T725),T725&gt;0,V725&lt;&gt;"",AND(OR(X724="OK",X724="DISPENSADO"))),"OK","REVISAR"),IF(N725="Dispensado (ADR)",IF(AND(LEFT(Q725,11)="Condicional",W725&lt;&gt;"",S725&lt;&gt;"",ISNUMBER(T725),T725&gt;0,V725&lt;&gt;""),"DISPENSADO","REVISAR"),"PENDENTE"))</f>
        <v/>
      </c>
      <c r="Y725" s="10" t="inlineStr"/>
    </row>
    <row r="726" ht="112" customHeight="1">
      <c r="A726" s="3" t="n">
        <v>725</v>
      </c>
      <c r="B726" s="3" t="inlineStr">
        <is>
          <t>SL-S66-10</t>
        </is>
      </c>
      <c r="C726" s="9" t="inlineStr">
        <is>
          <t>v1.2.0</t>
        </is>
      </c>
      <c r="D726" s="9" t="inlineStr">
        <is>
          <t>S66</t>
        </is>
      </c>
      <c r="E726" s="3" t="inlineStr">
        <is>
          <t>Formatos abertos / exportação</t>
        </is>
      </c>
      <c r="F726" s="3" t="inlineStr">
        <is>
          <t>Evolução proposta</t>
        </is>
      </c>
      <c r="G726" s="3" t="inlineStr">
        <is>
          <t>Release</t>
        </is>
      </c>
      <c r="H726" s="3" t="inlineStr">
        <is>
          <t>Publicar v1.2 estável</t>
        </is>
      </c>
      <c r="I726" s="3" t="inlineStr">
        <is>
          <t>Consolidar escala, packs offline e interoperabilidade com evidências.</t>
        </is>
      </c>
      <c r="J726" s="3" t="inlineStr">
        <is>
          <t>release/v1.2.0/</t>
        </is>
      </c>
      <c r="K726" s="3" t="inlineStr">
        <is>
          <t>Novas capacidades têm limites claros e não mascaram regressões no fluxo v1.0.</t>
        </is>
      </c>
      <c r="L726" s="3" t="inlineStr">
        <is>
          <t>SL-S66-09</t>
        </is>
      </c>
      <c r="M726" s="3" t="inlineStr">
        <is>
          <t>R02; R04; R13; R29; R32; R36</t>
        </is>
      </c>
      <c r="N726" s="10" t="inlineStr">
        <is>
          <t>Não iniciado</t>
        </is>
      </c>
      <c r="O726" s="3" t="inlineStr">
        <is>
          <t>P2</t>
        </is>
      </c>
      <c r="P726" s="3" t="inlineStr">
        <is>
          <t>Alto</t>
        </is>
      </c>
      <c r="Q726" s="3" t="inlineStr">
        <is>
          <t>Condicional à ratificação do escopo pós-v1 (ADR-017/018)</t>
        </is>
      </c>
      <c r="R726" s="10" t="inlineStr">
        <is>
          <t>Autor</t>
        </is>
      </c>
      <c r="S726" s="10" t="inlineStr"/>
      <c r="T726" s="11" t="inlineStr"/>
      <c r="U726" s="3" t="inlineStr">
        <is>
          <t>reports/S66/SL-S66-10.md</t>
        </is>
      </c>
      <c r="V726" s="10" t="inlineStr"/>
      <c r="W726" s="10" t="inlineStr"/>
      <c r="X726" s="3">
        <f>IF(N726="Concluído",IF(AND(S726&lt;&gt;"",ISNUMBER(T726),T726&gt;0,V726&lt;&gt;"",AND(OR(X725="OK",X725="DISPENSADO"))),"OK","REVISAR"),IF(N726="Dispensado (ADR)",IF(AND(LEFT(Q726,11)="Condicional",W726&lt;&gt;"",S726&lt;&gt;"",ISNUMBER(T726),T726&gt;0,V726&lt;&gt;""),"DISPENSADO","REVISAR"),"PENDENTE"))</f>
        <v/>
      </c>
      <c r="Y726" s="10" t="inlineStr"/>
    </row>
    <row r="727" ht="98" customHeight="1">
      <c r="A727" s="3" t="n">
        <v>726</v>
      </c>
      <c r="B727" s="12" t="inlineStr">
        <is>
          <t>SL-S66-GATE</t>
        </is>
      </c>
      <c r="C727" s="9" t="inlineStr">
        <is>
          <t>v1.2.0</t>
        </is>
      </c>
      <c r="D727" s="9" t="inlineStr">
        <is>
          <t>S66</t>
        </is>
      </c>
      <c r="E727" s="3" t="inlineStr">
        <is>
          <t>Formatos abertos / exportação</t>
        </is>
      </c>
      <c r="F727" s="3" t="inlineStr">
        <is>
          <t>Aceite humano</t>
        </is>
      </c>
      <c r="G727" s="12" t="inlineStr">
        <is>
          <t>Gate</t>
        </is>
      </c>
      <c r="H727" s="12" t="inlineStr">
        <is>
          <t>Aceitar S66 — Ampliar interoperabilidade e publicar v1.2</t>
        </is>
      </c>
      <c r="I727" s="3" t="inlineStr">
        <is>
          <t>Revisar as dez tarefas, executar a demonstração do sprint, confrontar critérios e registrar decisão go/no-go.</t>
        </is>
      </c>
      <c r="J727" s="3" t="inlineStr">
        <is>
          <t>reports/S66/acceptance.md</t>
        </is>
      </c>
      <c r="K727" s="3" t="inlineStr">
        <is>
          <t>Exportar mesa/Peça e importar cópia sem perder os campos declarados suportados. Todas as dependências aceitas; evidências vinculadas a revisão/ambiente; nenhum blocker de integridade/segurança.</t>
        </is>
      </c>
      <c r="L727" s="3" t="inlineStr">
        <is>
          <t>SL-S66-01; SL-S66-02; SL-S66-03; SL-S66-04; SL-S66-05; SL-S66-06; SL-S66-07; SL-S66-08; SL-S66-09; SL-S66-10</t>
        </is>
      </c>
      <c r="M727" s="3" t="inlineStr">
        <is>
          <t>R02; R04; R13; R29; R32; R36</t>
        </is>
      </c>
      <c r="N727" s="10" t="inlineStr">
        <is>
          <t>Não iniciado</t>
        </is>
      </c>
      <c r="O727" s="3" t="inlineStr">
        <is>
          <t>P0</t>
        </is>
      </c>
      <c r="P727" s="3" t="inlineStr">
        <is>
          <t>Alto</t>
        </is>
      </c>
      <c r="Q727" s="3" t="inlineStr">
        <is>
          <t>Obrigatória para fechar a versão aprovada</t>
        </is>
      </c>
      <c r="R727" s="10" t="inlineStr">
        <is>
          <t>Autor</t>
        </is>
      </c>
      <c r="S727" s="10" t="inlineStr"/>
      <c r="T727" s="11" t="inlineStr"/>
      <c r="U727" s="3" t="inlineStr">
        <is>
          <t>reports/S66/acceptance.md</t>
        </is>
      </c>
      <c r="V727" s="10" t="inlineStr"/>
      <c r="W727" s="10" t="inlineStr"/>
      <c r="X727" s="3">
        <f>IF(N727="Concluído",IF(AND(S727&lt;&gt;"",ISNUMBER(T727),T727&gt;0,V727&lt;&gt;"",AND(OR(X717="OK",X717="DISPENSADO"),OR(X718="OK",X718="DISPENSADO"),OR(X719="OK",X719="DISPENSADO"),OR(X720="OK",X720="DISPENSADO"),OR(X721="OK",X721="DISPENSADO"),OR(X722="OK",X722="DISPENSADO"),OR(X723="OK",X723="DISPENSADO"),OR(X724="OK",X724="DISPENSADO"),OR(X725="OK",X725="DISPENSADO"),OR(X726="OK",X726="DISPENSADO"))),"OK","REVISAR"),IF(N727="Dispensado (ADR)",IF(AND(LEFT(Q727,11)="Condicional",W727&lt;&gt;"",S727&lt;&gt;"",ISNUMBER(T727),T727&gt;0,V727&lt;&gt;""),"DISPENSADO","REVISAR"),"PENDENTE"))</f>
        <v/>
      </c>
      <c r="Y727" s="10" t="inlineStr"/>
    </row>
    <row r="728" ht="112" customHeight="1">
      <c r="A728" s="3" t="n">
        <v>727</v>
      </c>
      <c r="B728" s="3" t="inlineStr">
        <is>
          <t>SL-S67-01</t>
        </is>
      </c>
      <c r="C728" s="9" t="inlineStr">
        <is>
          <t>v2.0.0-beta.1</t>
        </is>
      </c>
      <c r="D728" s="9" t="inlineStr">
        <is>
          <t>S67</t>
        </is>
      </c>
      <c r="E728" s="3" t="inlineStr">
        <is>
          <t>Arquitetura v2 / extensibilidade</t>
        </is>
      </c>
      <c r="F728" s="3" t="inlineStr">
        <is>
          <t>Evolução proposta</t>
        </is>
      </c>
      <c r="G728" s="3" t="inlineStr">
        <is>
          <t>Decisão</t>
        </is>
      </c>
      <c r="H728" s="3" t="inlineStr">
        <is>
          <t>Ratificar escopo v2</t>
        </is>
      </c>
      <c r="I728" s="3" t="inlineStr">
        <is>
          <t>Resolver ADR-018 com objetivos observados e não escopo de marketplace/execução irrestrita.</t>
        </is>
      </c>
      <c r="J728" s="3" t="inlineStr">
        <is>
          <t>docs/adr/018-provider-sdk.md</t>
        </is>
      </c>
      <c r="K728" s="3" t="inlineStr">
        <is>
          <t>Autor aprova evolução; ausência de aprovação bloqueia implementação, não é presumida pelo roadmap.</t>
        </is>
      </c>
      <c r="L728" s="3" t="inlineStr">
        <is>
          <t>SL-S61-GATE; SL-S66-GATE</t>
        </is>
      </c>
      <c r="M728" s="3" t="inlineStr">
        <is>
          <t>R03; R06; R08; R32; R35</t>
        </is>
      </c>
      <c r="N728" s="10" t="inlineStr">
        <is>
          <t>Não iniciado</t>
        </is>
      </c>
      <c r="O728" s="3" t="inlineStr">
        <is>
          <t>P0</t>
        </is>
      </c>
      <c r="P728" s="3" t="inlineStr">
        <is>
          <t>Crítico</t>
        </is>
      </c>
      <c r="Q728" s="3" t="inlineStr">
        <is>
          <t>Condicional à ratificação do escopo pós-v1 (ADR-017/018)</t>
        </is>
      </c>
      <c r="R728" s="10" t="inlineStr">
        <is>
          <t>Autor</t>
        </is>
      </c>
      <c r="S728" s="10" t="inlineStr"/>
      <c r="T728" s="11" t="inlineStr"/>
      <c r="U728" s="3" t="inlineStr">
        <is>
          <t>reports/S67/SL-S67-01.md</t>
        </is>
      </c>
      <c r="V728" s="10" t="inlineStr"/>
      <c r="W728" s="10" t="inlineStr"/>
      <c r="X728" s="3">
        <f>IF(N728="Concluído",IF(AND(S728&lt;&gt;"",ISNUMBER(T728),T728&gt;0,V728&lt;&gt;"",AND(OR(X672="OK",X672="DISPENSADO"),OR(X727="OK",X727="DISPENSADO"))),"OK","REVISAR"),IF(N728="Dispensado (ADR)",IF(AND(LEFT(Q728,11)="Condicional",W728&lt;&gt;"",S728&lt;&gt;"",ISNUMBER(T728),T728&gt;0,V728&lt;&gt;""),"DISPENSADO","REVISAR"),"PENDENTE"))</f>
        <v/>
      </c>
      <c r="Y728" s="10" t="inlineStr"/>
    </row>
    <row r="729" ht="112" customHeight="1">
      <c r="A729" s="3" t="n">
        <v>728</v>
      </c>
      <c r="B729" s="3" t="inlineStr">
        <is>
          <t>SL-S67-02</t>
        </is>
      </c>
      <c r="C729" s="9" t="inlineStr">
        <is>
          <t>v2.0.0-beta.1</t>
        </is>
      </c>
      <c r="D729" s="9" t="inlineStr">
        <is>
          <t>S67</t>
        </is>
      </c>
      <c r="E729" s="3" t="inlineStr">
        <is>
          <t>Arquitetura v2 / extensibilidade</t>
        </is>
      </c>
      <c r="F729" s="3" t="inlineStr">
        <is>
          <t>Evolução proposta</t>
        </is>
      </c>
      <c r="G729" s="3" t="inlineStr">
        <is>
          <t>Contrato</t>
        </is>
      </c>
      <c r="H729" s="3" t="inlineStr">
        <is>
          <t>Separar APIs internas e públicas</t>
        </is>
      </c>
      <c r="I729" s="3" t="inlineStr">
        <is>
          <t>Expor somente serviços de geração, extração, busca e contexto necessários.</t>
        </is>
      </c>
      <c r="J729" s="3" t="inlineStr">
        <is>
          <t>docs/sdk/api-surface.md</t>
        </is>
      </c>
      <c r="K729" s="3" t="inlineStr">
        <is>
          <t>Store canônico e mutação do filesystem não são disponibilizados diretamente à extensão.</t>
        </is>
      </c>
      <c r="L729" s="3" t="inlineStr">
        <is>
          <t>SL-S67-01</t>
        </is>
      </c>
      <c r="M729" s="3" t="inlineStr">
        <is>
          <t>R03; R06; R08; R32; R35</t>
        </is>
      </c>
      <c r="N729" s="10" t="inlineStr">
        <is>
          <t>Não iniciado</t>
        </is>
      </c>
      <c r="O729" s="3" t="inlineStr">
        <is>
          <t>P0</t>
        </is>
      </c>
      <c r="P729" s="3" t="inlineStr">
        <is>
          <t>Crítico</t>
        </is>
      </c>
      <c r="Q729" s="3" t="inlineStr">
        <is>
          <t>Condicional à ratificação do escopo pós-v1 (ADR-017/018)</t>
        </is>
      </c>
      <c r="R729" s="10" t="inlineStr">
        <is>
          <t>Autor + agente de IA</t>
        </is>
      </c>
      <c r="S729" s="10" t="inlineStr"/>
      <c r="T729" s="11" t="inlineStr"/>
      <c r="U729" s="3" t="inlineStr">
        <is>
          <t>reports/S67/SL-S67-02.md</t>
        </is>
      </c>
      <c r="V729" s="10" t="inlineStr"/>
      <c r="W729" s="10" t="inlineStr"/>
      <c r="X729" s="3">
        <f>IF(N729="Concluído",IF(AND(S729&lt;&gt;"",ISNUMBER(T729),T729&gt;0,V729&lt;&gt;"",AND(OR(X728="OK",X728="DISPENSADO"))),"OK","REVISAR"),IF(N729="Dispensado (ADR)",IF(AND(LEFT(Q729,11)="Condicional",W729&lt;&gt;"",S729&lt;&gt;"",ISNUMBER(T729),T729&gt;0,V729&lt;&gt;""),"DISPENSADO","REVISAR"),"PENDENTE"))</f>
        <v/>
      </c>
      <c r="Y729" s="10" t="inlineStr"/>
    </row>
    <row r="730" ht="112" customHeight="1">
      <c r="A730" s="3" t="n">
        <v>729</v>
      </c>
      <c r="B730" s="3" t="inlineStr">
        <is>
          <t>SL-S67-03</t>
        </is>
      </c>
      <c r="C730" s="9" t="inlineStr">
        <is>
          <t>v2.0.0-beta.1</t>
        </is>
      </c>
      <c r="D730" s="9" t="inlineStr">
        <is>
          <t>S67</t>
        </is>
      </c>
      <c r="E730" s="3" t="inlineStr">
        <is>
          <t>Arquitetura v2 / extensibilidade</t>
        </is>
      </c>
      <c r="F730" s="3" t="inlineStr">
        <is>
          <t>Evolução proposta</t>
        </is>
      </c>
      <c r="G730" s="3" t="inlineStr">
        <is>
          <t>Contrato</t>
        </is>
      </c>
      <c r="H730" s="3" t="inlineStr">
        <is>
          <t>Definir versionamento do SDK</t>
        </is>
      </c>
      <c r="I730" s="3" t="inlineStr">
        <is>
          <t>Separar contrato de transporte, capabilities e schema de dados.</t>
        </is>
      </c>
      <c r="J730" s="3" t="inlineStr">
        <is>
          <t>schemas/provider-sdk-version.json</t>
        </is>
      </c>
      <c r="K730" s="3" t="inlineStr">
        <is>
          <t>Breaking change de plugin não obriga breaking change do Vault.</t>
        </is>
      </c>
      <c r="L730" s="3" t="inlineStr">
        <is>
          <t>SL-S67-02</t>
        </is>
      </c>
      <c r="M730" s="3" t="inlineStr">
        <is>
          <t>R03; R06; R08; R32; R35</t>
        </is>
      </c>
      <c r="N730" s="10" t="inlineStr">
        <is>
          <t>Não iniciado</t>
        </is>
      </c>
      <c r="O730" s="3" t="inlineStr">
        <is>
          <t>P0</t>
        </is>
      </c>
      <c r="P730" s="3" t="inlineStr">
        <is>
          <t>Crítico</t>
        </is>
      </c>
      <c r="Q730" s="3" t="inlineStr">
        <is>
          <t>Condicional à ratificação do escopo pós-v1 (ADR-017/018)</t>
        </is>
      </c>
      <c r="R730" s="10" t="inlineStr">
        <is>
          <t>Autor + agente de IA</t>
        </is>
      </c>
      <c r="S730" s="10" t="inlineStr"/>
      <c r="T730" s="11" t="inlineStr"/>
      <c r="U730" s="3" t="inlineStr">
        <is>
          <t>reports/S67/SL-S67-03.md</t>
        </is>
      </c>
      <c r="V730" s="10" t="inlineStr"/>
      <c r="W730" s="10" t="inlineStr"/>
      <c r="X730" s="3">
        <f>IF(N730="Concluído",IF(AND(S730&lt;&gt;"",ISNUMBER(T730),T730&gt;0,V730&lt;&gt;"",AND(OR(X729="OK",X729="DISPENSADO"))),"OK","REVISAR"),IF(N730="Dispensado (ADR)",IF(AND(LEFT(Q730,11)="Condicional",W730&lt;&gt;"",S730&lt;&gt;"",ISNUMBER(T730),T730&gt;0,V730&lt;&gt;""),"DISPENSADO","REVISAR"),"PENDENTE"))</f>
        <v/>
      </c>
      <c r="Y730" s="10" t="inlineStr"/>
    </row>
    <row r="731" ht="112" customHeight="1">
      <c r="A731" s="3" t="n">
        <v>730</v>
      </c>
      <c r="B731" s="3" t="inlineStr">
        <is>
          <t>SL-S67-04</t>
        </is>
      </c>
      <c r="C731" s="9" t="inlineStr">
        <is>
          <t>v2.0.0-beta.1</t>
        </is>
      </c>
      <c r="D731" s="9" t="inlineStr">
        <is>
          <t>S67</t>
        </is>
      </c>
      <c r="E731" s="3" t="inlineStr">
        <is>
          <t>Arquitetura v2 / extensibilidade</t>
        </is>
      </c>
      <c r="F731" s="3" t="inlineStr">
        <is>
          <t>Evolução proposta</t>
        </is>
      </c>
      <c r="G731" s="3" t="inlineStr">
        <is>
          <t>Contrato</t>
        </is>
      </c>
      <c r="H731" s="3" t="inlineStr">
        <is>
          <t>Definir manifesto de extensão</t>
        </is>
      </c>
      <c r="I731" s="3" t="inlineStr">
        <is>
          <t>Identificar origem, versão, target, entradas/saídas, rede e recursos solicitados.</t>
        </is>
      </c>
      <c r="J731" s="3" t="inlineStr">
        <is>
          <t>schemas/provider-extension-v1.json</t>
        </is>
      </c>
      <c r="K731" s="3" t="inlineStr">
        <is>
          <t>Instalação não concede todos os direitos por padrão.</t>
        </is>
      </c>
      <c r="L731" s="3" t="inlineStr">
        <is>
          <t>SL-S67-03</t>
        </is>
      </c>
      <c r="M731" s="3" t="inlineStr">
        <is>
          <t>R03; R06; R08; R32; R35</t>
        </is>
      </c>
      <c r="N731" s="10" t="inlineStr">
        <is>
          <t>Não iniciado</t>
        </is>
      </c>
      <c r="O731" s="3" t="inlineStr">
        <is>
          <t>P0</t>
        </is>
      </c>
      <c r="P731" s="3" t="inlineStr">
        <is>
          <t>Crítico</t>
        </is>
      </c>
      <c r="Q731" s="3" t="inlineStr">
        <is>
          <t>Condicional à ratificação do escopo pós-v1 (ADR-017/018)</t>
        </is>
      </c>
      <c r="R731" s="10" t="inlineStr">
        <is>
          <t>Autor + agente de IA</t>
        </is>
      </c>
      <c r="S731" s="10" t="inlineStr"/>
      <c r="T731" s="11" t="inlineStr"/>
      <c r="U731" s="3" t="inlineStr">
        <is>
          <t>reports/S67/SL-S67-04.md</t>
        </is>
      </c>
      <c r="V731" s="10" t="inlineStr"/>
      <c r="W731" s="10" t="inlineStr"/>
      <c r="X731" s="3">
        <f>IF(N731="Concluído",IF(AND(S731&lt;&gt;"",ISNUMBER(T731),T731&gt;0,V731&lt;&gt;"",AND(OR(X730="OK",X730="DISPENSADO"))),"OK","REVISAR"),IF(N731="Dispensado (ADR)",IF(AND(LEFT(Q731,11)="Condicional",W731&lt;&gt;"",S731&lt;&gt;"",ISNUMBER(T731),T731&gt;0,V731&lt;&gt;""),"DISPENSADO","REVISAR"),"PENDENTE"))</f>
        <v/>
      </c>
      <c r="Y731" s="10" t="inlineStr"/>
    </row>
    <row r="732" ht="112" customHeight="1">
      <c r="A732" s="3" t="n">
        <v>731</v>
      </c>
      <c r="B732" s="3" t="inlineStr">
        <is>
          <t>SL-S67-05</t>
        </is>
      </c>
      <c r="C732" s="9" t="inlineStr">
        <is>
          <t>v2.0.0-beta.1</t>
        </is>
      </c>
      <c r="D732" s="9" t="inlineStr">
        <is>
          <t>S67</t>
        </is>
      </c>
      <c r="E732" s="3" t="inlineStr">
        <is>
          <t>Arquitetura v2 / extensibilidade</t>
        </is>
      </c>
      <c r="F732" s="3" t="inlineStr">
        <is>
          <t>Evolução proposta</t>
        </is>
      </c>
      <c r="G732" s="3" t="inlineStr">
        <is>
          <t>Decisão</t>
        </is>
      </c>
      <c r="H732" s="3" t="inlineStr">
        <is>
          <t>Definir modelo de confiança</t>
        </is>
      </c>
      <c r="I732" s="3" t="inlineStr">
        <is>
          <t>Distinguir componentes curados, código de terceiros e perfis experimentais.</t>
        </is>
      </c>
      <c r="J732" s="3" t="inlineStr">
        <is>
          <t>docs/security/extensions-trust.md</t>
        </is>
      </c>
      <c r="K732" s="3" t="inlineStr">
        <is>
          <t>Assinatura prova origem/integridade, não ausência de comportamento malicioso.</t>
        </is>
      </c>
      <c r="L732" s="3" t="inlineStr">
        <is>
          <t>SL-S67-04</t>
        </is>
      </c>
      <c r="M732" s="3" t="inlineStr">
        <is>
          <t>R03; R06; R08; R32; R35</t>
        </is>
      </c>
      <c r="N732" s="10" t="inlineStr">
        <is>
          <t>Não iniciado</t>
        </is>
      </c>
      <c r="O732" s="3" t="inlineStr">
        <is>
          <t>P0</t>
        </is>
      </c>
      <c r="P732" s="3" t="inlineStr">
        <is>
          <t>Crítico</t>
        </is>
      </c>
      <c r="Q732" s="3" t="inlineStr">
        <is>
          <t>Condicional à ratificação do escopo pós-v1 (ADR-017/018)</t>
        </is>
      </c>
      <c r="R732" s="10" t="inlineStr">
        <is>
          <t>Autor</t>
        </is>
      </c>
      <c r="S732" s="10" t="inlineStr"/>
      <c r="T732" s="11" t="inlineStr"/>
      <c r="U732" s="3" t="inlineStr">
        <is>
          <t>reports/S67/SL-S67-05.md</t>
        </is>
      </c>
      <c r="V732" s="10" t="inlineStr"/>
      <c r="W732" s="10" t="inlineStr"/>
      <c r="X732" s="3">
        <f>IF(N732="Concluído",IF(AND(S732&lt;&gt;"",ISNUMBER(T732),T732&gt;0,V732&lt;&gt;"",AND(OR(X731="OK",X731="DISPENSADO"))),"OK","REVISAR"),IF(N732="Dispensado (ADR)",IF(AND(LEFT(Q732,11)="Condicional",W732&lt;&gt;"",S732&lt;&gt;"",ISNUMBER(T732),T732&gt;0,V732&lt;&gt;""),"DISPENSADO","REVISAR"),"PENDENTE"))</f>
        <v/>
      </c>
      <c r="Y732" s="10" t="inlineStr"/>
    </row>
    <row r="733" ht="112" customHeight="1">
      <c r="A733" s="3" t="n">
        <v>732</v>
      </c>
      <c r="B733" s="3" t="inlineStr">
        <is>
          <t>SL-S67-06</t>
        </is>
      </c>
      <c r="C733" s="9" t="inlineStr">
        <is>
          <t>v2.0.0-beta.1</t>
        </is>
      </c>
      <c r="D733" s="9" t="inlineStr">
        <is>
          <t>S67</t>
        </is>
      </c>
      <c r="E733" s="3" t="inlineStr">
        <is>
          <t>Arquitetura v2 / extensibilidade</t>
        </is>
      </c>
      <c r="F733" s="3" t="inlineStr">
        <is>
          <t>Evolução proposta</t>
        </is>
      </c>
      <c r="G733" s="3" t="inlineStr">
        <is>
          <t>Decisão</t>
        </is>
      </c>
      <c r="H733" s="3" t="inlineStr">
        <is>
          <t>Atualizar ameaça de extensões</t>
        </is>
      </c>
      <c r="I733" s="3" t="inlineStr">
        <is>
          <t>Modelar exfiltração, resposta maliciosa, resource abuse e tentativa de ampliar escopo.</t>
        </is>
      </c>
      <c r="J733" s="3" t="inlineStr">
        <is>
          <t>docs/security/extensions-threat-model.md</t>
        </is>
      </c>
      <c r="K733" s="3" t="inlineStr">
        <is>
          <t>Riscos não são tratados como resolvidos apenas por executar em outro processo.</t>
        </is>
      </c>
      <c r="L733" s="3" t="inlineStr">
        <is>
          <t>SL-S67-05</t>
        </is>
      </c>
      <c r="M733" s="3" t="inlineStr">
        <is>
          <t>R03; R06; R08; R32; R35</t>
        </is>
      </c>
      <c r="N733" s="10" t="inlineStr">
        <is>
          <t>Não iniciado</t>
        </is>
      </c>
      <c r="O733" s="3" t="inlineStr">
        <is>
          <t>P0</t>
        </is>
      </c>
      <c r="P733" s="3" t="inlineStr">
        <is>
          <t>Crítico</t>
        </is>
      </c>
      <c r="Q733" s="3" t="inlineStr">
        <is>
          <t>Condicional à ratificação do escopo pós-v1 (ADR-017/018)</t>
        </is>
      </c>
      <c r="R733" s="10" t="inlineStr">
        <is>
          <t>Autor</t>
        </is>
      </c>
      <c r="S733" s="10" t="inlineStr"/>
      <c r="T733" s="11" t="inlineStr"/>
      <c r="U733" s="3" t="inlineStr">
        <is>
          <t>reports/S67/SL-S67-06.md</t>
        </is>
      </c>
      <c r="V733" s="10" t="inlineStr"/>
      <c r="W733" s="10" t="inlineStr"/>
      <c r="X733" s="3">
        <f>IF(N733="Concluído",IF(AND(S733&lt;&gt;"",ISNUMBER(T733),T733&gt;0,V733&lt;&gt;"",AND(OR(X732="OK",X732="DISPENSADO"))),"OK","REVISAR"),IF(N733="Dispensado (ADR)",IF(AND(LEFT(Q733,11)="Condicional",W733&lt;&gt;"",S733&lt;&gt;"",ISNUMBER(T733),T733&gt;0,V733&lt;&gt;""),"DISPENSADO","REVISAR"),"PENDENTE"))</f>
        <v/>
      </c>
      <c r="Y733" s="10" t="inlineStr"/>
    </row>
    <row r="734" ht="112" customHeight="1">
      <c r="A734" s="3" t="n">
        <v>733</v>
      </c>
      <c r="B734" s="3" t="inlineStr">
        <is>
          <t>SL-S67-07</t>
        </is>
      </c>
      <c r="C734" s="9" t="inlineStr">
        <is>
          <t>v2.0.0-beta.1</t>
        </is>
      </c>
      <c r="D734" s="9" t="inlineStr">
        <is>
          <t>S67</t>
        </is>
      </c>
      <c r="E734" s="3" t="inlineStr">
        <is>
          <t>Arquitetura v2 / extensibilidade</t>
        </is>
      </c>
      <c r="F734" s="3" t="inlineStr">
        <is>
          <t>Evolução proposta</t>
        </is>
      </c>
      <c r="G734" s="3" t="inlineStr">
        <is>
          <t>Contrato</t>
        </is>
      </c>
      <c r="H734" s="3" t="inlineStr">
        <is>
          <t>Definir APIs de dados minimizados</t>
        </is>
      </c>
      <c r="I734" s="3" t="inlineStr">
        <is>
          <t>Passar snapshot/refs limitados em vez de path do Vault.</t>
        </is>
      </c>
      <c r="J734" s="3" t="inlineStr">
        <is>
          <t>schemas/sdk-input-refs.json</t>
        </is>
      </c>
      <c r="K734" s="3" t="inlineStr">
        <is>
          <t>Plugin recebe só os dados necessários à tarefa aprovada.</t>
        </is>
      </c>
      <c r="L734" s="3" t="inlineStr">
        <is>
          <t>SL-S67-06</t>
        </is>
      </c>
      <c r="M734" s="3" t="inlineStr">
        <is>
          <t>R03; R06; R08; R32; R35</t>
        </is>
      </c>
      <c r="N734" s="10" t="inlineStr">
        <is>
          <t>Não iniciado</t>
        </is>
      </c>
      <c r="O734" s="3" t="inlineStr">
        <is>
          <t>P0</t>
        </is>
      </c>
      <c r="P734" s="3" t="inlineStr">
        <is>
          <t>Crítico</t>
        </is>
      </c>
      <c r="Q734" s="3" t="inlineStr">
        <is>
          <t>Condicional à ratificação do escopo pós-v1 (ADR-017/018)</t>
        </is>
      </c>
      <c r="R734" s="10" t="inlineStr">
        <is>
          <t>Autor + agente de IA</t>
        </is>
      </c>
      <c r="S734" s="10" t="inlineStr"/>
      <c r="T734" s="11" t="inlineStr"/>
      <c r="U734" s="3" t="inlineStr">
        <is>
          <t>reports/S67/SL-S67-07.md</t>
        </is>
      </c>
      <c r="V734" s="10" t="inlineStr"/>
      <c r="W734" s="10" t="inlineStr"/>
      <c r="X734" s="3">
        <f>IF(N734="Concluído",IF(AND(S734&lt;&gt;"",ISNUMBER(T734),T734&gt;0,V734&lt;&gt;"",AND(OR(X733="OK",X733="DISPENSADO"))),"OK","REVISAR"),IF(N734="Dispensado (ADR)",IF(AND(LEFT(Q734,11)="Condicional",W734&lt;&gt;"",S734&lt;&gt;"",ISNUMBER(T734),T734&gt;0,V734&lt;&gt;""),"DISPENSADO","REVISAR"),"PENDENTE"))</f>
        <v/>
      </c>
      <c r="Y734" s="10" t="inlineStr"/>
    </row>
    <row r="735" ht="112" customHeight="1">
      <c r="A735" s="3" t="n">
        <v>734</v>
      </c>
      <c r="B735" s="3" t="inlineStr">
        <is>
          <t>SL-S67-08</t>
        </is>
      </c>
      <c r="C735" s="9" t="inlineStr">
        <is>
          <t>v2.0.0-beta.1</t>
        </is>
      </c>
      <c r="D735" s="9" t="inlineStr">
        <is>
          <t>S67</t>
        </is>
      </c>
      <c r="E735" s="3" t="inlineStr">
        <is>
          <t>Arquitetura v2 / extensibilidade</t>
        </is>
      </c>
      <c r="F735" s="3" t="inlineStr">
        <is>
          <t>Evolução proposta</t>
        </is>
      </c>
      <c r="G735" s="3" t="inlineStr">
        <is>
          <t>Contrato</t>
        </is>
      </c>
      <c r="H735" s="3" t="inlineStr">
        <is>
          <t>Definir errors e lifecycle</t>
        </is>
      </c>
      <c r="I735" s="3" t="inlineStr">
        <is>
          <t>Padronizar cancelamento, shutdown, health e incompatibilidade.</t>
        </is>
      </c>
      <c r="J735" s="3" t="inlineStr">
        <is>
          <t>schemas/sdk-errors.json</t>
        </is>
      </c>
      <c r="K735" s="3" t="inlineStr">
        <is>
          <t>Provedor quebrado pode ser desabilitado sem corromper conteúdo ou impedir abertura do app.</t>
        </is>
      </c>
      <c r="L735" s="3" t="inlineStr">
        <is>
          <t>SL-S67-07</t>
        </is>
      </c>
      <c r="M735" s="3" t="inlineStr">
        <is>
          <t>R03; R06; R08; R32; R35</t>
        </is>
      </c>
      <c r="N735" s="10" t="inlineStr">
        <is>
          <t>Não iniciado</t>
        </is>
      </c>
      <c r="O735" s="3" t="inlineStr">
        <is>
          <t>P0</t>
        </is>
      </c>
      <c r="P735" s="3" t="inlineStr">
        <is>
          <t>Crítico</t>
        </is>
      </c>
      <c r="Q735" s="3" t="inlineStr">
        <is>
          <t>Condicional à ratificação do escopo pós-v1 (ADR-017/018)</t>
        </is>
      </c>
      <c r="R735" s="10" t="inlineStr">
        <is>
          <t>Autor + agente de IA</t>
        </is>
      </c>
      <c r="S735" s="10" t="inlineStr"/>
      <c r="T735" s="11" t="inlineStr"/>
      <c r="U735" s="3" t="inlineStr">
        <is>
          <t>reports/S67/SL-S67-08.md</t>
        </is>
      </c>
      <c r="V735" s="10" t="inlineStr"/>
      <c r="W735" s="10" t="inlineStr"/>
      <c r="X735" s="3">
        <f>IF(N735="Concluído",IF(AND(S735&lt;&gt;"",ISNUMBER(T735),T735&gt;0,V735&lt;&gt;"",AND(OR(X734="OK",X734="DISPENSADO"))),"OK","REVISAR"),IF(N735="Dispensado (ADR)",IF(AND(LEFT(Q735,11)="Condicional",W735&lt;&gt;"",S735&lt;&gt;"",ISNUMBER(T735),T735&gt;0,V735&lt;&gt;""),"DISPENSADO","REVISAR"),"PENDENTE"))</f>
        <v/>
      </c>
      <c r="Y735" s="10" t="inlineStr"/>
    </row>
    <row r="736" ht="112" customHeight="1">
      <c r="A736" s="3" t="n">
        <v>735</v>
      </c>
      <c r="B736" s="3" t="inlineStr">
        <is>
          <t>SL-S67-09</t>
        </is>
      </c>
      <c r="C736" s="9" t="inlineStr">
        <is>
          <t>v2.0.0-beta.1</t>
        </is>
      </c>
      <c r="D736" s="9" t="inlineStr">
        <is>
          <t>S67</t>
        </is>
      </c>
      <c r="E736" s="3" t="inlineStr">
        <is>
          <t>Arquitetura v2 / extensibilidade</t>
        </is>
      </c>
      <c r="F736" s="3" t="inlineStr">
        <is>
          <t>Evolução proposta</t>
        </is>
      </c>
      <c r="G736" s="3" t="inlineStr">
        <is>
          <t>Teste</t>
        </is>
      </c>
      <c r="H736" s="3" t="inlineStr">
        <is>
          <t>Criar fixtures de conformidade v2</t>
        </is>
      </c>
      <c r="I736" s="3" t="inlineStr">
        <is>
          <t>Derivar casos de providers existentes e ataques de escopo.</t>
        </is>
      </c>
      <c r="J736" s="3" t="inlineStr">
        <is>
          <t>tests/sdk/fixtures/</t>
        </is>
      </c>
      <c r="K736" s="3" t="inlineStr">
        <is>
          <t>SDK tem testes antes de uma extensão real depender de comportamento não especificado.</t>
        </is>
      </c>
      <c r="L736" s="3" t="inlineStr">
        <is>
          <t>SL-S67-08</t>
        </is>
      </c>
      <c r="M736" s="3" t="inlineStr">
        <is>
          <t>R03; R06; R08; R32; R35</t>
        </is>
      </c>
      <c r="N736" s="10" t="inlineStr">
        <is>
          <t>Não iniciado</t>
        </is>
      </c>
      <c r="O736" s="3" t="inlineStr">
        <is>
          <t>P0</t>
        </is>
      </c>
      <c r="P736" s="3" t="inlineStr">
        <is>
          <t>Crítico</t>
        </is>
      </c>
      <c r="Q736" s="3" t="inlineStr">
        <is>
          <t>Condicional à ratificação do escopo pós-v1 (ADR-017/018)</t>
        </is>
      </c>
      <c r="R736" s="10" t="inlineStr">
        <is>
          <t>Autor + agente de IA</t>
        </is>
      </c>
      <c r="S736" s="10" t="inlineStr"/>
      <c r="T736" s="11" t="inlineStr"/>
      <c r="U736" s="3" t="inlineStr">
        <is>
          <t>reports/S67/SL-S67-09.md</t>
        </is>
      </c>
      <c r="V736" s="10" t="inlineStr"/>
      <c r="W736" s="10" t="inlineStr"/>
      <c r="X736" s="3">
        <f>IF(N736="Concluído",IF(AND(S736&lt;&gt;"",ISNUMBER(T736),T736&gt;0,V736&lt;&gt;"",AND(OR(X735="OK",X735="DISPENSADO"))),"OK","REVISAR"),IF(N736="Dispensado (ADR)",IF(AND(LEFT(Q736,11)="Condicional",W736&lt;&gt;"",S736&lt;&gt;"",ISNUMBER(T736),T736&gt;0,V736&lt;&gt;""),"DISPENSADO","REVISAR"),"PENDENTE"))</f>
        <v/>
      </c>
      <c r="Y736" s="10" t="inlineStr"/>
    </row>
    <row r="737" ht="112" customHeight="1">
      <c r="A737" s="3" t="n">
        <v>736</v>
      </c>
      <c r="B737" s="3" t="inlineStr">
        <is>
          <t>SL-S67-10</t>
        </is>
      </c>
      <c r="C737" s="9" t="inlineStr">
        <is>
          <t>v2.0.0-beta.1</t>
        </is>
      </c>
      <c r="D737" s="9" t="inlineStr">
        <is>
          <t>S67</t>
        </is>
      </c>
      <c r="E737" s="3" t="inlineStr">
        <is>
          <t>Arquitetura v2 / extensibilidade</t>
        </is>
      </c>
      <c r="F737" s="3" t="inlineStr">
        <is>
          <t>Evolução proposta</t>
        </is>
      </c>
      <c r="G737" s="3" t="inlineStr">
        <is>
          <t>Governança</t>
        </is>
      </c>
      <c r="H737" s="3" t="inlineStr">
        <is>
          <t>Planejar migração interna</t>
        </is>
      </c>
      <c r="I737" s="3" t="inlineStr">
        <is>
          <t>Listar quais adapters atuais serão encaixados no SDK e ordem segura.</t>
        </is>
      </c>
      <c r="J737" s="3" t="inlineStr">
        <is>
          <t>docs/sdk/internal-migration.md</t>
        </is>
      </c>
      <c r="K737" s="3" t="inlineStr">
        <is>
          <t>Refatoração não troca motores escolhidos nem remove capacidades estáveis por conveniência.</t>
        </is>
      </c>
      <c r="L737" s="3" t="inlineStr">
        <is>
          <t>SL-S67-09</t>
        </is>
      </c>
      <c r="M737" s="3" t="inlineStr">
        <is>
          <t>R03; R06; R08; R32; R35</t>
        </is>
      </c>
      <c r="N737" s="10" t="inlineStr">
        <is>
          <t>Não iniciado</t>
        </is>
      </c>
      <c r="O737" s="3" t="inlineStr">
        <is>
          <t>P0</t>
        </is>
      </c>
      <c r="P737" s="3" t="inlineStr">
        <is>
          <t>Crítico</t>
        </is>
      </c>
      <c r="Q737" s="3" t="inlineStr">
        <is>
          <t>Condicional à ratificação do escopo pós-v1 (ADR-017/018)</t>
        </is>
      </c>
      <c r="R737" s="10" t="inlineStr">
        <is>
          <t>Autor</t>
        </is>
      </c>
      <c r="S737" s="10" t="inlineStr"/>
      <c r="T737" s="11" t="inlineStr"/>
      <c r="U737" s="3" t="inlineStr">
        <is>
          <t>reports/S67/SL-S67-10.md</t>
        </is>
      </c>
      <c r="V737" s="10" t="inlineStr"/>
      <c r="W737" s="10" t="inlineStr"/>
      <c r="X737" s="3">
        <f>IF(N737="Concluído",IF(AND(S737&lt;&gt;"",ISNUMBER(T737),T737&gt;0,V737&lt;&gt;"",AND(OR(X736="OK",X736="DISPENSADO"))),"OK","REVISAR"),IF(N737="Dispensado (ADR)",IF(AND(LEFT(Q737,11)="Condicional",W737&lt;&gt;"",S737&lt;&gt;"",ISNUMBER(T737),T737&gt;0,V737&lt;&gt;""),"DISPENSADO","REVISAR"),"PENDENTE"))</f>
        <v/>
      </c>
      <c r="Y737" s="10" t="inlineStr"/>
    </row>
    <row r="738" ht="98" customHeight="1">
      <c r="A738" s="3" t="n">
        <v>737</v>
      </c>
      <c r="B738" s="12" t="inlineStr">
        <is>
          <t>SL-S67-GATE</t>
        </is>
      </c>
      <c r="C738" s="9" t="inlineStr">
        <is>
          <t>v2.0.0-beta.1</t>
        </is>
      </c>
      <c r="D738" s="9" t="inlineStr">
        <is>
          <t>S67</t>
        </is>
      </c>
      <c r="E738" s="3" t="inlineStr">
        <is>
          <t>Arquitetura v2 / extensibilidade</t>
        </is>
      </c>
      <c r="F738" s="3" t="inlineStr">
        <is>
          <t>Aceite humano</t>
        </is>
      </c>
      <c r="G738" s="12" t="inlineStr">
        <is>
          <t>Gate</t>
        </is>
      </c>
      <c r="H738" s="12" t="inlineStr">
        <is>
          <t>Aceitar S67 — Ratificar desenho da v2.0 e contratos de provedores</t>
        </is>
      </c>
      <c r="I738" s="3" t="inlineStr">
        <is>
          <t>Revisar as dez tarefas, executar a demonstração do sprint, confrontar critérios e registrar decisão go/no-go.</t>
        </is>
      </c>
      <c r="J738" s="3" t="inlineStr">
        <is>
          <t>reports/S67/acceptance.md</t>
        </is>
      </c>
      <c r="K738" s="3" t="inlineStr">
        <is>
          <t>Provedor de exemplo tem capacidades explícitas e não acessa APIs internas do Core. Todas as dependências aceitas; evidências vinculadas a revisão/ambiente; nenhum blocker de integridade/segurança.</t>
        </is>
      </c>
      <c r="L738" s="3" t="inlineStr">
        <is>
          <t>SL-S67-01; SL-S67-02; SL-S67-03; SL-S67-04; SL-S67-05; SL-S67-06; SL-S67-07; SL-S67-08; SL-S67-09; SL-S67-10</t>
        </is>
      </c>
      <c r="M738" s="3" t="inlineStr">
        <is>
          <t>R03; R06; R08; R32; R35</t>
        </is>
      </c>
      <c r="N738" s="10" t="inlineStr">
        <is>
          <t>Não iniciado</t>
        </is>
      </c>
      <c r="O738" s="3" t="inlineStr">
        <is>
          <t>P0</t>
        </is>
      </c>
      <c r="P738" s="3" t="inlineStr">
        <is>
          <t>Crítico</t>
        </is>
      </c>
      <c r="Q738" s="3" t="inlineStr">
        <is>
          <t>Obrigatória para fechar a versão aprovada</t>
        </is>
      </c>
      <c r="R738" s="10" t="inlineStr">
        <is>
          <t>Autor</t>
        </is>
      </c>
      <c r="S738" s="10" t="inlineStr"/>
      <c r="T738" s="11" t="inlineStr"/>
      <c r="U738" s="3" t="inlineStr">
        <is>
          <t>reports/S67/acceptance.md</t>
        </is>
      </c>
      <c r="V738" s="10" t="inlineStr"/>
      <c r="W738" s="10" t="inlineStr"/>
      <c r="X738" s="3">
        <f>IF(N738="Concluído",IF(AND(S738&lt;&gt;"",ISNUMBER(T738),T738&gt;0,V738&lt;&gt;"",AND(OR(X728="OK",X728="DISPENSADO"),OR(X729="OK",X729="DISPENSADO"),OR(X730="OK",X730="DISPENSADO"),OR(X731="OK",X731="DISPENSADO"),OR(X732="OK",X732="DISPENSADO"),OR(X733="OK",X733="DISPENSADO"),OR(X734="OK",X734="DISPENSADO"),OR(X735="OK",X735="DISPENSADO"),OR(X736="OK",X736="DISPENSADO"),OR(X737="OK",X737="DISPENSADO"))),"OK","REVISAR"),IF(N738="Dispensado (ADR)",IF(AND(LEFT(Q738,11)="Condicional",W738&lt;&gt;"",S738&lt;&gt;"",ISNUMBER(T738),T738&gt;0,V738&lt;&gt;""),"DISPENSADO","REVISAR"),"PENDENTE"))</f>
        <v/>
      </c>
      <c r="Y738" s="10" t="inlineStr"/>
    </row>
    <row r="739" ht="112" customHeight="1">
      <c r="A739" s="3" t="n">
        <v>738</v>
      </c>
      <c r="B739" s="3" t="inlineStr">
        <is>
          <t>SL-S68-01</t>
        </is>
      </c>
      <c r="C739" s="9" t="inlineStr">
        <is>
          <t>v2.0.0-beta.1</t>
        </is>
      </c>
      <c r="D739" s="9" t="inlineStr">
        <is>
          <t>S68</t>
        </is>
      </c>
      <c r="E739" s="3" t="inlineStr">
        <is>
          <t>Provider SDK / adapters</t>
        </is>
      </c>
      <c r="F739" s="3" t="inlineStr">
        <is>
          <t>Evolução proposta</t>
        </is>
      </c>
      <c r="G739" s="3" t="inlineStr">
        <is>
          <t>Implementação</t>
        </is>
      </c>
      <c r="H739" s="3" t="inlineStr">
        <is>
          <t>Gerar tipos do contrato</t>
        </is>
      </c>
      <c r="I739" s="3" t="inlineStr">
        <is>
          <t>Produzir bindings necessários aos adapters existentes a partir de schemas versionados.</t>
        </is>
      </c>
      <c r="J739" s="3" t="inlineStr">
        <is>
          <t>sdk/generated/</t>
        </is>
      </c>
      <c r="K739" s="3" t="inlineStr">
        <is>
          <t>Tipos de linguagens diferentes serializam os mesmos casos sem ambiguidade.</t>
        </is>
      </c>
      <c r="L739" s="3" t="inlineStr">
        <is>
          <t>SL-S67-GATE</t>
        </is>
      </c>
      <c r="M739" s="3" t="inlineStr">
        <is>
          <t>R06; R08; R27; R32; R34; R35</t>
        </is>
      </c>
      <c r="N739" s="10" t="inlineStr">
        <is>
          <t>Não iniciado</t>
        </is>
      </c>
      <c r="O739" s="3" t="inlineStr">
        <is>
          <t>P0</t>
        </is>
      </c>
      <c r="P739" s="3" t="inlineStr">
        <is>
          <t>Crítico</t>
        </is>
      </c>
      <c r="Q739" s="3" t="inlineStr">
        <is>
          <t>Condicional à ratificação do escopo pós-v1 (ADR-017/018)</t>
        </is>
      </c>
      <c r="R739" s="10" t="inlineStr">
        <is>
          <t>Autor + agente de IA</t>
        </is>
      </c>
      <c r="S739" s="10" t="inlineStr"/>
      <c r="T739" s="11" t="inlineStr"/>
      <c r="U739" s="3" t="inlineStr">
        <is>
          <t>reports/S68/SL-S68-01.md</t>
        </is>
      </c>
      <c r="V739" s="10" t="inlineStr"/>
      <c r="W739" s="10" t="inlineStr"/>
      <c r="X739" s="3">
        <f>IF(N739="Concluído",IF(AND(S739&lt;&gt;"",ISNUMBER(T739),T739&gt;0,V739&lt;&gt;"",AND(OR(X738="OK",X738="DISPENSADO"))),"OK","REVISAR"),IF(N739="Dispensado (ADR)",IF(AND(LEFT(Q739,11)="Condicional",W739&lt;&gt;"",S739&lt;&gt;"",ISNUMBER(T739),T739&gt;0,V739&lt;&gt;""),"DISPENSADO","REVISAR"),"PENDENTE"))</f>
        <v/>
      </c>
      <c r="Y739" s="10" t="inlineStr"/>
    </row>
    <row r="740" ht="112" customHeight="1">
      <c r="A740" s="3" t="n">
        <v>739</v>
      </c>
      <c r="B740" s="3" t="inlineStr">
        <is>
          <t>SL-S68-02</t>
        </is>
      </c>
      <c r="C740" s="9" t="inlineStr">
        <is>
          <t>v2.0.0-beta.1</t>
        </is>
      </c>
      <c r="D740" s="9" t="inlineStr">
        <is>
          <t>S68</t>
        </is>
      </c>
      <c r="E740" s="3" t="inlineStr">
        <is>
          <t>Provider SDK / adapters</t>
        </is>
      </c>
      <c r="F740" s="3" t="inlineStr">
        <is>
          <t>Evolução proposta</t>
        </is>
      </c>
      <c r="G740" s="3" t="inlineStr">
        <is>
          <t>Implementação</t>
        </is>
      </c>
      <c r="H740" s="3" t="inlineStr">
        <is>
          <t>Criar host SDK</t>
        </is>
      </c>
      <c r="I740" s="3" t="inlineStr">
        <is>
          <t>Negociar versão/capabilities e integrar o supervisor existente.</t>
        </is>
      </c>
      <c r="J740" s="3" t="inlineStr">
        <is>
          <t>crates/provider-host/</t>
        </is>
      </c>
      <c r="K740" s="3" t="inlineStr">
        <is>
          <t>Nova camada não cria outro lifecycle ou outro sistema de permissões concorrente.</t>
        </is>
      </c>
      <c r="L740" s="3" t="inlineStr">
        <is>
          <t>SL-S68-01</t>
        </is>
      </c>
      <c r="M740" s="3" t="inlineStr">
        <is>
          <t>R06; R08; R27; R32; R34; R35</t>
        </is>
      </c>
      <c r="N740" s="10" t="inlineStr">
        <is>
          <t>Não iniciado</t>
        </is>
      </c>
      <c r="O740" s="3" t="inlineStr">
        <is>
          <t>P0</t>
        </is>
      </c>
      <c r="P740" s="3" t="inlineStr">
        <is>
          <t>Crítico</t>
        </is>
      </c>
      <c r="Q740" s="3" t="inlineStr">
        <is>
          <t>Condicional à ratificação do escopo pós-v1 (ADR-017/018)</t>
        </is>
      </c>
      <c r="R740" s="10" t="inlineStr">
        <is>
          <t>Autor + agente de IA</t>
        </is>
      </c>
      <c r="S740" s="10" t="inlineStr"/>
      <c r="T740" s="11" t="inlineStr"/>
      <c r="U740" s="3" t="inlineStr">
        <is>
          <t>reports/S68/SL-S68-02.md</t>
        </is>
      </c>
      <c r="V740" s="10" t="inlineStr"/>
      <c r="W740" s="10" t="inlineStr"/>
      <c r="X740" s="3">
        <f>IF(N740="Concluído",IF(AND(S740&lt;&gt;"",ISNUMBER(T740),T740&gt;0,V740&lt;&gt;"",AND(OR(X739="OK",X739="DISPENSADO"))),"OK","REVISAR"),IF(N740="Dispensado (ADR)",IF(AND(LEFT(Q740,11)="Condicional",W740&lt;&gt;"",S740&lt;&gt;"",ISNUMBER(T740),T740&gt;0,V740&lt;&gt;""),"DISPENSADO","REVISAR"),"PENDENTE"))</f>
        <v/>
      </c>
      <c r="Y740" s="10" t="inlineStr"/>
    </row>
    <row r="741" ht="112" customHeight="1">
      <c r="A741" s="3" t="n">
        <v>740</v>
      </c>
      <c r="B741" s="3" t="inlineStr">
        <is>
          <t>SL-S68-03</t>
        </is>
      </c>
      <c r="C741" s="9" t="inlineStr">
        <is>
          <t>v2.0.0-beta.1</t>
        </is>
      </c>
      <c r="D741" s="9" t="inlineStr">
        <is>
          <t>S68</t>
        </is>
      </c>
      <c r="E741" s="3" t="inlineStr">
        <is>
          <t>Provider SDK / adapters</t>
        </is>
      </c>
      <c r="F741" s="3" t="inlineStr">
        <is>
          <t>Evolução proposta</t>
        </is>
      </c>
      <c r="G741" s="3" t="inlineStr">
        <is>
          <t>Implementação</t>
        </is>
      </c>
      <c r="H741" s="3" t="inlineStr">
        <is>
          <t>Criar cliente SDK mínimo</t>
        </is>
      </c>
      <c r="I741" s="3" t="inlineStr">
        <is>
          <t>Facilitar implementadores sem dar acesso direto ao Core.</t>
        </is>
      </c>
      <c r="J741" s="3" t="inlineStr">
        <is>
          <t>sdk/client/</t>
        </is>
      </c>
      <c r="K741" s="3" t="inlineStr">
        <is>
          <t>Exemplo precisa somente de inputs autorizados e saídas por contrato.</t>
        </is>
      </c>
      <c r="L741" s="3" t="inlineStr">
        <is>
          <t>SL-S68-02</t>
        </is>
      </c>
      <c r="M741" s="3" t="inlineStr">
        <is>
          <t>R06; R08; R27; R32; R34; R35</t>
        </is>
      </c>
      <c r="N741" s="10" t="inlineStr">
        <is>
          <t>Não iniciado</t>
        </is>
      </c>
      <c r="O741" s="3" t="inlineStr">
        <is>
          <t>P0</t>
        </is>
      </c>
      <c r="P741" s="3" t="inlineStr">
        <is>
          <t>Crítico</t>
        </is>
      </c>
      <c r="Q741" s="3" t="inlineStr">
        <is>
          <t>Condicional à ratificação do escopo pós-v1 (ADR-017/018)</t>
        </is>
      </c>
      <c r="R741" s="10" t="inlineStr">
        <is>
          <t>Autor + agente de IA</t>
        </is>
      </c>
      <c r="S741" s="10" t="inlineStr"/>
      <c r="T741" s="11" t="inlineStr"/>
      <c r="U741" s="3" t="inlineStr">
        <is>
          <t>reports/S68/SL-S68-03.md</t>
        </is>
      </c>
      <c r="V741" s="10" t="inlineStr"/>
      <c r="W741" s="10" t="inlineStr"/>
      <c r="X741" s="3">
        <f>IF(N741="Concluído",IF(AND(S741&lt;&gt;"",ISNUMBER(T741),T741&gt;0,V741&lt;&gt;"",AND(OR(X740="OK",X740="DISPENSADO"))),"OK","REVISAR"),IF(N741="Dispensado (ADR)",IF(AND(LEFT(Q741,11)="Condicional",W741&lt;&gt;"",S741&lt;&gt;"",ISNUMBER(T741),T741&gt;0,V741&lt;&gt;""),"DISPENSADO","REVISAR"),"PENDENTE"))</f>
        <v/>
      </c>
      <c r="Y741" s="10" t="inlineStr"/>
    </row>
    <row r="742" ht="112" customHeight="1">
      <c r="A742" s="3" t="n">
        <v>741</v>
      </c>
      <c r="B742" s="3" t="inlineStr">
        <is>
          <t>SL-S68-04</t>
        </is>
      </c>
      <c r="C742" s="9" t="inlineStr">
        <is>
          <t>v2.0.0-beta.1</t>
        </is>
      </c>
      <c r="D742" s="9" t="inlineStr">
        <is>
          <t>S68</t>
        </is>
      </c>
      <c r="E742" s="3" t="inlineStr">
        <is>
          <t>Provider SDK / adapters</t>
        </is>
      </c>
      <c r="F742" s="3" t="inlineStr">
        <is>
          <t>Evolução proposta</t>
        </is>
      </c>
      <c r="G742" s="3" t="inlineStr">
        <is>
          <t>Implementação</t>
        </is>
      </c>
      <c r="H742" s="3" t="inlineStr">
        <is>
          <t>Criar harness offline</t>
        </is>
      </c>
      <c r="I742" s="3" t="inlineStr">
        <is>
          <t>Executar contratos com transport/model fakes e fixture controlada.</t>
        </is>
      </c>
      <c r="J742" s="3" t="inlineStr">
        <is>
          <t>sdk/testkit/</t>
        </is>
      </c>
      <c r="K742" s="3" t="inlineStr">
        <is>
          <t>CI de terceiro pode validar comportamento básico sem API paga ou documentos privados.</t>
        </is>
      </c>
      <c r="L742" s="3" t="inlineStr">
        <is>
          <t>SL-S68-03</t>
        </is>
      </c>
      <c r="M742" s="3" t="inlineStr">
        <is>
          <t>R06; R08; R27; R32; R34; R35</t>
        </is>
      </c>
      <c r="N742" s="10" t="inlineStr">
        <is>
          <t>Não iniciado</t>
        </is>
      </c>
      <c r="O742" s="3" t="inlineStr">
        <is>
          <t>P0</t>
        </is>
      </c>
      <c r="P742" s="3" t="inlineStr">
        <is>
          <t>Crítico</t>
        </is>
      </c>
      <c r="Q742" s="3" t="inlineStr">
        <is>
          <t>Condicional à ratificação do escopo pós-v1 (ADR-017/018)</t>
        </is>
      </c>
      <c r="R742" s="10" t="inlineStr">
        <is>
          <t>Autor + agente de IA</t>
        </is>
      </c>
      <c r="S742" s="10" t="inlineStr"/>
      <c r="T742" s="11" t="inlineStr"/>
      <c r="U742" s="3" t="inlineStr">
        <is>
          <t>reports/S68/SL-S68-04.md</t>
        </is>
      </c>
      <c r="V742" s="10" t="inlineStr"/>
      <c r="W742" s="10" t="inlineStr"/>
      <c r="X742" s="3">
        <f>IF(N742="Concluído",IF(AND(S742&lt;&gt;"",ISNUMBER(T742),T742&gt;0,V742&lt;&gt;"",AND(OR(X741="OK",X741="DISPENSADO"))),"OK","REVISAR"),IF(N742="Dispensado (ADR)",IF(AND(LEFT(Q742,11)="Condicional",W742&lt;&gt;"",S742&lt;&gt;"",ISNUMBER(T742),T742&gt;0,V742&lt;&gt;""),"DISPENSADO","REVISAR"),"PENDENTE"))</f>
        <v/>
      </c>
      <c r="Y742" s="10" t="inlineStr"/>
    </row>
    <row r="743" ht="112" customHeight="1">
      <c r="A743" s="3" t="n">
        <v>742</v>
      </c>
      <c r="B743" s="3" t="inlineStr">
        <is>
          <t>SL-S68-05</t>
        </is>
      </c>
      <c r="C743" s="9" t="inlineStr">
        <is>
          <t>v2.0.0-beta.1</t>
        </is>
      </c>
      <c r="D743" s="9" t="inlineStr">
        <is>
          <t>S68</t>
        </is>
      </c>
      <c r="E743" s="3" t="inlineStr">
        <is>
          <t>Provider SDK / adapters</t>
        </is>
      </c>
      <c r="F743" s="3" t="inlineStr">
        <is>
          <t>Evolução proposta</t>
        </is>
      </c>
      <c r="G743" s="3" t="inlineStr">
        <is>
          <t>Implementação</t>
        </is>
      </c>
      <c r="H743" s="3" t="inlineStr">
        <is>
          <t>Migrar provider gerativo existente</t>
        </is>
      </c>
      <c r="I743" s="3" t="inlineStr">
        <is>
          <t>Encaixar adapter LocalAI/BYOK sem alterar política de egress.</t>
        </is>
      </c>
      <c r="J743" s="3" t="inlineStr">
        <is>
          <t>adapters/generation/sdk_bridge/</t>
        </is>
      </c>
      <c r="K743" s="3" t="inlineStr">
        <is>
          <t>Capabilities e identidade de provedor continuam preservadas.</t>
        </is>
      </c>
      <c r="L743" s="3" t="inlineStr">
        <is>
          <t>SL-S68-04</t>
        </is>
      </c>
      <c r="M743" s="3" t="inlineStr">
        <is>
          <t>R06; R08; R27; R32; R34; R35</t>
        </is>
      </c>
      <c r="N743" s="10" t="inlineStr">
        <is>
          <t>Não iniciado</t>
        </is>
      </c>
      <c r="O743" s="3" t="inlineStr">
        <is>
          <t>P0</t>
        </is>
      </c>
      <c r="P743" s="3" t="inlineStr">
        <is>
          <t>Crítico</t>
        </is>
      </c>
      <c r="Q743" s="3" t="inlineStr">
        <is>
          <t>Condicional à ratificação do escopo pós-v1 (ADR-017/018)</t>
        </is>
      </c>
      <c r="R743" s="10" t="inlineStr">
        <is>
          <t>Autor + agente de IA</t>
        </is>
      </c>
      <c r="S743" s="10" t="inlineStr"/>
      <c r="T743" s="11" t="inlineStr"/>
      <c r="U743" s="3" t="inlineStr">
        <is>
          <t>reports/S68/SL-S68-05.md</t>
        </is>
      </c>
      <c r="V743" s="10" t="inlineStr"/>
      <c r="W743" s="10" t="inlineStr"/>
      <c r="X743" s="3">
        <f>IF(N743="Concluído",IF(AND(S743&lt;&gt;"",ISNUMBER(T743),T743&gt;0,V743&lt;&gt;"",AND(OR(X742="OK",X742="DISPENSADO"))),"OK","REVISAR"),IF(N743="Dispensado (ADR)",IF(AND(LEFT(Q743,11)="Condicional",W743&lt;&gt;"",S743&lt;&gt;"",ISNUMBER(T743),T743&gt;0,V743&lt;&gt;""),"DISPENSADO","REVISAR"),"PENDENTE"))</f>
        <v/>
      </c>
      <c r="Y743" s="10" t="inlineStr"/>
    </row>
    <row r="744" ht="112" customHeight="1">
      <c r="A744" s="3" t="n">
        <v>743</v>
      </c>
      <c r="B744" s="3" t="inlineStr">
        <is>
          <t>SL-S68-06</t>
        </is>
      </c>
      <c r="C744" s="9" t="inlineStr">
        <is>
          <t>v2.0.0-beta.1</t>
        </is>
      </c>
      <c r="D744" s="9" t="inlineStr">
        <is>
          <t>S68</t>
        </is>
      </c>
      <c r="E744" s="3" t="inlineStr">
        <is>
          <t>Provider SDK / adapters</t>
        </is>
      </c>
      <c r="F744" s="3" t="inlineStr">
        <is>
          <t>Evolução proposta</t>
        </is>
      </c>
      <c r="G744" s="3" t="inlineStr">
        <is>
          <t>Implementação</t>
        </is>
      </c>
      <c r="H744" s="3" t="inlineStr">
        <is>
          <t>Migrar provider de extração</t>
        </is>
      </c>
      <c r="I744" s="3" t="inlineStr">
        <is>
          <t>Encaixar Docling/normalizador com mesmas restrições de I/O.</t>
        </is>
      </c>
      <c r="J744" s="3" t="inlineStr">
        <is>
          <t>adapters/extraction/sdk_bridge/</t>
        </is>
      </c>
      <c r="K744" s="3" t="inlineStr">
        <is>
          <t>Plugin não obtém escrita canônica como resultado da refatoração.</t>
        </is>
      </c>
      <c r="L744" s="3" t="inlineStr">
        <is>
          <t>SL-S68-05</t>
        </is>
      </c>
      <c r="M744" s="3" t="inlineStr">
        <is>
          <t>R06; R08; R27; R32; R34; R35</t>
        </is>
      </c>
      <c r="N744" s="10" t="inlineStr">
        <is>
          <t>Não iniciado</t>
        </is>
      </c>
      <c r="O744" s="3" t="inlineStr">
        <is>
          <t>P0</t>
        </is>
      </c>
      <c r="P744" s="3" t="inlineStr">
        <is>
          <t>Crítico</t>
        </is>
      </c>
      <c r="Q744" s="3" t="inlineStr">
        <is>
          <t>Condicional à ratificação do escopo pós-v1 (ADR-017/018)</t>
        </is>
      </c>
      <c r="R744" s="10" t="inlineStr">
        <is>
          <t>Autor + agente de IA</t>
        </is>
      </c>
      <c r="S744" s="10" t="inlineStr"/>
      <c r="T744" s="11" t="inlineStr"/>
      <c r="U744" s="3" t="inlineStr">
        <is>
          <t>reports/S68/SL-S68-06.md</t>
        </is>
      </c>
      <c r="V744" s="10" t="inlineStr"/>
      <c r="W744" s="10" t="inlineStr"/>
      <c r="X744" s="3">
        <f>IF(N744="Concluído",IF(AND(S744&lt;&gt;"",ISNUMBER(T744),T744&gt;0,V744&lt;&gt;"",AND(OR(X743="OK",X743="DISPENSADO"))),"OK","REVISAR"),IF(N744="Dispensado (ADR)",IF(AND(LEFT(Q744,11)="Condicional",W744&lt;&gt;"",S744&lt;&gt;"",ISNUMBER(T744),T744&gt;0,V744&lt;&gt;""),"DISPENSADO","REVISAR"),"PENDENTE"))</f>
        <v/>
      </c>
      <c r="Y744" s="10" t="inlineStr"/>
    </row>
    <row r="745" ht="112" customHeight="1">
      <c r="A745" s="3" t="n">
        <v>744</v>
      </c>
      <c r="B745" s="3" t="inlineStr">
        <is>
          <t>SL-S68-07</t>
        </is>
      </c>
      <c r="C745" s="9" t="inlineStr">
        <is>
          <t>v2.0.0-beta.1</t>
        </is>
      </c>
      <c r="D745" s="9" t="inlineStr">
        <is>
          <t>S68</t>
        </is>
      </c>
      <c r="E745" s="3" t="inlineStr">
        <is>
          <t>Provider SDK / adapters</t>
        </is>
      </c>
      <c r="F745" s="3" t="inlineStr">
        <is>
          <t>Evolução proposta</t>
        </is>
      </c>
      <c r="G745" s="3" t="inlineStr">
        <is>
          <t>Implementação</t>
        </is>
      </c>
      <c r="H745" s="3" t="inlineStr">
        <is>
          <t>Migrar interfaces de busca/contexto</t>
        </is>
      </c>
      <c r="I745" s="3" t="inlineStr">
        <is>
          <t>Expor backend escolhido e PageIndex adaptado sem vazar internals.</t>
        </is>
      </c>
      <c r="J745" s="3" t="inlineStr">
        <is>
          <t>adapters/retrieval/sdk_bridge/</t>
        </is>
      </c>
      <c r="K745" s="3" t="inlineStr">
        <is>
          <t>IDs/revisões/escopo não mudam por empacotamento em SDK.</t>
        </is>
      </c>
      <c r="L745" s="3" t="inlineStr">
        <is>
          <t>SL-S68-06</t>
        </is>
      </c>
      <c r="M745" s="3" t="inlineStr">
        <is>
          <t>R06; R08; R27; R32; R34; R35</t>
        </is>
      </c>
      <c r="N745" s="10" t="inlineStr">
        <is>
          <t>Não iniciado</t>
        </is>
      </c>
      <c r="O745" s="3" t="inlineStr">
        <is>
          <t>P0</t>
        </is>
      </c>
      <c r="P745" s="3" t="inlineStr">
        <is>
          <t>Crítico</t>
        </is>
      </c>
      <c r="Q745" s="3" t="inlineStr">
        <is>
          <t>Condicional à ratificação do escopo pós-v1 (ADR-017/018)</t>
        </is>
      </c>
      <c r="R745" s="10" t="inlineStr">
        <is>
          <t>Autor + agente de IA</t>
        </is>
      </c>
      <c r="S745" s="10" t="inlineStr"/>
      <c r="T745" s="11" t="inlineStr"/>
      <c r="U745" s="3" t="inlineStr">
        <is>
          <t>reports/S68/SL-S68-07.md</t>
        </is>
      </c>
      <c r="V745" s="10" t="inlineStr"/>
      <c r="W745" s="10" t="inlineStr"/>
      <c r="X745" s="3">
        <f>IF(N745="Concluído",IF(AND(S745&lt;&gt;"",ISNUMBER(T745),T745&gt;0,V745&lt;&gt;"",AND(OR(X744="OK",X744="DISPENSADO"))),"OK","REVISAR"),IF(N745="Dispensado (ADR)",IF(AND(LEFT(Q745,11)="Condicional",W745&lt;&gt;"",S745&lt;&gt;"",ISNUMBER(T745),T745&gt;0,V745&lt;&gt;""),"DISPENSADO","REVISAR"),"PENDENTE"))</f>
        <v/>
      </c>
      <c r="Y745" s="10" t="inlineStr"/>
    </row>
    <row r="746" ht="112" customHeight="1">
      <c r="A746" s="3" t="n">
        <v>745</v>
      </c>
      <c r="B746" s="3" t="inlineStr">
        <is>
          <t>SL-S68-08</t>
        </is>
      </c>
      <c r="C746" s="9" t="inlineStr">
        <is>
          <t>v2.0.0-beta.1</t>
        </is>
      </c>
      <c r="D746" s="9" t="inlineStr">
        <is>
          <t>S68</t>
        </is>
      </c>
      <c r="E746" s="3" t="inlineStr">
        <is>
          <t>Provider SDK / adapters</t>
        </is>
      </c>
      <c r="F746" s="3" t="inlineStr">
        <is>
          <t>Evolução proposta</t>
        </is>
      </c>
      <c r="G746" s="3" t="inlineStr">
        <is>
          <t>Teste</t>
        </is>
      </c>
      <c r="H746" s="3" t="inlineStr">
        <is>
          <t>Criar provider deliberadamente inválido</t>
        </is>
      </c>
      <c r="I746" s="3" t="inlineStr">
        <is>
          <t>Retornar dados fora de schema/escopo e exceder budget.</t>
        </is>
      </c>
      <c r="J746" s="3" t="inlineStr">
        <is>
          <t>sdk/examples/invalid-provider/</t>
        </is>
      </c>
      <c r="K746" s="3" t="inlineStr">
        <is>
          <t>Host rejeita violações e coleta evidência sem aceitar conteúdo malicioso.</t>
        </is>
      </c>
      <c r="L746" s="3" t="inlineStr">
        <is>
          <t>SL-S68-07</t>
        </is>
      </c>
      <c r="M746" s="3" t="inlineStr">
        <is>
          <t>R06; R08; R27; R32; R34; R35</t>
        </is>
      </c>
      <c r="N746" s="10" t="inlineStr">
        <is>
          <t>Não iniciado</t>
        </is>
      </c>
      <c r="O746" s="3" t="inlineStr">
        <is>
          <t>P0</t>
        </is>
      </c>
      <c r="P746" s="3" t="inlineStr">
        <is>
          <t>Crítico</t>
        </is>
      </c>
      <c r="Q746" s="3" t="inlineStr">
        <is>
          <t>Condicional à ratificação do escopo pós-v1 (ADR-017/018)</t>
        </is>
      </c>
      <c r="R746" s="10" t="inlineStr">
        <is>
          <t>Autor + agente de IA</t>
        </is>
      </c>
      <c r="S746" s="10" t="inlineStr"/>
      <c r="T746" s="11" t="inlineStr"/>
      <c r="U746" s="3" t="inlineStr">
        <is>
          <t>reports/S68/SL-S68-08.md</t>
        </is>
      </c>
      <c r="V746" s="10" t="inlineStr"/>
      <c r="W746" s="10" t="inlineStr"/>
      <c r="X746" s="3">
        <f>IF(N746="Concluído",IF(AND(S746&lt;&gt;"",ISNUMBER(T746),T746&gt;0,V746&lt;&gt;"",AND(OR(X745="OK",X745="DISPENSADO"))),"OK","REVISAR"),IF(N746="Dispensado (ADR)",IF(AND(LEFT(Q746,11)="Condicional",W746&lt;&gt;"",S746&lt;&gt;"",ISNUMBER(T746),T746&gt;0,V746&lt;&gt;""),"DISPENSADO","REVISAR"),"PENDENTE"))</f>
        <v/>
      </c>
      <c r="Y746" s="10" t="inlineStr"/>
    </row>
    <row r="747" ht="112" customHeight="1">
      <c r="A747" s="3" t="n">
        <v>746</v>
      </c>
      <c r="B747" s="3" t="inlineStr">
        <is>
          <t>SL-S68-09</t>
        </is>
      </c>
      <c r="C747" s="9" t="inlineStr">
        <is>
          <t>v2.0.0-beta.1</t>
        </is>
      </c>
      <c r="D747" s="9" t="inlineStr">
        <is>
          <t>S68</t>
        </is>
      </c>
      <c r="E747" s="3" t="inlineStr">
        <is>
          <t>Provider SDK / adapters</t>
        </is>
      </c>
      <c r="F747" s="3" t="inlineStr">
        <is>
          <t>Evolução proposta</t>
        </is>
      </c>
      <c r="G747" s="3" t="inlineStr">
        <is>
          <t>Teste</t>
        </is>
      </c>
      <c r="H747" s="3" t="inlineStr">
        <is>
          <t>Comparar pré e pós-SDK</t>
        </is>
      </c>
      <c r="I747" s="3" t="inlineStr">
        <is>
          <t>Rodar contratos e corpora de qualidade da versão estável.</t>
        </is>
      </c>
      <c r="J747" s="3" t="inlineStr">
        <is>
          <t>reports/sdk/differential.json</t>
        </is>
      </c>
      <c r="K747" s="3" t="inlineStr">
        <is>
          <t>Refatoração não se considera concluída apenas porque compila.</t>
        </is>
      </c>
      <c r="L747" s="3" t="inlineStr">
        <is>
          <t>SL-S68-08</t>
        </is>
      </c>
      <c r="M747" s="3" t="inlineStr">
        <is>
          <t>R06; R08; R27; R32; R34; R35</t>
        </is>
      </c>
      <c r="N747" s="10" t="inlineStr">
        <is>
          <t>Não iniciado</t>
        </is>
      </c>
      <c r="O747" s="3" t="inlineStr">
        <is>
          <t>P0</t>
        </is>
      </c>
      <c r="P747" s="3" t="inlineStr">
        <is>
          <t>Crítico</t>
        </is>
      </c>
      <c r="Q747" s="3" t="inlineStr">
        <is>
          <t>Condicional à ratificação do escopo pós-v1 (ADR-017/018)</t>
        </is>
      </c>
      <c r="R747" s="10" t="inlineStr">
        <is>
          <t>Autor + agente de IA</t>
        </is>
      </c>
      <c r="S747" s="10" t="inlineStr"/>
      <c r="T747" s="11" t="inlineStr"/>
      <c r="U747" s="3" t="inlineStr">
        <is>
          <t>reports/S68/SL-S68-09.md</t>
        </is>
      </c>
      <c r="V747" s="10" t="inlineStr"/>
      <c r="W747" s="10" t="inlineStr"/>
      <c r="X747" s="3">
        <f>IF(N747="Concluído",IF(AND(S747&lt;&gt;"",ISNUMBER(T747),T747&gt;0,V747&lt;&gt;"",AND(OR(X746="OK",X746="DISPENSADO"))),"OK","REVISAR"),IF(N747="Dispensado (ADR)",IF(AND(LEFT(Q747,11)="Condicional",W747&lt;&gt;"",S747&lt;&gt;"",ISNUMBER(T747),T747&gt;0,V747&lt;&gt;""),"DISPENSADO","REVISAR"),"PENDENTE"))</f>
        <v/>
      </c>
      <c r="Y747" s="10" t="inlineStr"/>
    </row>
    <row r="748" ht="112" customHeight="1">
      <c r="A748" s="3" t="n">
        <v>747</v>
      </c>
      <c r="B748" s="3" t="inlineStr">
        <is>
          <t>SL-S68-10</t>
        </is>
      </c>
      <c r="C748" s="9" t="inlineStr">
        <is>
          <t>v2.0.0-beta.1</t>
        </is>
      </c>
      <c r="D748" s="9" t="inlineStr">
        <is>
          <t>S68</t>
        </is>
      </c>
      <c r="E748" s="3" t="inlineStr">
        <is>
          <t>Provider SDK / adapters</t>
        </is>
      </c>
      <c r="F748" s="3" t="inlineStr">
        <is>
          <t>Evolução proposta</t>
        </is>
      </c>
      <c r="G748" s="3" t="inlineStr">
        <is>
          <t>Documentação</t>
        </is>
      </c>
      <c r="H748" s="3" t="inlineStr">
        <is>
          <t>Publicar tutorial mínimo</t>
        </is>
      </c>
      <c r="I748" s="3" t="inlineStr">
        <is>
          <t>Explicar contrato, permissões, testes, licenças e submissão de integração.</t>
        </is>
      </c>
      <c r="J748" s="3" t="inlineStr">
        <is>
          <t>docs/sdk/getting-started.md</t>
        </is>
      </c>
      <c r="K748" s="3" t="inlineStr">
        <is>
          <t>Contribuidor consegue executar exemplo offline sem copiar internals de outro adapter.</t>
        </is>
      </c>
      <c r="L748" s="3" t="inlineStr">
        <is>
          <t>SL-S68-09</t>
        </is>
      </c>
      <c r="M748" s="3" t="inlineStr">
        <is>
          <t>R06; R08; R27; R32; R34; R35</t>
        </is>
      </c>
      <c r="N748" s="10" t="inlineStr">
        <is>
          <t>Não iniciado</t>
        </is>
      </c>
      <c r="O748" s="3" t="inlineStr">
        <is>
          <t>P0</t>
        </is>
      </c>
      <c r="P748" s="3" t="inlineStr">
        <is>
          <t>Crítico</t>
        </is>
      </c>
      <c r="Q748" s="3" t="inlineStr">
        <is>
          <t>Condicional à ratificação do escopo pós-v1 (ADR-017/018)</t>
        </is>
      </c>
      <c r="R748" s="10" t="inlineStr">
        <is>
          <t>Autor + agente de IA</t>
        </is>
      </c>
      <c r="S748" s="10" t="inlineStr"/>
      <c r="T748" s="11" t="inlineStr"/>
      <c r="U748" s="3" t="inlineStr">
        <is>
          <t>reports/S68/SL-S68-10.md</t>
        </is>
      </c>
      <c r="V748" s="10" t="inlineStr"/>
      <c r="W748" s="10" t="inlineStr"/>
      <c r="X748" s="3">
        <f>IF(N748="Concluído",IF(AND(S748&lt;&gt;"",ISNUMBER(T748),T748&gt;0,V748&lt;&gt;"",AND(OR(X747="OK",X747="DISPENSADO"))),"OK","REVISAR"),IF(N748="Dispensado (ADR)",IF(AND(LEFT(Q748,11)="Condicional",W748&lt;&gt;"",S748&lt;&gt;"",ISNUMBER(T748),T748&gt;0,V748&lt;&gt;""),"DISPENSADO","REVISAR"),"PENDENTE"))</f>
        <v/>
      </c>
      <c r="Y748" s="10" t="inlineStr"/>
    </row>
    <row r="749" ht="98" customHeight="1">
      <c r="A749" s="3" t="n">
        <v>748</v>
      </c>
      <c r="B749" s="12" t="inlineStr">
        <is>
          <t>SL-S68-GATE</t>
        </is>
      </c>
      <c r="C749" s="9" t="inlineStr">
        <is>
          <t>v2.0.0-beta.1</t>
        </is>
      </c>
      <c r="D749" s="9" t="inlineStr">
        <is>
          <t>S68</t>
        </is>
      </c>
      <c r="E749" s="3" t="inlineStr">
        <is>
          <t>Provider SDK / adapters</t>
        </is>
      </c>
      <c r="F749" s="3" t="inlineStr">
        <is>
          <t>Aceite humano</t>
        </is>
      </c>
      <c r="G749" s="12" t="inlineStr">
        <is>
          <t>Gate</t>
        </is>
      </c>
      <c r="H749" s="12" t="inlineStr">
        <is>
          <t>Aceitar S68 — Implementar SDK e kit de conformidade</t>
        </is>
      </c>
      <c r="I749" s="3" t="inlineStr">
        <is>
          <t>Revisar as dez tarefas, executar a demonstração do sprint, confrontar critérios e registrar decisão go/no-go.</t>
        </is>
      </c>
      <c r="J749" s="3" t="inlineStr">
        <is>
          <t>reports/S68/acceptance.md</t>
        </is>
      </c>
      <c r="K749" s="3" t="inlineStr">
        <is>
          <t>Criar provedor local de exemplo e testar comportamentos permitidos/negados sem chaves. Todas as dependências aceitas; evidências vinculadas a revisão/ambiente; nenhum blocker de integridade/segurança.</t>
        </is>
      </c>
      <c r="L749" s="3" t="inlineStr">
        <is>
          <t>SL-S68-01; SL-S68-02; SL-S68-03; SL-S68-04; SL-S68-05; SL-S68-06; SL-S68-07; SL-S68-08; SL-S68-09; SL-S68-10</t>
        </is>
      </c>
      <c r="M749" s="3" t="inlineStr">
        <is>
          <t>R06; R08; R27; R32; R34; R35</t>
        </is>
      </c>
      <c r="N749" s="10" t="inlineStr">
        <is>
          <t>Não iniciado</t>
        </is>
      </c>
      <c r="O749" s="3" t="inlineStr">
        <is>
          <t>P0</t>
        </is>
      </c>
      <c r="P749" s="3" t="inlineStr">
        <is>
          <t>Crítico</t>
        </is>
      </c>
      <c r="Q749" s="3" t="inlineStr">
        <is>
          <t>Obrigatória para fechar a versão aprovada</t>
        </is>
      </c>
      <c r="R749" s="10" t="inlineStr">
        <is>
          <t>Autor</t>
        </is>
      </c>
      <c r="S749" s="10" t="inlineStr"/>
      <c r="T749" s="11" t="inlineStr"/>
      <c r="U749" s="3" t="inlineStr">
        <is>
          <t>reports/S68/acceptance.md</t>
        </is>
      </c>
      <c r="V749" s="10" t="inlineStr"/>
      <c r="W749" s="10" t="inlineStr"/>
      <c r="X749" s="3">
        <f>IF(N749="Concluído",IF(AND(S749&lt;&gt;"",ISNUMBER(T749),T749&gt;0,V749&lt;&gt;"",AND(OR(X739="OK",X739="DISPENSADO"),OR(X740="OK",X740="DISPENSADO"),OR(X741="OK",X741="DISPENSADO"),OR(X742="OK",X742="DISPENSADO"),OR(X743="OK",X743="DISPENSADO"),OR(X744="OK",X744="DISPENSADO"),OR(X745="OK",X745="DISPENSADO"),OR(X746="OK",X746="DISPENSADO"),OR(X747="OK",X747="DISPENSADO"),OR(X748="OK",X748="DISPENSADO"))),"OK","REVISAR"),IF(N749="Dispensado (ADR)",IF(AND(LEFT(Q749,11)="Condicional",W749&lt;&gt;"",S749&lt;&gt;"",ISNUMBER(T749),T749&gt;0,V749&lt;&gt;""),"DISPENSADO","REVISAR"),"PENDENTE"))</f>
        <v/>
      </c>
      <c r="Y749" s="10" t="inlineStr"/>
    </row>
    <row r="750" ht="112" customHeight="1">
      <c r="A750" s="3" t="n">
        <v>749</v>
      </c>
      <c r="B750" s="3" t="inlineStr">
        <is>
          <t>SL-S69-01</t>
        </is>
      </c>
      <c r="C750" s="9" t="inlineStr">
        <is>
          <t>v2.0.0-beta.1</t>
        </is>
      </c>
      <c r="D750" s="9" t="inlineStr">
        <is>
          <t>S69</t>
        </is>
      </c>
      <c r="E750" s="3" t="inlineStr">
        <is>
          <t>ExtensionHost / distribuição</t>
        </is>
      </c>
      <c r="F750" s="3" t="inlineStr">
        <is>
          <t>Evolução proposta</t>
        </is>
      </c>
      <c r="G750" s="3" t="inlineStr">
        <is>
          <t>Implementação</t>
        </is>
      </c>
      <c r="H750" s="3" t="inlineStr">
        <is>
          <t>Validar pacote de extensão</t>
        </is>
      </c>
      <c r="I750" s="3" t="inlineStr">
        <is>
          <t>Checar manifesto, hashes, target e licença antes de extrair/executar.</t>
        </is>
      </c>
      <c r="J750" s="3" t="inlineStr">
        <is>
          <t>crates/extensions/src/package.rs</t>
        </is>
      </c>
      <c r="K750" s="3" t="inlineStr">
        <is>
          <t>Zip slip/paths externos e artefatos sem origem são rejeitados.</t>
        </is>
      </c>
      <c r="L750" s="3" t="inlineStr">
        <is>
          <t>SL-S68-GATE</t>
        </is>
      </c>
      <c r="M750" s="3" t="inlineStr">
        <is>
          <t>R06; R08; R09; R30; R33; R35</t>
        </is>
      </c>
      <c r="N750" s="10" t="inlineStr">
        <is>
          <t>Não iniciado</t>
        </is>
      </c>
      <c r="O750" s="3" t="inlineStr">
        <is>
          <t>P0</t>
        </is>
      </c>
      <c r="P750" s="3" t="inlineStr">
        <is>
          <t>Crítico</t>
        </is>
      </c>
      <c r="Q750" s="3" t="inlineStr">
        <is>
          <t>Condicional à ratificação do escopo pós-v1 (ADR-017/018)</t>
        </is>
      </c>
      <c r="R750" s="10" t="inlineStr">
        <is>
          <t>Autor + agente de IA</t>
        </is>
      </c>
      <c r="S750" s="10" t="inlineStr"/>
      <c r="T750" s="11" t="inlineStr"/>
      <c r="U750" s="3" t="inlineStr">
        <is>
          <t>reports/S69/SL-S69-01.md</t>
        </is>
      </c>
      <c r="V750" s="10" t="inlineStr"/>
      <c r="W750" s="10" t="inlineStr"/>
      <c r="X750" s="3">
        <f>IF(N750="Concluído",IF(AND(S750&lt;&gt;"",ISNUMBER(T750),T750&gt;0,V750&lt;&gt;"",AND(OR(X749="OK",X749="DISPENSADO"))),"OK","REVISAR"),IF(N750="Dispensado (ADR)",IF(AND(LEFT(Q750,11)="Condicional",W750&lt;&gt;"",S750&lt;&gt;"",ISNUMBER(T750),T750&gt;0,V750&lt;&gt;""),"DISPENSADO","REVISAR"),"PENDENTE"))</f>
        <v/>
      </c>
      <c r="Y750" s="10" t="inlineStr"/>
    </row>
    <row r="751" ht="112" customHeight="1">
      <c r="A751" s="3" t="n">
        <v>750</v>
      </c>
      <c r="B751" s="3" t="inlineStr">
        <is>
          <t>SL-S69-02</t>
        </is>
      </c>
      <c r="C751" s="9" t="inlineStr">
        <is>
          <t>v2.0.0-beta.1</t>
        </is>
      </c>
      <c r="D751" s="9" t="inlineStr">
        <is>
          <t>S69</t>
        </is>
      </c>
      <c r="E751" s="3" t="inlineStr">
        <is>
          <t>ExtensionHost / distribuição</t>
        </is>
      </c>
      <c r="F751" s="3" t="inlineStr">
        <is>
          <t>Evolução proposta</t>
        </is>
      </c>
      <c r="G751" s="3" t="inlineStr">
        <is>
          <t>Implementação</t>
        </is>
      </c>
      <c r="H751" s="3" t="inlineStr">
        <is>
          <t>Criar fluxo de consentimento</t>
        </is>
      </c>
      <c r="I751" s="3" t="inlineStr">
        <is>
          <t>Mostrar dados recebidos, destino de rede e recursos pedidos.</t>
        </is>
      </c>
      <c r="J751" s="3" t="inlineStr">
        <is>
          <t>apps/desktop/src/extensions/permissions.ts</t>
        </is>
      </c>
      <c r="K751" s="3" t="inlineStr">
        <is>
          <t>Instalar não equivale a permitir acesso a todo Vault ou todas as APIs.</t>
        </is>
      </c>
      <c r="L751" s="3" t="inlineStr">
        <is>
          <t>SL-S69-01</t>
        </is>
      </c>
      <c r="M751" s="3" t="inlineStr">
        <is>
          <t>R06; R08; R09; R30; R33; R35</t>
        </is>
      </c>
      <c r="N751" s="10" t="inlineStr">
        <is>
          <t>Não iniciado</t>
        </is>
      </c>
      <c r="O751" s="3" t="inlineStr">
        <is>
          <t>P0</t>
        </is>
      </c>
      <c r="P751" s="3" t="inlineStr">
        <is>
          <t>Crítico</t>
        </is>
      </c>
      <c r="Q751" s="3" t="inlineStr">
        <is>
          <t>Condicional à ratificação do escopo pós-v1 (ADR-017/018)</t>
        </is>
      </c>
      <c r="R751" s="10" t="inlineStr">
        <is>
          <t>Autor + agente de IA</t>
        </is>
      </c>
      <c r="S751" s="10" t="inlineStr"/>
      <c r="T751" s="11" t="inlineStr"/>
      <c r="U751" s="3" t="inlineStr">
        <is>
          <t>reports/S69/SL-S69-02.md</t>
        </is>
      </c>
      <c r="V751" s="10" t="inlineStr"/>
      <c r="W751" s="10" t="inlineStr"/>
      <c r="X751" s="3">
        <f>IF(N751="Concluído",IF(AND(S751&lt;&gt;"",ISNUMBER(T751),T751&gt;0,V751&lt;&gt;"",AND(OR(X750="OK",X750="DISPENSADO"))),"OK","REVISAR"),IF(N751="Dispensado (ADR)",IF(AND(LEFT(Q751,11)="Condicional",W751&lt;&gt;"",S751&lt;&gt;"",ISNUMBER(T751),T751&gt;0,V751&lt;&gt;""),"DISPENSADO","REVISAR"),"PENDENTE"))</f>
        <v/>
      </c>
      <c r="Y751" s="10" t="inlineStr"/>
    </row>
    <row r="752" ht="112" customHeight="1">
      <c r="A752" s="3" t="n">
        <v>751</v>
      </c>
      <c r="B752" s="3" t="inlineStr">
        <is>
          <t>SL-S69-03</t>
        </is>
      </c>
      <c r="C752" s="9" t="inlineStr">
        <is>
          <t>v2.0.0-beta.1</t>
        </is>
      </c>
      <c r="D752" s="9" t="inlineStr">
        <is>
          <t>S69</t>
        </is>
      </c>
      <c r="E752" s="3" t="inlineStr">
        <is>
          <t>ExtensionHost / distribuição</t>
        </is>
      </c>
      <c r="F752" s="3" t="inlineStr">
        <is>
          <t>Evolução proposta</t>
        </is>
      </c>
      <c r="G752" s="3" t="inlineStr">
        <is>
          <t>Implementação</t>
        </is>
      </c>
      <c r="H752" s="3" t="inlineStr">
        <is>
          <t>Vincular permissões a tarefa</t>
        </is>
      </c>
      <c r="I752" s="3" t="inlineStr">
        <is>
          <t>Gerar capabilities limitadas por workspace/revisão e operação.</t>
        </is>
      </c>
      <c r="J752" s="3" t="inlineStr">
        <is>
          <t>crates/extensions/src/capabilities.rs</t>
        </is>
      </c>
      <c r="K752" s="3" t="inlineStr">
        <is>
          <t>Extensão não pode ampliar autorização através da própria resposta.</t>
        </is>
      </c>
      <c r="L752" s="3" t="inlineStr">
        <is>
          <t>SL-S69-02</t>
        </is>
      </c>
      <c r="M752" s="3" t="inlineStr">
        <is>
          <t>R06; R08; R09; R30; R33; R35</t>
        </is>
      </c>
      <c r="N752" s="10" t="inlineStr">
        <is>
          <t>Não iniciado</t>
        </is>
      </c>
      <c r="O752" s="3" t="inlineStr">
        <is>
          <t>P0</t>
        </is>
      </c>
      <c r="P752" s="3" t="inlineStr">
        <is>
          <t>Crítico</t>
        </is>
      </c>
      <c r="Q752" s="3" t="inlineStr">
        <is>
          <t>Condicional à ratificação do escopo pós-v1 (ADR-017/018)</t>
        </is>
      </c>
      <c r="R752" s="10" t="inlineStr">
        <is>
          <t>Autor + agente de IA</t>
        </is>
      </c>
      <c r="S752" s="10" t="inlineStr"/>
      <c r="T752" s="11" t="inlineStr"/>
      <c r="U752" s="3" t="inlineStr">
        <is>
          <t>reports/S69/SL-S69-03.md</t>
        </is>
      </c>
      <c r="V752" s="10" t="inlineStr"/>
      <c r="W752" s="10" t="inlineStr"/>
      <c r="X752" s="3">
        <f>IF(N752="Concluído",IF(AND(S752&lt;&gt;"",ISNUMBER(T752),T752&gt;0,V752&lt;&gt;"",AND(OR(X751="OK",X751="DISPENSADO"))),"OK","REVISAR"),IF(N752="Dispensado (ADR)",IF(AND(LEFT(Q752,11)="Condicional",W752&lt;&gt;"",S752&lt;&gt;"",ISNUMBER(T752),T752&gt;0,V752&lt;&gt;""),"DISPENSADO","REVISAR"),"PENDENTE"))</f>
        <v/>
      </c>
      <c r="Y752" s="10" t="inlineStr"/>
    </row>
    <row r="753" ht="112" customHeight="1">
      <c r="A753" s="3" t="n">
        <v>752</v>
      </c>
      <c r="B753" s="3" t="inlineStr">
        <is>
          <t>SL-S69-04</t>
        </is>
      </c>
      <c r="C753" s="9" t="inlineStr">
        <is>
          <t>v2.0.0-beta.1</t>
        </is>
      </c>
      <c r="D753" s="9" t="inlineStr">
        <is>
          <t>S69</t>
        </is>
      </c>
      <c r="E753" s="3" t="inlineStr">
        <is>
          <t>ExtensionHost / distribuição</t>
        </is>
      </c>
      <c r="F753" s="3" t="inlineStr">
        <is>
          <t>Evolução proposta</t>
        </is>
      </c>
      <c r="G753" s="3" t="inlineStr">
        <is>
          <t>Implementação</t>
        </is>
      </c>
      <c r="H753" s="3" t="inlineStr">
        <is>
          <t>Isolar execução</t>
        </is>
      </c>
      <c r="I753" s="3" t="inlineStr">
        <is>
          <t>Reutilizar perfis de sandbox adequados e recusar combinação não suportada.</t>
        </is>
      </c>
      <c r="J753" s="3" t="inlineStr">
        <is>
          <t>crates/extensions/src/sandbox.rs</t>
        </is>
      </c>
      <c r="K753" s="3" t="inlineStr">
        <is>
          <t>Falta de contenção não provoca execução irrestrita para manter compatibilidade.</t>
        </is>
      </c>
      <c r="L753" s="3" t="inlineStr">
        <is>
          <t>SL-S69-03</t>
        </is>
      </c>
      <c r="M753" s="3" t="inlineStr">
        <is>
          <t>R06; R08; R09; R30; R33; R35</t>
        </is>
      </c>
      <c r="N753" s="10" t="inlineStr">
        <is>
          <t>Não iniciado</t>
        </is>
      </c>
      <c r="O753" s="3" t="inlineStr">
        <is>
          <t>P0</t>
        </is>
      </c>
      <c r="P753" s="3" t="inlineStr">
        <is>
          <t>Crítico</t>
        </is>
      </c>
      <c r="Q753" s="3" t="inlineStr">
        <is>
          <t>Condicional à ratificação do escopo pós-v1 (ADR-017/018)</t>
        </is>
      </c>
      <c r="R753" s="10" t="inlineStr">
        <is>
          <t>Autor + agente de IA</t>
        </is>
      </c>
      <c r="S753" s="10" t="inlineStr"/>
      <c r="T753" s="11" t="inlineStr"/>
      <c r="U753" s="3" t="inlineStr">
        <is>
          <t>reports/S69/SL-S69-04.md</t>
        </is>
      </c>
      <c r="V753" s="10" t="inlineStr"/>
      <c r="W753" s="10" t="inlineStr"/>
      <c r="X753" s="3">
        <f>IF(N753="Concluído",IF(AND(S753&lt;&gt;"",ISNUMBER(T753),T753&gt;0,V753&lt;&gt;"",AND(OR(X752="OK",X752="DISPENSADO"))),"OK","REVISAR"),IF(N753="Dispensado (ADR)",IF(AND(LEFT(Q753,11)="Condicional",W753&lt;&gt;"",S753&lt;&gt;"",ISNUMBER(T753),T753&gt;0,V753&lt;&gt;""),"DISPENSADO","REVISAR"),"PENDENTE"))</f>
        <v/>
      </c>
      <c r="Y753" s="10" t="inlineStr"/>
    </row>
    <row r="754" ht="112" customHeight="1">
      <c r="A754" s="3" t="n">
        <v>753</v>
      </c>
      <c r="B754" s="3" t="inlineStr">
        <is>
          <t>SL-S69-05</t>
        </is>
      </c>
      <c r="C754" s="9" t="inlineStr">
        <is>
          <t>v2.0.0-beta.1</t>
        </is>
      </c>
      <c r="D754" s="9" t="inlineStr">
        <is>
          <t>S69</t>
        </is>
      </c>
      <c r="E754" s="3" t="inlineStr">
        <is>
          <t>ExtensionHost / distribuição</t>
        </is>
      </c>
      <c r="F754" s="3" t="inlineStr">
        <is>
          <t>Evolução proposta</t>
        </is>
      </c>
      <c r="G754" s="3" t="inlineStr">
        <is>
          <t>Implementação</t>
        </is>
      </c>
      <c r="H754" s="3" t="inlineStr">
        <is>
          <t>Controlar rede por provedor</t>
        </is>
      </c>
      <c r="I754" s="3" t="inlineStr">
        <is>
          <t>Roteamento/destinos compatíveis com política já aprovada pelo usuário.</t>
        </is>
      </c>
      <c r="J754" s="3" t="inlineStr">
        <is>
          <t>crates/extensions/src/egress.rs</t>
        </is>
      </c>
      <c r="K754" s="3" t="inlineStr">
        <is>
          <t>Permissão local não habilita serviço remoto adicionado posteriormente pela extensão.</t>
        </is>
      </c>
      <c r="L754" s="3" t="inlineStr">
        <is>
          <t>SL-S69-04</t>
        </is>
      </c>
      <c r="M754" s="3" t="inlineStr">
        <is>
          <t>R06; R08; R09; R30; R33; R35</t>
        </is>
      </c>
      <c r="N754" s="10" t="inlineStr">
        <is>
          <t>Não iniciado</t>
        </is>
      </c>
      <c r="O754" s="3" t="inlineStr">
        <is>
          <t>P0</t>
        </is>
      </c>
      <c r="P754" s="3" t="inlineStr">
        <is>
          <t>Crítico</t>
        </is>
      </c>
      <c r="Q754" s="3" t="inlineStr">
        <is>
          <t>Condicional à ratificação do escopo pós-v1 (ADR-017/018)</t>
        </is>
      </c>
      <c r="R754" s="10" t="inlineStr">
        <is>
          <t>Autor + agente de IA</t>
        </is>
      </c>
      <c r="S754" s="10" t="inlineStr"/>
      <c r="T754" s="11" t="inlineStr"/>
      <c r="U754" s="3" t="inlineStr">
        <is>
          <t>reports/S69/SL-S69-05.md</t>
        </is>
      </c>
      <c r="V754" s="10" t="inlineStr"/>
      <c r="W754" s="10" t="inlineStr"/>
      <c r="X754" s="3">
        <f>IF(N754="Concluído",IF(AND(S754&lt;&gt;"",ISNUMBER(T754),T754&gt;0,V754&lt;&gt;"",AND(OR(X753="OK",X753="DISPENSADO"))),"OK","REVISAR"),IF(N754="Dispensado (ADR)",IF(AND(LEFT(Q754,11)="Condicional",W754&lt;&gt;"",S754&lt;&gt;"",ISNUMBER(T754),T754&gt;0,V754&lt;&gt;""),"DISPENSADO","REVISAR"),"PENDENTE"))</f>
        <v/>
      </c>
      <c r="Y754" s="10" t="inlineStr"/>
    </row>
    <row r="755" ht="112" customHeight="1">
      <c r="A755" s="3" t="n">
        <v>754</v>
      </c>
      <c r="B755" s="3" t="inlineStr">
        <is>
          <t>SL-S69-06</t>
        </is>
      </c>
      <c r="C755" s="9" t="inlineStr">
        <is>
          <t>v2.0.0-beta.1</t>
        </is>
      </c>
      <c r="D755" s="9" t="inlineStr">
        <is>
          <t>S69</t>
        </is>
      </c>
      <c r="E755" s="3" t="inlineStr">
        <is>
          <t>ExtensionHost / distribuição</t>
        </is>
      </c>
      <c r="F755" s="3" t="inlineStr">
        <is>
          <t>Evolução proposta</t>
        </is>
      </c>
      <c r="G755" s="3" t="inlineStr">
        <is>
          <t>Implementação</t>
        </is>
      </c>
      <c r="H755" s="3" t="inlineStr">
        <is>
          <t>Gerenciar update e rollback</t>
        </is>
      </c>
      <c r="I755" s="3" t="inlineStr">
        <is>
          <t>Tratar mudança de permissões como nova aprovação.</t>
        </is>
      </c>
      <c r="J755" s="3" t="inlineStr">
        <is>
          <t>crates/extensions/src/update.rs</t>
        </is>
      </c>
      <c r="K755" s="3" t="inlineStr">
        <is>
          <t>Atualização não aumenta direitos silenciosamente nem apaga configuração funcional sem retorno.</t>
        </is>
      </c>
      <c r="L755" s="3" t="inlineStr">
        <is>
          <t>SL-S69-05</t>
        </is>
      </c>
      <c r="M755" s="3" t="inlineStr">
        <is>
          <t>R06; R08; R09; R30; R33; R35</t>
        </is>
      </c>
      <c r="N755" s="10" t="inlineStr">
        <is>
          <t>Não iniciado</t>
        </is>
      </c>
      <c r="O755" s="3" t="inlineStr">
        <is>
          <t>P0</t>
        </is>
      </c>
      <c r="P755" s="3" t="inlineStr">
        <is>
          <t>Crítico</t>
        </is>
      </c>
      <c r="Q755" s="3" t="inlineStr">
        <is>
          <t>Condicional à ratificação do escopo pós-v1 (ADR-017/018)</t>
        </is>
      </c>
      <c r="R755" s="10" t="inlineStr">
        <is>
          <t>Autor + agente de IA</t>
        </is>
      </c>
      <c r="S755" s="10" t="inlineStr"/>
      <c r="T755" s="11" t="inlineStr"/>
      <c r="U755" s="3" t="inlineStr">
        <is>
          <t>reports/S69/SL-S69-06.md</t>
        </is>
      </c>
      <c r="V755" s="10" t="inlineStr"/>
      <c r="W755" s="10" t="inlineStr"/>
      <c r="X755" s="3">
        <f>IF(N755="Concluído",IF(AND(S755&lt;&gt;"",ISNUMBER(T755),T755&gt;0,V755&lt;&gt;"",AND(OR(X754="OK",X754="DISPENSADO"))),"OK","REVISAR"),IF(N755="Dispensado (ADR)",IF(AND(LEFT(Q755,11)="Condicional",W755&lt;&gt;"",S755&lt;&gt;"",ISNUMBER(T755),T755&gt;0,V755&lt;&gt;""),"DISPENSADO","REVISAR"),"PENDENTE"))</f>
        <v/>
      </c>
      <c r="Y755" s="10" t="inlineStr"/>
    </row>
    <row r="756" ht="112" customHeight="1">
      <c r="A756" s="3" t="n">
        <v>755</v>
      </c>
      <c r="B756" s="3" t="inlineStr">
        <is>
          <t>SL-S69-07</t>
        </is>
      </c>
      <c r="C756" s="9" t="inlineStr">
        <is>
          <t>v2.0.0-beta.1</t>
        </is>
      </c>
      <c r="D756" s="9" t="inlineStr">
        <is>
          <t>S69</t>
        </is>
      </c>
      <c r="E756" s="3" t="inlineStr">
        <is>
          <t>ExtensionHost / distribuição</t>
        </is>
      </c>
      <c r="F756" s="3" t="inlineStr">
        <is>
          <t>Evolução proposta</t>
        </is>
      </c>
      <c r="G756" s="3" t="inlineStr">
        <is>
          <t>Implementação</t>
        </is>
      </c>
      <c r="H756" s="3" t="inlineStr">
        <is>
          <t>Implementar revogação</t>
        </is>
      </c>
      <c r="I756" s="3" t="inlineStr">
        <is>
          <t>Cancelar jobs, invalidar tokens e impedir novas chamadas do provedor.</t>
        </is>
      </c>
      <c r="J756" s="3" t="inlineStr">
        <is>
          <t>crates/extensions/src/revoke.rs</t>
        </is>
      </c>
      <c r="K756" s="3" t="inlineStr">
        <is>
          <t>Jobs em andamento não continuam usando segredo após revogação sem controle.</t>
        </is>
      </c>
      <c r="L756" s="3" t="inlineStr">
        <is>
          <t>SL-S69-06</t>
        </is>
      </c>
      <c r="M756" s="3" t="inlineStr">
        <is>
          <t>R06; R08; R09; R30; R33; R35</t>
        </is>
      </c>
      <c r="N756" s="10" t="inlineStr">
        <is>
          <t>Não iniciado</t>
        </is>
      </c>
      <c r="O756" s="3" t="inlineStr">
        <is>
          <t>P0</t>
        </is>
      </c>
      <c r="P756" s="3" t="inlineStr">
        <is>
          <t>Crítico</t>
        </is>
      </c>
      <c r="Q756" s="3" t="inlineStr">
        <is>
          <t>Condicional à ratificação do escopo pós-v1 (ADR-017/018)</t>
        </is>
      </c>
      <c r="R756" s="10" t="inlineStr">
        <is>
          <t>Autor + agente de IA</t>
        </is>
      </c>
      <c r="S756" s="10" t="inlineStr"/>
      <c r="T756" s="11" t="inlineStr"/>
      <c r="U756" s="3" t="inlineStr">
        <is>
          <t>reports/S69/SL-S69-07.md</t>
        </is>
      </c>
      <c r="V756" s="10" t="inlineStr"/>
      <c r="W756" s="10" t="inlineStr"/>
      <c r="X756" s="3">
        <f>IF(N756="Concluído",IF(AND(S756&lt;&gt;"",ISNUMBER(T756),T756&gt;0,V756&lt;&gt;"",AND(OR(X755="OK",X755="DISPENSADO"))),"OK","REVISAR"),IF(N756="Dispensado (ADR)",IF(AND(LEFT(Q756,11)="Condicional",W756&lt;&gt;"",S756&lt;&gt;"",ISNUMBER(T756),T756&gt;0,V756&lt;&gt;""),"DISPENSADO","REVISAR"),"PENDENTE"))</f>
        <v/>
      </c>
      <c r="Y756" s="10" t="inlineStr"/>
    </row>
    <row r="757" ht="112" customHeight="1">
      <c r="A757" s="3" t="n">
        <v>756</v>
      </c>
      <c r="B757" s="3" t="inlineStr">
        <is>
          <t>SL-S69-08</t>
        </is>
      </c>
      <c r="C757" s="9" t="inlineStr">
        <is>
          <t>v2.0.0-beta.1</t>
        </is>
      </c>
      <c r="D757" s="9" t="inlineStr">
        <is>
          <t>S69</t>
        </is>
      </c>
      <c r="E757" s="3" t="inlineStr">
        <is>
          <t>ExtensionHost / distribuição</t>
        </is>
      </c>
      <c r="F757" s="3" t="inlineStr">
        <is>
          <t>Evolução proposta</t>
        </is>
      </c>
      <c r="G757" s="3" t="inlineStr">
        <is>
          <t>Implementação</t>
        </is>
      </c>
      <c r="H757" s="3" t="inlineStr">
        <is>
          <t>Implementar remoção</t>
        </is>
      </c>
      <c r="I757" s="3" t="inlineStr">
        <is>
          <t>Encerrar processos e retirar pacote/cache preservando dados autorais.</t>
        </is>
      </c>
      <c r="J757" s="3" t="inlineStr">
        <is>
          <t>crates/extensions/src/remove.rs</t>
        </is>
      </c>
      <c r="K757" s="3" t="inlineStr">
        <is>
          <t>Remover provider não remove textos, summaries aceitos ou evidências do usuário.</t>
        </is>
      </c>
      <c r="L757" s="3" t="inlineStr">
        <is>
          <t>SL-S69-07</t>
        </is>
      </c>
      <c r="M757" s="3" t="inlineStr">
        <is>
          <t>R06; R08; R09; R30; R33; R35</t>
        </is>
      </c>
      <c r="N757" s="10" t="inlineStr">
        <is>
          <t>Não iniciado</t>
        </is>
      </c>
      <c r="O757" s="3" t="inlineStr">
        <is>
          <t>P0</t>
        </is>
      </c>
      <c r="P757" s="3" t="inlineStr">
        <is>
          <t>Crítico</t>
        </is>
      </c>
      <c r="Q757" s="3" t="inlineStr">
        <is>
          <t>Condicional à ratificação do escopo pós-v1 (ADR-017/018)</t>
        </is>
      </c>
      <c r="R757" s="10" t="inlineStr">
        <is>
          <t>Autor + agente de IA</t>
        </is>
      </c>
      <c r="S757" s="10" t="inlineStr"/>
      <c r="T757" s="11" t="inlineStr"/>
      <c r="U757" s="3" t="inlineStr">
        <is>
          <t>reports/S69/SL-S69-08.md</t>
        </is>
      </c>
      <c r="V757" s="10" t="inlineStr"/>
      <c r="W757" s="10" t="inlineStr"/>
      <c r="X757" s="3">
        <f>IF(N757="Concluído",IF(AND(S757&lt;&gt;"",ISNUMBER(T757),T757&gt;0,V757&lt;&gt;"",AND(OR(X756="OK",X756="DISPENSADO"))),"OK","REVISAR"),IF(N757="Dispensado (ADR)",IF(AND(LEFT(Q757,11)="Condicional",W757&lt;&gt;"",S757&lt;&gt;"",ISNUMBER(T757),T757&gt;0,V757&lt;&gt;""),"DISPENSADO","REVISAR"),"PENDENTE"))</f>
        <v/>
      </c>
      <c r="Y757" s="10" t="inlineStr"/>
    </row>
    <row r="758" ht="112" customHeight="1">
      <c r="A758" s="3" t="n">
        <v>757</v>
      </c>
      <c r="B758" s="3" t="inlineStr">
        <is>
          <t>SL-S69-09</t>
        </is>
      </c>
      <c r="C758" s="9" t="inlineStr">
        <is>
          <t>v2.0.0-beta.1</t>
        </is>
      </c>
      <c r="D758" s="9" t="inlineStr">
        <is>
          <t>S69</t>
        </is>
      </c>
      <c r="E758" s="3" t="inlineStr">
        <is>
          <t>ExtensionHost / distribuição</t>
        </is>
      </c>
      <c r="F758" s="3" t="inlineStr">
        <is>
          <t>Evolução proposta</t>
        </is>
      </c>
      <c r="G758" s="3" t="inlineStr">
        <is>
          <t>Teste</t>
        </is>
      </c>
      <c r="H758" s="3" t="inlineStr">
        <is>
          <t>Testar abuso de recursos e dados</t>
        </is>
      </c>
      <c r="I758" s="3" t="inlineStr">
        <is>
          <t>Usar extensão de prova que tenta exfiltrar/forçar respostas excessivas.</t>
        </is>
      </c>
      <c r="J758" s="3" t="inlineStr">
        <is>
          <t>tests/extensions/security/</t>
        </is>
      </c>
      <c r="K758" s="3" t="inlineStr">
        <is>
          <t>Host bloqueia violações dentro do modelo de ameaça documentado.</t>
        </is>
      </c>
      <c r="L758" s="3" t="inlineStr">
        <is>
          <t>SL-S69-08</t>
        </is>
      </c>
      <c r="M758" s="3" t="inlineStr">
        <is>
          <t>R06; R08; R09; R30; R33; R35</t>
        </is>
      </c>
      <c r="N758" s="10" t="inlineStr">
        <is>
          <t>Não iniciado</t>
        </is>
      </c>
      <c r="O758" s="3" t="inlineStr">
        <is>
          <t>P0</t>
        </is>
      </c>
      <c r="P758" s="3" t="inlineStr">
        <is>
          <t>Crítico</t>
        </is>
      </c>
      <c r="Q758" s="3" t="inlineStr">
        <is>
          <t>Condicional à ratificação do escopo pós-v1 (ADR-017/018)</t>
        </is>
      </c>
      <c r="R758" s="10" t="inlineStr">
        <is>
          <t>Autor + agente de IA</t>
        </is>
      </c>
      <c r="S758" s="10" t="inlineStr"/>
      <c r="T758" s="11" t="inlineStr"/>
      <c r="U758" s="3" t="inlineStr">
        <is>
          <t>reports/S69/SL-S69-09.md</t>
        </is>
      </c>
      <c r="V758" s="10" t="inlineStr"/>
      <c r="W758" s="10" t="inlineStr"/>
      <c r="X758" s="3">
        <f>IF(N758="Concluído",IF(AND(S758&lt;&gt;"",ISNUMBER(T758),T758&gt;0,V758&lt;&gt;"",AND(OR(X757="OK",X757="DISPENSADO"))),"OK","REVISAR"),IF(N758="Dispensado (ADR)",IF(AND(LEFT(Q758,11)="Condicional",W758&lt;&gt;"",S758&lt;&gt;"",ISNUMBER(T758),T758&gt;0,V758&lt;&gt;""),"DISPENSADO","REVISAR"),"PENDENTE"))</f>
        <v/>
      </c>
      <c r="Y758" s="10" t="inlineStr"/>
    </row>
    <row r="759" ht="112" customHeight="1">
      <c r="A759" s="3" t="n">
        <v>758</v>
      </c>
      <c r="B759" s="3" t="inlineStr">
        <is>
          <t>SL-S69-10</t>
        </is>
      </c>
      <c r="C759" s="9" t="inlineStr">
        <is>
          <t>v2.0.0-beta.1</t>
        </is>
      </c>
      <c r="D759" s="9" t="inlineStr">
        <is>
          <t>S69</t>
        </is>
      </c>
      <c r="E759" s="3" t="inlineStr">
        <is>
          <t>ExtensionHost / distribuição</t>
        </is>
      </c>
      <c r="F759" s="3" t="inlineStr">
        <is>
          <t>Evolução proposta</t>
        </is>
      </c>
      <c r="G759" s="3" t="inlineStr">
        <is>
          <t>Licença</t>
        </is>
      </c>
      <c r="H759" s="3" t="inlineStr">
        <is>
          <t>Documentar distribuição curada</t>
        </is>
      </c>
      <c r="I759" s="3" t="inlineStr">
        <is>
          <t>Definir fonte correspondente, notices e limites de endosso de terceiros.</t>
        </is>
      </c>
      <c r="J759" s="3" t="inlineStr">
        <is>
          <t>docs/extensions/distribution.md</t>
        </is>
      </c>
      <c r="K759" s="3" t="inlineStr">
        <is>
          <t>Projeto não promete segurança automática de qualquer plugin disponível na internet.</t>
        </is>
      </c>
      <c r="L759" s="3" t="inlineStr">
        <is>
          <t>SL-S69-09</t>
        </is>
      </c>
      <c r="M759" s="3" t="inlineStr">
        <is>
          <t>R06; R08; R09; R30; R33; R35</t>
        </is>
      </c>
      <c r="N759" s="10" t="inlineStr">
        <is>
          <t>Não iniciado</t>
        </is>
      </c>
      <c r="O759" s="3" t="inlineStr">
        <is>
          <t>P0</t>
        </is>
      </c>
      <c r="P759" s="3" t="inlineStr">
        <is>
          <t>Crítico</t>
        </is>
      </c>
      <c r="Q759" s="3" t="inlineStr">
        <is>
          <t>Condicional à ratificação do escopo pós-v1 (ADR-017/018)</t>
        </is>
      </c>
      <c r="R759" s="10" t="inlineStr">
        <is>
          <t>Autor</t>
        </is>
      </c>
      <c r="S759" s="10" t="inlineStr"/>
      <c r="T759" s="11" t="inlineStr"/>
      <c r="U759" s="3" t="inlineStr">
        <is>
          <t>reports/S69/SL-S69-10.md</t>
        </is>
      </c>
      <c r="V759" s="10" t="inlineStr"/>
      <c r="W759" s="10" t="inlineStr"/>
      <c r="X759" s="3">
        <f>IF(N759="Concluído",IF(AND(S759&lt;&gt;"",ISNUMBER(T759),T759&gt;0,V759&lt;&gt;"",AND(OR(X758="OK",X758="DISPENSADO"))),"OK","REVISAR"),IF(N759="Dispensado (ADR)",IF(AND(LEFT(Q759,11)="Condicional",W759&lt;&gt;"",S759&lt;&gt;"",ISNUMBER(T759),T759&gt;0,V759&lt;&gt;""),"DISPENSADO","REVISAR"),"PENDENTE"))</f>
        <v/>
      </c>
      <c r="Y759" s="10" t="inlineStr"/>
    </row>
    <row r="760" ht="98" customHeight="1">
      <c r="A760" s="3" t="n">
        <v>759</v>
      </c>
      <c r="B760" s="12" t="inlineStr">
        <is>
          <t>SL-S69-GATE</t>
        </is>
      </c>
      <c r="C760" s="9" t="inlineStr">
        <is>
          <t>v2.0.0-beta.1</t>
        </is>
      </c>
      <c r="D760" s="9" t="inlineStr">
        <is>
          <t>S69</t>
        </is>
      </c>
      <c r="E760" s="3" t="inlineStr">
        <is>
          <t>ExtensionHost / distribuição</t>
        </is>
      </c>
      <c r="F760" s="3" t="inlineStr">
        <is>
          <t>Aceite humano</t>
        </is>
      </c>
      <c r="G760" s="12" t="inlineStr">
        <is>
          <t>Gate</t>
        </is>
      </c>
      <c r="H760" s="12" t="inlineStr">
        <is>
          <t>Aceitar S69 — Instalar extensões com permissões controladas</t>
        </is>
      </c>
      <c r="I760" s="3" t="inlineStr">
        <is>
          <t>Revisar as dez tarefas, executar a demonstração do sprint, confrontar critérios e registrar decisão go/no-go.</t>
        </is>
      </c>
      <c r="J760" s="3" t="inlineStr">
        <is>
          <t>reports/S69/acceptance.md</t>
        </is>
      </c>
      <c r="K760" s="3" t="inlineStr">
        <is>
          <t>Instalar provedor de exemplo, negar rede, revogar e remover sem tocar dados autorais. Todas as dependências aceitas; evidências vinculadas a revisão/ambiente; nenhum blocker de integridade/segurança.</t>
        </is>
      </c>
      <c r="L760" s="3" t="inlineStr">
        <is>
          <t>SL-S69-01; SL-S69-02; SL-S69-03; SL-S69-04; SL-S69-05; SL-S69-06; SL-S69-07; SL-S69-08; SL-S69-09; SL-S69-10</t>
        </is>
      </c>
      <c r="M760" s="3" t="inlineStr">
        <is>
          <t>R06; R08; R09; R30; R33; R35</t>
        </is>
      </c>
      <c r="N760" s="10" t="inlineStr">
        <is>
          <t>Não iniciado</t>
        </is>
      </c>
      <c r="O760" s="3" t="inlineStr">
        <is>
          <t>P0</t>
        </is>
      </c>
      <c r="P760" s="3" t="inlineStr">
        <is>
          <t>Crítico</t>
        </is>
      </c>
      <c r="Q760" s="3" t="inlineStr">
        <is>
          <t>Obrigatória para fechar a versão aprovada</t>
        </is>
      </c>
      <c r="R760" s="10" t="inlineStr">
        <is>
          <t>Autor</t>
        </is>
      </c>
      <c r="S760" s="10" t="inlineStr"/>
      <c r="T760" s="11" t="inlineStr"/>
      <c r="U760" s="3" t="inlineStr">
        <is>
          <t>reports/S69/acceptance.md</t>
        </is>
      </c>
      <c r="V760" s="10" t="inlineStr"/>
      <c r="W760" s="10" t="inlineStr"/>
      <c r="X760" s="3">
        <f>IF(N760="Concluído",IF(AND(S760&lt;&gt;"",ISNUMBER(T760),T760&gt;0,V760&lt;&gt;"",AND(OR(X750="OK",X750="DISPENSADO"),OR(X751="OK",X751="DISPENSADO"),OR(X752="OK",X752="DISPENSADO"),OR(X753="OK",X753="DISPENSADO"),OR(X754="OK",X754="DISPENSADO"),OR(X755="OK",X755="DISPENSADO"),OR(X756="OK",X756="DISPENSADO"),OR(X757="OK",X757="DISPENSADO"),OR(X758="OK",X758="DISPENSADO"),OR(X759="OK",X759="DISPENSADO"))),"OK","REVISAR"),IF(N760="Dispensado (ADR)",IF(AND(LEFT(Q760,11)="Condicional",W760&lt;&gt;"",S760&lt;&gt;"",ISNUMBER(T760),T760&gt;0,V760&lt;&gt;""),"DISPENSADO","REVISAR"),"PENDENTE"))</f>
        <v/>
      </c>
      <c r="Y760" s="10" t="inlineStr"/>
    </row>
    <row r="761" ht="112" customHeight="1">
      <c r="A761" s="3" t="n">
        <v>760</v>
      </c>
      <c r="B761" s="3" t="inlineStr">
        <is>
          <t>SL-S70-01</t>
        </is>
      </c>
      <c r="C761" s="9" t="inlineStr">
        <is>
          <t>v2.0.0-beta.1</t>
        </is>
      </c>
      <c r="D761" s="9" t="inlineStr">
        <is>
          <t>S70</t>
        </is>
      </c>
      <c r="E761" s="3" t="inlineStr">
        <is>
          <t>Upstreams / SDK / formato</t>
        </is>
      </c>
      <c r="F761" s="3" t="inlineStr">
        <is>
          <t>Integração</t>
        </is>
      </c>
      <c r="G761" s="3" t="inlineStr">
        <is>
          <t>Upstream</t>
        </is>
      </c>
      <c r="H761" s="3" t="inlineStr">
        <is>
          <t>Revisar revisões-alvo v2</t>
        </is>
      </c>
      <c r="I761" s="3" t="inlineStr">
        <is>
          <t>Selecionar updates necessários com changelogs, licenças e riscos.</t>
        </is>
      </c>
      <c r="J761" s="3" t="inlineStr">
        <is>
          <t>upstream/releases/v2-candidates.json</t>
        </is>
      </c>
      <c r="K761" s="3" t="inlineStr">
        <is>
          <t>Não se usa alteração de major para atualizar tudo sem teste.</t>
        </is>
      </c>
      <c r="L761" s="3" t="inlineStr">
        <is>
          <t>SL-S68-GATE; SL-S69-GATE</t>
        </is>
      </c>
      <c r="M761" s="3" t="inlineStr">
        <is>
          <t>R01; R04; R22; R30; R32; R33; R35</t>
        </is>
      </c>
      <c r="N761" s="10" t="inlineStr">
        <is>
          <t>Não iniciado</t>
        </is>
      </c>
      <c r="O761" s="3" t="inlineStr">
        <is>
          <t>P0</t>
        </is>
      </c>
      <c r="P761" s="3" t="inlineStr">
        <is>
          <t>Crítico</t>
        </is>
      </c>
      <c r="Q761" s="3" t="inlineStr">
        <is>
          <t>Condicional à ratificação do escopo pós-v1 (ADR-017/018)</t>
        </is>
      </c>
      <c r="R761" s="10" t="inlineStr">
        <is>
          <t>Autor + agente de IA</t>
        </is>
      </c>
      <c r="S761" s="10" t="inlineStr"/>
      <c r="T761" s="11" t="inlineStr"/>
      <c r="U761" s="3" t="inlineStr">
        <is>
          <t>reports/S70/SL-S70-01.md</t>
        </is>
      </c>
      <c r="V761" s="10" t="inlineStr"/>
      <c r="W761" s="10" t="inlineStr"/>
      <c r="X761" s="3">
        <f>IF(N761="Concluído",IF(AND(S761&lt;&gt;"",ISNUMBER(T761),T761&gt;0,V761&lt;&gt;"",AND(OR(X749="OK",X749="DISPENSADO"),OR(X760="OK",X760="DISPENSADO"))),"OK","REVISAR"),IF(N761="Dispensado (ADR)",IF(AND(LEFT(Q761,11)="Condicional",W761&lt;&gt;"",S761&lt;&gt;"",ISNUMBER(T761),T761&gt;0,V761&lt;&gt;""),"DISPENSADO","REVISAR"),"PENDENTE"))</f>
        <v/>
      </c>
      <c r="Y761" s="10" t="inlineStr"/>
    </row>
    <row r="762" ht="112" customHeight="1">
      <c r="A762" s="3" t="n">
        <v>761</v>
      </c>
      <c r="B762" s="3" t="inlineStr">
        <is>
          <t>SL-S70-02</t>
        </is>
      </c>
      <c r="C762" s="9" t="inlineStr">
        <is>
          <t>v2.0.0-beta.1</t>
        </is>
      </c>
      <c r="D762" s="9" t="inlineStr">
        <is>
          <t>S70</t>
        </is>
      </c>
      <c r="E762" s="3" t="inlineStr">
        <is>
          <t>Upstreams / SDK / formato</t>
        </is>
      </c>
      <c r="F762" s="3" t="inlineStr">
        <is>
          <t>Integração</t>
        </is>
      </c>
      <c r="G762" s="3" t="inlineStr">
        <is>
          <t>Upstream</t>
        </is>
      </c>
      <c r="H762" s="3" t="inlineStr">
        <is>
          <t>Rebasear BlockSuite</t>
        </is>
      </c>
      <c r="I762" s="3" t="inlineStr">
        <is>
          <t>Validar codecs, IDs, input e montagem mínima na nova revisão escolhida.</t>
        </is>
      </c>
      <c r="J762" s="3" t="inlineStr">
        <is>
          <t>reports/upstream/v2-blocksuite.md</t>
        </is>
      </c>
      <c r="K762" s="3" t="inlineStr">
        <is>
          <t>Editor não incorpora o produto AFFiNE ou canvas concorrente durante update.</t>
        </is>
      </c>
      <c r="L762" s="3" t="inlineStr">
        <is>
          <t>SL-S70-01</t>
        </is>
      </c>
      <c r="M762" s="3" t="inlineStr">
        <is>
          <t>R01; R04; R22; R30; R32; R33; R35</t>
        </is>
      </c>
      <c r="N762" s="10" t="inlineStr">
        <is>
          <t>Não iniciado</t>
        </is>
      </c>
      <c r="O762" s="3" t="inlineStr">
        <is>
          <t>P0</t>
        </is>
      </c>
      <c r="P762" s="3" t="inlineStr">
        <is>
          <t>Crítico</t>
        </is>
      </c>
      <c r="Q762" s="3" t="inlineStr">
        <is>
          <t>Condicional à ratificação do escopo pós-v1 (ADR-017/018)</t>
        </is>
      </c>
      <c r="R762" s="10" t="inlineStr">
        <is>
          <t>Autor + agente de IA</t>
        </is>
      </c>
      <c r="S762" s="10" t="inlineStr"/>
      <c r="T762" s="11" t="inlineStr"/>
      <c r="U762" s="3" t="inlineStr">
        <is>
          <t>reports/S70/SL-S70-02.md</t>
        </is>
      </c>
      <c r="V762" s="10" t="inlineStr"/>
      <c r="W762" s="10" t="inlineStr"/>
      <c r="X762" s="3">
        <f>IF(N762="Concluído",IF(AND(S762&lt;&gt;"",ISNUMBER(T762),T762&gt;0,V762&lt;&gt;"",AND(OR(X761="OK",X761="DISPENSADO"))),"OK","REVISAR"),IF(N762="Dispensado (ADR)",IF(AND(LEFT(Q762,11)="Condicional",W762&lt;&gt;"",S762&lt;&gt;"",ISNUMBER(T762),T762&gt;0,V762&lt;&gt;""),"DISPENSADO","REVISAR"),"PENDENTE"))</f>
        <v/>
      </c>
      <c r="Y762" s="10" t="inlineStr"/>
    </row>
    <row r="763" ht="112" customHeight="1">
      <c r="A763" s="3" t="n">
        <v>762</v>
      </c>
      <c r="B763" s="3" t="inlineStr">
        <is>
          <t>SL-S70-03</t>
        </is>
      </c>
      <c r="C763" s="9" t="inlineStr">
        <is>
          <t>v2.0.0-beta.1</t>
        </is>
      </c>
      <c r="D763" s="9" t="inlineStr">
        <is>
          <t>S70</t>
        </is>
      </c>
      <c r="E763" s="3" t="inlineStr">
        <is>
          <t>Upstreams / SDK / formato</t>
        </is>
      </c>
      <c r="F763" s="3" t="inlineStr">
        <is>
          <t>Integração</t>
        </is>
      </c>
      <c r="G763" s="3" t="inlineStr">
        <is>
          <t>Upstream</t>
        </is>
      </c>
      <c r="H763" s="3" t="inlineStr">
        <is>
          <t>Rebasear PageIndex</t>
        </is>
      </c>
      <c r="I763" s="3" t="inlineStr">
        <is>
          <t>Preservar portas de modelos/fontes, IDs e relações fora da árvore.</t>
        </is>
      </c>
      <c r="J763" s="3" t="inlineStr">
        <is>
          <t>reports/upstream/v2-pageindex.md</t>
        </is>
      </c>
      <c r="K763" s="3" t="inlineStr">
        <is>
          <t>Mudanças upstream não reintroduzem armazenamento canônico privado ou leitura global.</t>
        </is>
      </c>
      <c r="L763" s="3" t="inlineStr">
        <is>
          <t>SL-S70-02</t>
        </is>
      </c>
      <c r="M763" s="3" t="inlineStr">
        <is>
          <t>R01; R04; R22; R30; R32; R33; R35</t>
        </is>
      </c>
      <c r="N763" s="10" t="inlineStr">
        <is>
          <t>Não iniciado</t>
        </is>
      </c>
      <c r="O763" s="3" t="inlineStr">
        <is>
          <t>P0</t>
        </is>
      </c>
      <c r="P763" s="3" t="inlineStr">
        <is>
          <t>Crítico</t>
        </is>
      </c>
      <c r="Q763" s="3" t="inlineStr">
        <is>
          <t>Condicional à ratificação do escopo pós-v1 (ADR-017/018)</t>
        </is>
      </c>
      <c r="R763" s="10" t="inlineStr">
        <is>
          <t>Autor + agente de IA</t>
        </is>
      </c>
      <c r="S763" s="10" t="inlineStr"/>
      <c r="T763" s="11" t="inlineStr"/>
      <c r="U763" s="3" t="inlineStr">
        <is>
          <t>reports/S70/SL-S70-03.md</t>
        </is>
      </c>
      <c r="V763" s="10" t="inlineStr"/>
      <c r="W763" s="10" t="inlineStr"/>
      <c r="X763" s="3">
        <f>IF(N763="Concluído",IF(AND(S763&lt;&gt;"",ISNUMBER(T763),T763&gt;0,V763&lt;&gt;"",AND(OR(X762="OK",X762="DISPENSADO"))),"OK","REVISAR"),IF(N763="Dispensado (ADR)",IF(AND(LEFT(Q763,11)="Condicional",W763&lt;&gt;"",S763&lt;&gt;"",ISNUMBER(T763),T763&gt;0,V763&lt;&gt;""),"DISPENSADO","REVISAR"),"PENDENTE"))</f>
        <v/>
      </c>
      <c r="Y763" s="10" t="inlineStr"/>
    </row>
    <row r="764" ht="112" customHeight="1">
      <c r="A764" s="3" t="n">
        <v>763</v>
      </c>
      <c r="B764" s="3" t="inlineStr">
        <is>
          <t>SL-S70-04</t>
        </is>
      </c>
      <c r="C764" s="9" t="inlineStr">
        <is>
          <t>v2.0.0-beta.1</t>
        </is>
      </c>
      <c r="D764" s="9" t="inlineStr">
        <is>
          <t>S70</t>
        </is>
      </c>
      <c r="E764" s="3" t="inlineStr">
        <is>
          <t>Upstreams / SDK / formato</t>
        </is>
      </c>
      <c r="F764" s="3" t="inlineStr">
        <is>
          <t>Integração</t>
        </is>
      </c>
      <c r="G764" s="3" t="inlineStr">
        <is>
          <t>Upstream</t>
        </is>
      </c>
      <c r="H764" s="3" t="inlineStr">
        <is>
          <t>Revalidar ingest e web</t>
        </is>
      </c>
      <c r="I764" s="3" t="inlineStr">
        <is>
          <t>Rodar corpus Docling/Readability/Turndown/Scrapling e contrato SearxNG.</t>
        </is>
      </c>
      <c r="J764" s="3" t="inlineStr">
        <is>
          <t>reports/upstream/v2-ingest-web.json</t>
        </is>
      </c>
      <c r="K764" s="3" t="inlineStr">
        <is>
          <t>Formatos/engines quebrados geram degradação clara, não corrupção silenciosa.</t>
        </is>
      </c>
      <c r="L764" s="3" t="inlineStr">
        <is>
          <t>SL-S70-03</t>
        </is>
      </c>
      <c r="M764" s="3" t="inlineStr">
        <is>
          <t>R01; R04; R22; R30; R32; R33; R35</t>
        </is>
      </c>
      <c r="N764" s="10" t="inlineStr">
        <is>
          <t>Não iniciado</t>
        </is>
      </c>
      <c r="O764" s="3" t="inlineStr">
        <is>
          <t>P0</t>
        </is>
      </c>
      <c r="P764" s="3" t="inlineStr">
        <is>
          <t>Crítico</t>
        </is>
      </c>
      <c r="Q764" s="3" t="inlineStr">
        <is>
          <t>Condicional à ratificação do escopo pós-v1 (ADR-017/018)</t>
        </is>
      </c>
      <c r="R764" s="10" t="inlineStr">
        <is>
          <t>Autor + agente de IA</t>
        </is>
      </c>
      <c r="S764" s="10" t="inlineStr"/>
      <c r="T764" s="11" t="inlineStr"/>
      <c r="U764" s="3" t="inlineStr">
        <is>
          <t>reports/S70/SL-S70-04.md</t>
        </is>
      </c>
      <c r="V764" s="10" t="inlineStr"/>
      <c r="W764" s="10" t="inlineStr"/>
      <c r="X764" s="3">
        <f>IF(N764="Concluído",IF(AND(S764&lt;&gt;"",ISNUMBER(T764),T764&gt;0,V764&lt;&gt;"",AND(OR(X763="OK",X763="DISPENSADO"))),"OK","REVISAR"),IF(N764="Dispensado (ADR)",IF(AND(LEFT(Q764,11)="Condicional",W764&lt;&gt;"",S764&lt;&gt;"",ISNUMBER(T764),T764&gt;0,V764&lt;&gt;""),"DISPENSADO","REVISAR"),"PENDENTE"))</f>
        <v/>
      </c>
      <c r="Y764" s="10" t="inlineStr"/>
    </row>
    <row r="765" ht="112" customHeight="1">
      <c r="A765" s="3" t="n">
        <v>764</v>
      </c>
      <c r="B765" s="3" t="inlineStr">
        <is>
          <t>SL-S70-05</t>
        </is>
      </c>
      <c r="C765" s="9" t="inlineStr">
        <is>
          <t>v2.0.0-beta.1</t>
        </is>
      </c>
      <c r="D765" s="9" t="inlineStr">
        <is>
          <t>S70</t>
        </is>
      </c>
      <c r="E765" s="3" t="inlineStr">
        <is>
          <t>Upstreams / SDK / formato</t>
        </is>
      </c>
      <c r="F765" s="3" t="inlineStr">
        <is>
          <t>Integração</t>
        </is>
      </c>
      <c r="G765" s="3" t="inlineStr">
        <is>
          <t>Upstream</t>
        </is>
      </c>
      <c r="H765" s="3" t="inlineStr">
        <is>
          <t>Revalidar runtime e busca</t>
        </is>
      </c>
      <c r="I765" s="3" t="inlineStr">
        <is>
          <t>Avaliar LocalAI/backends e o banco escolhido, mantendo espaço de embeddings identificado.</t>
        </is>
      </c>
      <c r="J765" s="3" t="inlineStr">
        <is>
          <t>reports/upstream/v2-runtime-search.json</t>
        </is>
      </c>
      <c r="K765" s="3" t="inlineStr">
        <is>
          <t>Troca de modelo/índice exige caminho explícito; não há mistura de vetores.</t>
        </is>
      </c>
      <c r="L765" s="3" t="inlineStr">
        <is>
          <t>SL-S70-04</t>
        </is>
      </c>
      <c r="M765" s="3" t="inlineStr">
        <is>
          <t>R01; R04; R22; R30; R32; R33; R35</t>
        </is>
      </c>
      <c r="N765" s="10" t="inlineStr">
        <is>
          <t>Não iniciado</t>
        </is>
      </c>
      <c r="O765" s="3" t="inlineStr">
        <is>
          <t>P0</t>
        </is>
      </c>
      <c r="P765" s="3" t="inlineStr">
        <is>
          <t>Crítico</t>
        </is>
      </c>
      <c r="Q765" s="3" t="inlineStr">
        <is>
          <t>Condicional à ratificação do escopo pós-v1 (ADR-017/018)</t>
        </is>
      </c>
      <c r="R765" s="10" t="inlineStr">
        <is>
          <t>Autor + agente de IA</t>
        </is>
      </c>
      <c r="S765" s="10" t="inlineStr"/>
      <c r="T765" s="11" t="inlineStr"/>
      <c r="U765" s="3" t="inlineStr">
        <is>
          <t>reports/S70/SL-S70-05.md</t>
        </is>
      </c>
      <c r="V765" s="10" t="inlineStr"/>
      <c r="W765" s="10" t="inlineStr"/>
      <c r="X765" s="3">
        <f>IF(N765="Concluído",IF(AND(S765&lt;&gt;"",ISNUMBER(T765),T765&gt;0,V765&lt;&gt;"",AND(OR(X764="OK",X764="DISPENSADO"))),"OK","REVISAR"),IF(N765="Dispensado (ADR)",IF(AND(LEFT(Q765,11)="Condicional",W765&lt;&gt;"",S765&lt;&gt;"",ISNUMBER(T765),T765&gt;0,V765&lt;&gt;""),"DISPENSADO","REVISAR"),"PENDENTE"))</f>
        <v/>
      </c>
      <c r="Y765" s="10" t="inlineStr"/>
    </row>
    <row r="766" ht="112" customHeight="1">
      <c r="A766" s="3" t="n">
        <v>765</v>
      </c>
      <c r="B766" s="3" t="inlineStr">
        <is>
          <t>SL-S70-06</t>
        </is>
      </c>
      <c r="C766" s="9" t="inlineStr">
        <is>
          <t>v2.0.0-beta.1</t>
        </is>
      </c>
      <c r="D766" s="9" t="inlineStr">
        <is>
          <t>S70</t>
        </is>
      </c>
      <c r="E766" s="3" t="inlineStr">
        <is>
          <t>Upstreams / SDK / formato</t>
        </is>
      </c>
      <c r="F766" s="3" t="inlineStr">
        <is>
          <t>Integração</t>
        </is>
      </c>
      <c r="G766" s="3" t="inlineStr">
        <is>
          <t>Implementação</t>
        </is>
      </c>
      <c r="H766" s="3" t="inlineStr">
        <is>
          <t>Remover acoplamentos antigos</t>
        </is>
      </c>
      <c r="I766" s="3" t="inlineStr">
        <is>
          <t>Retirar adapters obsoletos somente após paridade e migração testadas.</t>
        </is>
      </c>
      <c r="J766" s="3" t="inlineStr">
        <is>
          <t>refactors/v2/</t>
        </is>
      </c>
      <c r="K766" s="3" t="inlineStr">
        <is>
          <t>Nenhuma funcionalidade estável desaparece só porque a fachada mudou.</t>
        </is>
      </c>
      <c r="L766" s="3" t="inlineStr">
        <is>
          <t>SL-S70-05</t>
        </is>
      </c>
      <c r="M766" s="3" t="inlineStr">
        <is>
          <t>R01; R04; R22; R30; R32; R33; R35</t>
        </is>
      </c>
      <c r="N766" s="10" t="inlineStr">
        <is>
          <t>Não iniciado</t>
        </is>
      </c>
      <c r="O766" s="3" t="inlineStr">
        <is>
          <t>P0</t>
        </is>
      </c>
      <c r="P766" s="3" t="inlineStr">
        <is>
          <t>Crítico</t>
        </is>
      </c>
      <c r="Q766" s="3" t="inlineStr">
        <is>
          <t>Condicional à ratificação do escopo pós-v1 (ADR-017/018)</t>
        </is>
      </c>
      <c r="R766" s="10" t="inlineStr">
        <is>
          <t>Autor + agente de IA</t>
        </is>
      </c>
      <c r="S766" s="10" t="inlineStr"/>
      <c r="T766" s="11" t="inlineStr"/>
      <c r="U766" s="3" t="inlineStr">
        <is>
          <t>reports/S70/SL-S70-06.md</t>
        </is>
      </c>
      <c r="V766" s="10" t="inlineStr"/>
      <c r="W766" s="10" t="inlineStr"/>
      <c r="X766" s="3">
        <f>IF(N766="Concluído",IF(AND(S766&lt;&gt;"",ISNUMBER(T766),T766&gt;0,V766&lt;&gt;"",AND(OR(X765="OK",X765="DISPENSADO"))),"OK","REVISAR"),IF(N766="Dispensado (ADR)",IF(AND(LEFT(Q766,11)="Condicional",W766&lt;&gt;"",S766&lt;&gt;"",ISNUMBER(T766),T766&gt;0,V766&lt;&gt;""),"DISPENSADO","REVISAR"),"PENDENTE"))</f>
        <v/>
      </c>
      <c r="Y766" s="10" t="inlineStr"/>
    </row>
    <row r="767" ht="112" customHeight="1">
      <c r="A767" s="3" t="n">
        <v>766</v>
      </c>
      <c r="B767" s="3" t="inlineStr">
        <is>
          <t>SL-S70-07</t>
        </is>
      </c>
      <c r="C767" s="9" t="inlineStr">
        <is>
          <t>v2.0.0-beta.1</t>
        </is>
      </c>
      <c r="D767" s="9" t="inlineStr">
        <is>
          <t>S70</t>
        </is>
      </c>
      <c r="E767" s="3" t="inlineStr">
        <is>
          <t>Upstreams / SDK / formato</t>
        </is>
      </c>
      <c r="F767" s="3" t="inlineStr">
        <is>
          <t>Integração</t>
        </is>
      </c>
      <c r="G767" s="3" t="inlineStr">
        <is>
          <t>Implementação</t>
        </is>
      </c>
      <c r="H767" s="3" t="inlineStr">
        <is>
          <t>Versionar formato apenas se necessário</t>
        </is>
      </c>
      <c r="I767" s="3" t="inlineStr">
        <is>
          <t>Implementar migração real quando houver mudança autoral aprovada.</t>
        </is>
      </c>
      <c r="J767" s="3" t="inlineStr">
        <is>
          <t>crates/migrations/src/v2.rs</t>
        </is>
      </c>
      <c r="K767" s="3" t="inlineStr">
        <is>
          <t>Número v2.0 do app não força alteração gratuita no formato do Vault.</t>
        </is>
      </c>
      <c r="L767" s="3" t="inlineStr">
        <is>
          <t>SL-S70-06</t>
        </is>
      </c>
      <c r="M767" s="3" t="inlineStr">
        <is>
          <t>R01; R04; R22; R30; R32; R33; R35</t>
        </is>
      </c>
      <c r="N767" s="10" t="inlineStr">
        <is>
          <t>Não iniciado</t>
        </is>
      </c>
      <c r="O767" s="3" t="inlineStr">
        <is>
          <t>P0</t>
        </is>
      </c>
      <c r="P767" s="3" t="inlineStr">
        <is>
          <t>Crítico</t>
        </is>
      </c>
      <c r="Q767" s="3" t="inlineStr">
        <is>
          <t>Condicional à ratificação do escopo pós-v1 (ADR-017/018)</t>
        </is>
      </c>
      <c r="R767" s="10" t="inlineStr">
        <is>
          <t>Autor + agente de IA</t>
        </is>
      </c>
      <c r="S767" s="10" t="inlineStr"/>
      <c r="T767" s="11" t="inlineStr"/>
      <c r="U767" s="3" t="inlineStr">
        <is>
          <t>reports/S70/SL-S70-07.md</t>
        </is>
      </c>
      <c r="V767" s="10" t="inlineStr"/>
      <c r="W767" s="10" t="inlineStr"/>
      <c r="X767" s="3">
        <f>IF(N767="Concluído",IF(AND(S767&lt;&gt;"",ISNUMBER(T767),T767&gt;0,V767&lt;&gt;"",AND(OR(X766="OK",X766="DISPENSADO"))),"OK","REVISAR"),IF(N767="Dispensado (ADR)",IF(AND(LEFT(Q767,11)="Condicional",W767&lt;&gt;"",S767&lt;&gt;"",ISNUMBER(T767),T767&gt;0,V767&lt;&gt;""),"DISPENSADO","REVISAR"),"PENDENTE"))</f>
        <v/>
      </c>
      <c r="Y767" s="10" t="inlineStr"/>
    </row>
    <row r="768" ht="112" customHeight="1">
      <c r="A768" s="3" t="n">
        <v>767</v>
      </c>
      <c r="B768" s="3" t="inlineStr">
        <is>
          <t>SL-S70-08</t>
        </is>
      </c>
      <c r="C768" s="9" t="inlineStr">
        <is>
          <t>v2.0.0-beta.1</t>
        </is>
      </c>
      <c r="D768" s="9" t="inlineStr">
        <is>
          <t>S70</t>
        </is>
      </c>
      <c r="E768" s="3" t="inlineStr">
        <is>
          <t>Upstreams / SDK / formato</t>
        </is>
      </c>
      <c r="F768" s="3" t="inlineStr">
        <is>
          <t>Integração</t>
        </is>
      </c>
      <c r="G768" s="3" t="inlineStr">
        <is>
          <t>Teste</t>
        </is>
      </c>
      <c r="H768" s="3" t="inlineStr">
        <is>
          <t>Rodar pacote completo de conformidade</t>
        </is>
      </c>
      <c r="I768" s="3" t="inlineStr">
        <is>
          <t>Testar providers internos como se fossem integrações externas.</t>
        </is>
      </c>
      <c r="J768" s="3" t="inlineStr">
        <is>
          <t>reports/v2-beta/provider-conformance.json</t>
        </is>
      </c>
      <c r="K768" s="3" t="inlineStr">
        <is>
          <t>Nenhum provider privilegiado ignora regras que seriam exigidas de um terceiro.</t>
        </is>
      </c>
      <c r="L768" s="3" t="inlineStr">
        <is>
          <t>SL-S70-07</t>
        </is>
      </c>
      <c r="M768" s="3" t="inlineStr">
        <is>
          <t>R01; R04; R22; R30; R32; R33; R35</t>
        </is>
      </c>
      <c r="N768" s="10" t="inlineStr">
        <is>
          <t>Não iniciado</t>
        </is>
      </c>
      <c r="O768" s="3" t="inlineStr">
        <is>
          <t>P0</t>
        </is>
      </c>
      <c r="P768" s="3" t="inlineStr">
        <is>
          <t>Crítico</t>
        </is>
      </c>
      <c r="Q768" s="3" t="inlineStr">
        <is>
          <t>Condicional à ratificação do escopo pós-v1 (ADR-017/018)</t>
        </is>
      </c>
      <c r="R768" s="10" t="inlineStr">
        <is>
          <t>Autor + agente de IA</t>
        </is>
      </c>
      <c r="S768" s="10" t="inlineStr"/>
      <c r="T768" s="11" t="inlineStr"/>
      <c r="U768" s="3" t="inlineStr">
        <is>
          <t>reports/S70/SL-S70-08.md</t>
        </is>
      </c>
      <c r="V768" s="10" t="inlineStr"/>
      <c r="W768" s="10" t="inlineStr"/>
      <c r="X768" s="3">
        <f>IF(N768="Concluído",IF(AND(S768&lt;&gt;"",ISNUMBER(T768),T768&gt;0,V768&lt;&gt;"",AND(OR(X767="OK",X767="DISPENSADO"))),"OK","REVISAR"),IF(N768="Dispensado (ADR)",IF(AND(LEFT(Q768,11)="Condicional",W768&lt;&gt;"",S768&lt;&gt;"",ISNUMBER(T768),T768&gt;0,V768&lt;&gt;""),"DISPENSADO","REVISAR"),"PENDENTE"))</f>
        <v/>
      </c>
      <c r="Y768" s="10" t="inlineStr"/>
    </row>
    <row r="769" ht="112" customHeight="1">
      <c r="A769" s="3" t="n">
        <v>768</v>
      </c>
      <c r="B769" s="3" t="inlineStr">
        <is>
          <t>SL-S70-09</t>
        </is>
      </c>
      <c r="C769" s="9" t="inlineStr">
        <is>
          <t>v2.0.0-beta.1</t>
        </is>
      </c>
      <c r="D769" s="9" t="inlineStr">
        <is>
          <t>S70</t>
        </is>
      </c>
      <c r="E769" s="3" t="inlineStr">
        <is>
          <t>Upstreams / SDK / formato</t>
        </is>
      </c>
      <c r="F769" s="3" t="inlineStr">
        <is>
          <t>Integração</t>
        </is>
      </c>
      <c r="G769" s="3" t="inlineStr">
        <is>
          <t>Licença</t>
        </is>
      </c>
      <c r="H769" s="3" t="inlineStr">
        <is>
          <t>Fechar inventário beta</t>
        </is>
      </c>
      <c r="I769" s="3" t="inlineStr">
        <is>
          <t>Atualizar SBOM, fontes, modelos e manifests de extensão por alvo.</t>
        </is>
      </c>
      <c r="J769" s="3" t="inlineStr">
        <is>
          <t>compliance/releases/v2.0.0-beta.1/</t>
        </is>
      </c>
      <c r="K769" s="3" t="inlineStr">
        <is>
          <t>Pacotes têm origem/licença correspondente à revisão efetivamente construída.</t>
        </is>
      </c>
      <c r="L769" s="3" t="inlineStr">
        <is>
          <t>SL-S70-08</t>
        </is>
      </c>
      <c r="M769" s="3" t="inlineStr">
        <is>
          <t>R01; R04; R22; R30; R32; R33; R35</t>
        </is>
      </c>
      <c r="N769" s="10" t="inlineStr">
        <is>
          <t>Não iniciado</t>
        </is>
      </c>
      <c r="O769" s="3" t="inlineStr">
        <is>
          <t>P0</t>
        </is>
      </c>
      <c r="P769" s="3" t="inlineStr">
        <is>
          <t>Crítico</t>
        </is>
      </c>
      <c r="Q769" s="3" t="inlineStr">
        <is>
          <t>Condicional à ratificação do escopo pós-v1 (ADR-017/018)</t>
        </is>
      </c>
      <c r="R769" s="10" t="inlineStr">
        <is>
          <t>Autor</t>
        </is>
      </c>
      <c r="S769" s="10" t="inlineStr"/>
      <c r="T769" s="11" t="inlineStr"/>
      <c r="U769" s="3" t="inlineStr">
        <is>
          <t>reports/S70/SL-S70-09.md</t>
        </is>
      </c>
      <c r="V769" s="10" t="inlineStr"/>
      <c r="W769" s="10" t="inlineStr"/>
      <c r="X769" s="3">
        <f>IF(N769="Concluído",IF(AND(S769&lt;&gt;"",ISNUMBER(T769),T769&gt;0,V769&lt;&gt;"",AND(OR(X768="OK",X768="DISPENSADO"))),"OK","REVISAR"),IF(N769="Dispensado (ADR)",IF(AND(LEFT(Q769,11)="Condicional",W769&lt;&gt;"",S769&lt;&gt;"",ISNUMBER(T769),T769&gt;0,V769&lt;&gt;""),"DISPENSADO","REVISAR"),"PENDENTE"))</f>
        <v/>
      </c>
      <c r="Y769" s="10" t="inlineStr"/>
    </row>
    <row r="770" ht="112" customHeight="1">
      <c r="A770" s="3" t="n">
        <v>769</v>
      </c>
      <c r="B770" s="3" t="inlineStr">
        <is>
          <t>SL-S70-10</t>
        </is>
      </c>
      <c r="C770" s="9" t="inlineStr">
        <is>
          <t>v2.0.0-beta.1</t>
        </is>
      </c>
      <c r="D770" s="9" t="inlineStr">
        <is>
          <t>S70</t>
        </is>
      </c>
      <c r="E770" s="3" t="inlineStr">
        <is>
          <t>Upstreams / SDK / formato</t>
        </is>
      </c>
      <c r="F770" s="3" t="inlineStr">
        <is>
          <t>Integração</t>
        </is>
      </c>
      <c r="G770" s="3" t="inlineStr">
        <is>
          <t>Release</t>
        </is>
      </c>
      <c r="H770" s="3" t="inlineStr">
        <is>
          <t>Publicar beta v2</t>
        </is>
      </c>
      <c r="I770" s="3" t="inlineStr">
        <is>
          <t>Documentar SDK, limites, migração e retorno à linha v1 suportada.</t>
        </is>
      </c>
      <c r="J770" s="3" t="inlineStr">
        <is>
          <t>release/v2.0.0-beta.1/</t>
        </is>
      </c>
      <c r="K770" s="3" t="inlineStr">
        <is>
          <t>Beta exige backup/consentimento quando houver mudança de formato; não usa Vault único sem proteção.</t>
        </is>
      </c>
      <c r="L770" s="3" t="inlineStr">
        <is>
          <t>SL-S70-09</t>
        </is>
      </c>
      <c r="M770" s="3" t="inlineStr">
        <is>
          <t>R01; R04; R22; R30; R32; R33; R35</t>
        </is>
      </c>
      <c r="N770" s="10" t="inlineStr">
        <is>
          <t>Não iniciado</t>
        </is>
      </c>
      <c r="O770" s="3" t="inlineStr">
        <is>
          <t>P0</t>
        </is>
      </c>
      <c r="P770" s="3" t="inlineStr">
        <is>
          <t>Crítico</t>
        </is>
      </c>
      <c r="Q770" s="3" t="inlineStr">
        <is>
          <t>Condicional à ratificação do escopo pós-v1 (ADR-017/018)</t>
        </is>
      </c>
      <c r="R770" s="10" t="inlineStr">
        <is>
          <t>Autor</t>
        </is>
      </c>
      <c r="S770" s="10" t="inlineStr"/>
      <c r="T770" s="11" t="inlineStr"/>
      <c r="U770" s="3" t="inlineStr">
        <is>
          <t>reports/S70/SL-S70-10.md</t>
        </is>
      </c>
      <c r="V770" s="10" t="inlineStr"/>
      <c r="W770" s="10" t="inlineStr"/>
      <c r="X770" s="3">
        <f>IF(N770="Concluído",IF(AND(S770&lt;&gt;"",ISNUMBER(T770),T770&gt;0,V770&lt;&gt;"",AND(OR(X769="OK",X769="DISPENSADO"))),"OK","REVISAR"),IF(N770="Dispensado (ADR)",IF(AND(LEFT(Q770,11)="Condicional",W770&lt;&gt;"",S770&lt;&gt;"",ISNUMBER(T770),T770&gt;0,V770&lt;&gt;""),"DISPENSADO","REVISAR"),"PENDENTE"))</f>
        <v/>
      </c>
      <c r="Y770" s="10" t="inlineStr"/>
    </row>
    <row r="771" ht="98" customHeight="1">
      <c r="A771" s="3" t="n">
        <v>770</v>
      </c>
      <c r="B771" s="12" t="inlineStr">
        <is>
          <t>SL-S70-GATE</t>
        </is>
      </c>
      <c r="C771" s="9" t="inlineStr">
        <is>
          <t>v2.0.0-beta.1</t>
        </is>
      </c>
      <c r="D771" s="9" t="inlineStr">
        <is>
          <t>S70</t>
        </is>
      </c>
      <c r="E771" s="3" t="inlineStr">
        <is>
          <t>Upstreams / SDK / formato</t>
        </is>
      </c>
      <c r="F771" s="3" t="inlineStr">
        <is>
          <t>Aceite humano</t>
        </is>
      </c>
      <c r="G771" s="12" t="inlineStr">
        <is>
          <t>Gate</t>
        </is>
      </c>
      <c r="H771" s="12" t="inlineStr">
        <is>
          <t>Aceitar S70 — Atualizar recortes e consolidar beta v2.0</t>
        </is>
      </c>
      <c r="I771" s="3" t="inlineStr">
        <is>
          <t>Revisar as dez tarefas, executar a demonstração do sprint, confrontar critérios e registrar decisão go/no-go.</t>
        </is>
      </c>
      <c r="J771" s="3" t="inlineStr">
        <is>
          <t>reports/S70/acceptance.md</t>
        </is>
      </c>
      <c r="K771" s="3" t="inlineStr">
        <is>
          <t>Executar o fluxo completo usando adapters sob SDK e manter dados v1.x intactos. Todas as dependências aceitas; evidências vinculadas a revisão/ambiente; nenhum blocker de integridade/segurança.</t>
        </is>
      </c>
      <c r="L771" s="3" t="inlineStr">
        <is>
          <t>SL-S70-01; SL-S70-02; SL-S70-03; SL-S70-04; SL-S70-05; SL-S70-06; SL-S70-07; SL-S70-08; SL-S70-09; SL-S70-10</t>
        </is>
      </c>
      <c r="M771" s="3" t="inlineStr">
        <is>
          <t>R01; R04; R22; R30; R32; R33; R35</t>
        </is>
      </c>
      <c r="N771" s="10" t="inlineStr">
        <is>
          <t>Não iniciado</t>
        </is>
      </c>
      <c r="O771" s="3" t="inlineStr">
        <is>
          <t>P0</t>
        </is>
      </c>
      <c r="P771" s="3" t="inlineStr">
        <is>
          <t>Crítico</t>
        </is>
      </c>
      <c r="Q771" s="3" t="inlineStr">
        <is>
          <t>Obrigatória para fechar a versão aprovada</t>
        </is>
      </c>
      <c r="R771" s="10" t="inlineStr">
        <is>
          <t>Autor</t>
        </is>
      </c>
      <c r="S771" s="10" t="inlineStr"/>
      <c r="T771" s="11" t="inlineStr"/>
      <c r="U771" s="3" t="inlineStr">
        <is>
          <t>reports/S70/acceptance.md</t>
        </is>
      </c>
      <c r="V771" s="10" t="inlineStr"/>
      <c r="W771" s="10" t="inlineStr"/>
      <c r="X771" s="3">
        <f>IF(N771="Concluído",IF(AND(S771&lt;&gt;"",ISNUMBER(T771),T771&gt;0,V771&lt;&gt;"",AND(OR(X761="OK",X761="DISPENSADO"),OR(X762="OK",X762="DISPENSADO"),OR(X763="OK",X763="DISPENSADO"),OR(X764="OK",X764="DISPENSADO"),OR(X765="OK",X765="DISPENSADO"),OR(X766="OK",X766="DISPENSADO"),OR(X767="OK",X767="DISPENSADO"),OR(X768="OK",X768="DISPENSADO"),OR(X769="OK",X769="DISPENSADO"),OR(X770="OK",X770="DISPENSADO"))),"OK","REVISAR"),IF(N771="Dispensado (ADR)",IF(AND(LEFT(Q771,11)="Condicional",W771&lt;&gt;"",S771&lt;&gt;"",ISNUMBER(T771),T771&gt;0,V771&lt;&gt;""),"DISPENSADO","REVISAR"),"PENDENTE"))</f>
        <v/>
      </c>
      <c r="Y771" s="10" t="inlineStr"/>
    </row>
    <row r="772" ht="112" customHeight="1">
      <c r="A772" s="3" t="n">
        <v>771</v>
      </c>
      <c r="B772" s="3" t="inlineStr">
        <is>
          <t>SL-S71-01</t>
        </is>
      </c>
      <c r="C772" s="9" t="inlineStr">
        <is>
          <t>v2.0.0-rc.1</t>
        </is>
      </c>
      <c r="D772" s="9" t="inlineStr">
        <is>
          <t>S71</t>
        </is>
      </c>
      <c r="E772" s="3" t="inlineStr">
        <is>
          <t>Compatibilidade / RC v2</t>
        </is>
      </c>
      <c r="F772" s="3" t="inlineStr">
        <is>
          <t>Próprio</t>
        </is>
      </c>
      <c r="G772" s="3" t="inlineStr">
        <is>
          <t>Teste</t>
        </is>
      </c>
      <c r="H772" s="3" t="inlineStr">
        <is>
          <t>Montar matriz histórica</t>
        </is>
      </c>
      <c r="I772" s="3" t="inlineStr">
        <is>
          <t>Incluir v1.0, v1.1, v1.2 e estados de recursos opcionais.</t>
        </is>
      </c>
      <c r="J772" s="3" t="inlineStr">
        <is>
          <t>tests/migrations/v2-matrix.yaml</t>
        </is>
      </c>
      <c r="K772" s="3" t="inlineStr">
        <is>
          <t>Cada origem possui fixture e expectativa de upgrade/downgrade/export explícita.</t>
        </is>
      </c>
      <c r="L772" s="3" t="inlineStr">
        <is>
          <t>SL-S70-GATE</t>
        </is>
      </c>
      <c r="M772" s="3" t="inlineStr">
        <is>
          <t>R01; R02; R05; R06; R07; R09; R32; R35</t>
        </is>
      </c>
      <c r="N772" s="10" t="inlineStr">
        <is>
          <t>Não iniciado</t>
        </is>
      </c>
      <c r="O772" s="3" t="inlineStr">
        <is>
          <t>P0</t>
        </is>
      </c>
      <c r="P772" s="3" t="inlineStr">
        <is>
          <t>Crítico</t>
        </is>
      </c>
      <c r="Q772" s="3" t="inlineStr">
        <is>
          <t>Condicional à ratificação do escopo pós-v1 (ADR-017/018)</t>
        </is>
      </c>
      <c r="R772" s="10" t="inlineStr">
        <is>
          <t>Autor + agente de IA</t>
        </is>
      </c>
      <c r="S772" s="10" t="inlineStr"/>
      <c r="T772" s="11" t="inlineStr"/>
      <c r="U772" s="3" t="inlineStr">
        <is>
          <t>reports/S71/SL-S71-01.md</t>
        </is>
      </c>
      <c r="V772" s="10" t="inlineStr"/>
      <c r="W772" s="10" t="inlineStr"/>
      <c r="X772" s="3">
        <f>IF(N772="Concluído",IF(AND(S772&lt;&gt;"",ISNUMBER(T772),T772&gt;0,V772&lt;&gt;"",AND(OR(X771="OK",X771="DISPENSADO"))),"OK","REVISAR"),IF(N772="Dispensado (ADR)",IF(AND(LEFT(Q772,11)="Condicional",W772&lt;&gt;"",S772&lt;&gt;"",ISNUMBER(T772),T772&gt;0,V772&lt;&gt;""),"DISPENSADO","REVISAR"),"PENDENTE"))</f>
        <v/>
      </c>
      <c r="Y772" s="10" t="inlineStr"/>
    </row>
    <row r="773" ht="112" customHeight="1">
      <c r="A773" s="3" t="n">
        <v>772</v>
      </c>
      <c r="B773" s="3" t="inlineStr">
        <is>
          <t>SL-S71-02</t>
        </is>
      </c>
      <c r="C773" s="9" t="inlineStr">
        <is>
          <t>v2.0.0-rc.1</t>
        </is>
      </c>
      <c r="D773" s="9" t="inlineStr">
        <is>
          <t>S71</t>
        </is>
      </c>
      <c r="E773" s="3" t="inlineStr">
        <is>
          <t>Compatibilidade / RC v2</t>
        </is>
      </c>
      <c r="F773" s="3" t="inlineStr">
        <is>
          <t>Próprio</t>
        </is>
      </c>
      <c r="G773" s="3" t="inlineStr">
        <is>
          <t>Teste</t>
        </is>
      </c>
      <c r="H773" s="3" t="inlineStr">
        <is>
          <t>Executar upgrades interrompidos</t>
        </is>
      </c>
      <c r="I773" s="3" t="inlineStr">
        <is>
          <t>Matar processo, simular disco cheio e pacote faltante durante migração.</t>
        </is>
      </c>
      <c r="J773" s="3" t="inlineStr">
        <is>
          <t>reports/v2-rc/upgrade-faults.json</t>
        </is>
      </c>
      <c r="K773" s="3" t="inlineStr">
        <is>
          <t>Estado pode ser recuperado sem confiar em índice vetorial ou extensão instalada.</t>
        </is>
      </c>
      <c r="L773" s="3" t="inlineStr">
        <is>
          <t>SL-S71-01</t>
        </is>
      </c>
      <c r="M773" s="3" t="inlineStr">
        <is>
          <t>R01; R02; R05; R06; R07; R09; R32; R35</t>
        </is>
      </c>
      <c r="N773" s="10" t="inlineStr">
        <is>
          <t>Não iniciado</t>
        </is>
      </c>
      <c r="O773" s="3" t="inlineStr">
        <is>
          <t>P0</t>
        </is>
      </c>
      <c r="P773" s="3" t="inlineStr">
        <is>
          <t>Crítico</t>
        </is>
      </c>
      <c r="Q773" s="3" t="inlineStr">
        <is>
          <t>Condicional à ratificação do escopo pós-v1 (ADR-017/018)</t>
        </is>
      </c>
      <c r="R773" s="10" t="inlineStr">
        <is>
          <t>Autor + agente de IA</t>
        </is>
      </c>
      <c r="S773" s="10" t="inlineStr"/>
      <c r="T773" s="11" t="inlineStr"/>
      <c r="U773" s="3" t="inlineStr">
        <is>
          <t>reports/S71/SL-S71-02.md</t>
        </is>
      </c>
      <c r="V773" s="10" t="inlineStr"/>
      <c r="W773" s="10" t="inlineStr"/>
      <c r="X773" s="3">
        <f>IF(N773="Concluído",IF(AND(S773&lt;&gt;"",ISNUMBER(T773),T773&gt;0,V773&lt;&gt;"",AND(OR(X772="OK",X772="DISPENSADO"))),"OK","REVISAR"),IF(N773="Dispensado (ADR)",IF(AND(LEFT(Q773,11)="Condicional",W773&lt;&gt;"",S773&lt;&gt;"",ISNUMBER(T773),T773&gt;0,V773&lt;&gt;""),"DISPENSADO","REVISAR"),"PENDENTE"))</f>
        <v/>
      </c>
      <c r="Y773" s="10" t="inlineStr"/>
    </row>
    <row r="774" ht="112" customHeight="1">
      <c r="A774" s="3" t="n">
        <v>773</v>
      </c>
      <c r="B774" s="3" t="inlineStr">
        <is>
          <t>SL-S71-03</t>
        </is>
      </c>
      <c r="C774" s="9" t="inlineStr">
        <is>
          <t>v2.0.0-rc.1</t>
        </is>
      </c>
      <c r="D774" s="9" t="inlineStr">
        <is>
          <t>S71</t>
        </is>
      </c>
      <c r="E774" s="3" t="inlineStr">
        <is>
          <t>Compatibilidade / RC v2</t>
        </is>
      </c>
      <c r="F774" s="3" t="inlineStr">
        <is>
          <t>Próprio</t>
        </is>
      </c>
      <c r="G774" s="3" t="inlineStr">
        <is>
          <t>Teste</t>
        </is>
      </c>
      <c r="H774" s="3" t="inlineStr">
        <is>
          <t>Testar rollback e export de emergência</t>
        </is>
      </c>
      <c r="I774" s="3" t="inlineStr">
        <is>
          <t>Validar retorno suportado e alternativa quando downgrade não for possível.</t>
        </is>
      </c>
      <c r="J774" s="3" t="inlineStr">
        <is>
          <t>reports/v2-rc/rollback.json</t>
        </is>
      </c>
      <c r="K774" s="3" t="inlineStr">
        <is>
          <t>Limitações são mostradas antes de migrar, não descobertas após perda de acesso.</t>
        </is>
      </c>
      <c r="L774" s="3" t="inlineStr">
        <is>
          <t>SL-S71-02</t>
        </is>
      </c>
      <c r="M774" s="3" t="inlineStr">
        <is>
          <t>R01; R02; R05; R06; R07; R09; R32; R35</t>
        </is>
      </c>
      <c r="N774" s="10" t="inlineStr">
        <is>
          <t>Não iniciado</t>
        </is>
      </c>
      <c r="O774" s="3" t="inlineStr">
        <is>
          <t>P0</t>
        </is>
      </c>
      <c r="P774" s="3" t="inlineStr">
        <is>
          <t>Crítico</t>
        </is>
      </c>
      <c r="Q774" s="3" t="inlineStr">
        <is>
          <t>Condicional à ratificação do escopo pós-v1 (ADR-017/018)</t>
        </is>
      </c>
      <c r="R774" s="10" t="inlineStr">
        <is>
          <t>Autor + agente de IA</t>
        </is>
      </c>
      <c r="S774" s="10" t="inlineStr"/>
      <c r="T774" s="11" t="inlineStr"/>
      <c r="U774" s="3" t="inlineStr">
        <is>
          <t>reports/S71/SL-S71-03.md</t>
        </is>
      </c>
      <c r="V774" s="10" t="inlineStr"/>
      <c r="W774" s="10" t="inlineStr"/>
      <c r="X774" s="3">
        <f>IF(N774="Concluído",IF(AND(S774&lt;&gt;"",ISNUMBER(T774),T774&gt;0,V774&lt;&gt;"",AND(OR(X773="OK",X773="DISPENSADO"))),"OK","REVISAR"),IF(N774="Dispensado (ADR)",IF(AND(LEFT(Q774,11)="Condicional",W774&lt;&gt;"",S774&lt;&gt;"",ISNUMBER(T774),T774&gt;0,V774&lt;&gt;""),"DISPENSADO","REVISAR"),"PENDENTE"))</f>
        <v/>
      </c>
      <c r="Y774" s="10" t="inlineStr"/>
    </row>
    <row r="775" ht="112" customHeight="1">
      <c r="A775" s="3" t="n">
        <v>774</v>
      </c>
      <c r="B775" s="3" t="inlineStr">
        <is>
          <t>SL-S71-04</t>
        </is>
      </c>
      <c r="C775" s="9" t="inlineStr">
        <is>
          <t>v2.0.0-rc.1</t>
        </is>
      </c>
      <c r="D775" s="9" t="inlineStr">
        <is>
          <t>S71</t>
        </is>
      </c>
      <c r="E775" s="3" t="inlineStr">
        <is>
          <t>Compatibilidade / RC v2</t>
        </is>
      </c>
      <c r="F775" s="3" t="inlineStr">
        <is>
          <t>Próprio</t>
        </is>
      </c>
      <c r="G775" s="3" t="inlineStr">
        <is>
          <t>Teste</t>
        </is>
      </c>
      <c r="H775" s="3" t="inlineStr">
        <is>
          <t>Repetir prova File-as-Truth</t>
        </is>
      </c>
      <c r="I775" s="3" t="inlineStr">
        <is>
          <t>Apagar índices, caches de extensão e stores internos dos motores.</t>
        </is>
      </c>
      <c r="J775" s="3" t="inlineStr">
        <is>
          <t>reports/v2-rc/file-truth.json</t>
        </is>
      </c>
      <c r="K775" s="3" t="inlineStr">
        <is>
          <t>Autoria, citações, topologia e histórico aprovados continuam recuperáveis.</t>
        </is>
      </c>
      <c r="L775" s="3" t="inlineStr">
        <is>
          <t>SL-S71-03</t>
        </is>
      </c>
      <c r="M775" s="3" t="inlineStr">
        <is>
          <t>R01; R02; R05; R06; R07; R09; R32; R35</t>
        </is>
      </c>
      <c r="N775" s="10" t="inlineStr">
        <is>
          <t>Não iniciado</t>
        </is>
      </c>
      <c r="O775" s="3" t="inlineStr">
        <is>
          <t>P0</t>
        </is>
      </c>
      <c r="P775" s="3" t="inlineStr">
        <is>
          <t>Crítico</t>
        </is>
      </c>
      <c r="Q775" s="3" t="inlineStr">
        <is>
          <t>Condicional à ratificação do escopo pós-v1 (ADR-017/018)</t>
        </is>
      </c>
      <c r="R775" s="10" t="inlineStr">
        <is>
          <t>Autor + agente de IA</t>
        </is>
      </c>
      <c r="S775" s="10" t="inlineStr"/>
      <c r="T775" s="11" t="inlineStr"/>
      <c r="U775" s="3" t="inlineStr">
        <is>
          <t>reports/S71/SL-S71-04.md</t>
        </is>
      </c>
      <c r="V775" s="10" t="inlineStr"/>
      <c r="W775" s="10" t="inlineStr"/>
      <c r="X775" s="3">
        <f>IF(N775="Concluído",IF(AND(S775&lt;&gt;"",ISNUMBER(T775),T775&gt;0,V775&lt;&gt;"",AND(OR(X774="OK",X774="DISPENSADO"))),"OK","REVISAR"),IF(N775="Dispensado (ADR)",IF(AND(LEFT(Q775,11)="Condicional",W775&lt;&gt;"",S775&lt;&gt;"",ISNUMBER(T775),T775&gt;0,V775&lt;&gt;""),"DISPENSADO","REVISAR"),"PENDENTE"))</f>
        <v/>
      </c>
      <c r="Y775" s="10" t="inlineStr"/>
    </row>
    <row r="776" ht="112" customHeight="1">
      <c r="A776" s="3" t="n">
        <v>775</v>
      </c>
      <c r="B776" s="3" t="inlineStr">
        <is>
          <t>SL-S71-05</t>
        </is>
      </c>
      <c r="C776" s="9" t="inlineStr">
        <is>
          <t>v2.0.0-rc.1</t>
        </is>
      </c>
      <c r="D776" s="9" t="inlineStr">
        <is>
          <t>S71</t>
        </is>
      </c>
      <c r="E776" s="3" t="inlineStr">
        <is>
          <t>Compatibilidade / RC v2</t>
        </is>
      </c>
      <c r="F776" s="3" t="inlineStr">
        <is>
          <t>Próprio</t>
        </is>
      </c>
      <c r="G776" s="3" t="inlineStr">
        <is>
          <t>Teste</t>
        </is>
      </c>
      <c r="H776" s="3" t="inlineStr">
        <is>
          <t>Repetir isolamento completo</t>
        </is>
      </c>
      <c r="I776" s="3" t="inlineStr">
        <is>
          <t>Incluir extensões, novos backends e políticas por plataforma.</t>
        </is>
      </c>
      <c r="J776" s="3" t="inlineStr">
        <is>
          <t>reports/v2-rc/security.json</t>
        </is>
      </c>
      <c r="K776" s="3" t="inlineStr">
        <is>
          <t>Refatoração do SDK não abriu rota alternativa para filesystem/rede.</t>
        </is>
      </c>
      <c r="L776" s="3" t="inlineStr">
        <is>
          <t>SL-S71-04</t>
        </is>
      </c>
      <c r="M776" s="3" t="inlineStr">
        <is>
          <t>R01; R02; R05; R06; R07; R09; R32; R35</t>
        </is>
      </c>
      <c r="N776" s="10" t="inlineStr">
        <is>
          <t>Não iniciado</t>
        </is>
      </c>
      <c r="O776" s="3" t="inlineStr">
        <is>
          <t>P0</t>
        </is>
      </c>
      <c r="P776" s="3" t="inlineStr">
        <is>
          <t>Crítico</t>
        </is>
      </c>
      <c r="Q776" s="3" t="inlineStr">
        <is>
          <t>Condicional à ratificação do escopo pós-v1 (ADR-017/018)</t>
        </is>
      </c>
      <c r="R776" s="10" t="inlineStr">
        <is>
          <t>Autor + agente de IA</t>
        </is>
      </c>
      <c r="S776" s="10" t="inlineStr"/>
      <c r="T776" s="11" t="inlineStr"/>
      <c r="U776" s="3" t="inlineStr">
        <is>
          <t>reports/S71/SL-S71-05.md</t>
        </is>
      </c>
      <c r="V776" s="10" t="inlineStr"/>
      <c r="W776" s="10" t="inlineStr"/>
      <c r="X776" s="3">
        <f>IF(N776="Concluído",IF(AND(S776&lt;&gt;"",ISNUMBER(T776),T776&gt;0,V776&lt;&gt;"",AND(OR(X775="OK",X775="DISPENSADO"))),"OK","REVISAR"),IF(N776="Dispensado (ADR)",IF(AND(LEFT(Q776,11)="Condicional",W776&lt;&gt;"",S776&lt;&gt;"",ISNUMBER(T776),T776&gt;0,V776&lt;&gt;""),"DISPENSADO","REVISAR"),"PENDENTE"))</f>
        <v/>
      </c>
      <c r="Y776" s="10" t="inlineStr"/>
    </row>
    <row r="777" ht="112" customHeight="1">
      <c r="A777" s="3" t="n">
        <v>776</v>
      </c>
      <c r="B777" s="3" t="inlineStr">
        <is>
          <t>SL-S71-06</t>
        </is>
      </c>
      <c r="C777" s="9" t="inlineStr">
        <is>
          <t>v2.0.0-rc.1</t>
        </is>
      </c>
      <c r="D777" s="9" t="inlineStr">
        <is>
          <t>S71</t>
        </is>
      </c>
      <c r="E777" s="3" t="inlineStr">
        <is>
          <t>Compatibilidade / RC v2</t>
        </is>
      </c>
      <c r="F777" s="3" t="inlineStr">
        <is>
          <t>Próprio</t>
        </is>
      </c>
      <c r="G777" s="3" t="inlineStr">
        <is>
          <t>Teste</t>
        </is>
      </c>
      <c r="H777" s="3" t="inlineStr">
        <is>
          <t>Repetir offline completo</t>
        </is>
      </c>
      <c r="I777" s="3" t="inlineStr">
        <is>
          <t>Provisionar pacotes e usar todos os caminhos locais homologados.</t>
        </is>
      </c>
      <c r="J777" s="3" t="inlineStr">
        <is>
          <t>reports/v2-rc/offline.json</t>
        </is>
      </c>
      <c r="K777" s="3" t="inlineStr">
        <is>
          <t>Extensão sem rede não tenta instalar/download por conta própria.</t>
        </is>
      </c>
      <c r="L777" s="3" t="inlineStr">
        <is>
          <t>SL-S71-05</t>
        </is>
      </c>
      <c r="M777" s="3" t="inlineStr">
        <is>
          <t>R01; R02; R05; R06; R07; R09; R32; R35</t>
        </is>
      </c>
      <c r="N777" s="10" t="inlineStr">
        <is>
          <t>Não iniciado</t>
        </is>
      </c>
      <c r="O777" s="3" t="inlineStr">
        <is>
          <t>P0</t>
        </is>
      </c>
      <c r="P777" s="3" t="inlineStr">
        <is>
          <t>Crítico</t>
        </is>
      </c>
      <c r="Q777" s="3" t="inlineStr">
        <is>
          <t>Condicional à ratificação do escopo pós-v1 (ADR-017/018)</t>
        </is>
      </c>
      <c r="R777" s="10" t="inlineStr">
        <is>
          <t>Autor + agente de IA</t>
        </is>
      </c>
      <c r="S777" s="10" t="inlineStr"/>
      <c r="T777" s="11" t="inlineStr"/>
      <c r="U777" s="3" t="inlineStr">
        <is>
          <t>reports/S71/SL-S71-06.md</t>
        </is>
      </c>
      <c r="V777" s="10" t="inlineStr"/>
      <c r="W777" s="10" t="inlineStr"/>
      <c r="X777" s="3">
        <f>IF(N777="Concluído",IF(AND(S777&lt;&gt;"",ISNUMBER(T777),T777&gt;0,V777&lt;&gt;"",AND(OR(X776="OK",X776="DISPENSADO"))),"OK","REVISAR"),IF(N777="Dispensado (ADR)",IF(AND(LEFT(Q777,11)="Condicional",W777&lt;&gt;"",S777&lt;&gt;"",ISNUMBER(T777),T777&gt;0,V777&lt;&gt;""),"DISPENSADO","REVISAR"),"PENDENTE"))</f>
        <v/>
      </c>
      <c r="Y777" s="10" t="inlineStr"/>
    </row>
    <row r="778" ht="112" customHeight="1">
      <c r="A778" s="3" t="n">
        <v>777</v>
      </c>
      <c r="B778" s="3" t="inlineStr">
        <is>
          <t>SL-S71-07</t>
        </is>
      </c>
      <c r="C778" s="9" t="inlineStr">
        <is>
          <t>v2.0.0-rc.1</t>
        </is>
      </c>
      <c r="D778" s="9" t="inlineStr">
        <is>
          <t>S71</t>
        </is>
      </c>
      <c r="E778" s="3" t="inlineStr">
        <is>
          <t>Compatibilidade / RC v2</t>
        </is>
      </c>
      <c r="F778" s="3" t="inlineStr">
        <is>
          <t>Próprio</t>
        </is>
      </c>
      <c r="G778" s="3" t="inlineStr">
        <is>
          <t>Teste</t>
        </is>
      </c>
      <c r="H778" s="3" t="inlineStr">
        <is>
          <t>Repetir performance/qualidade</t>
        </is>
      </c>
      <c r="I778" s="3" t="inlineStr">
        <is>
          <t>Comparar budgets, cenas, recuperação e resumos contra baselines estáveis.</t>
        </is>
      </c>
      <c r="J778" s="3" t="inlineStr">
        <is>
          <t>reports/v2-rc/regression.json</t>
        </is>
      </c>
      <c r="K778" s="3" t="inlineStr">
        <is>
          <t>Novos recursos não justificam regressão silenciosa nos requisitos essenciais.</t>
        </is>
      </c>
      <c r="L778" s="3" t="inlineStr">
        <is>
          <t>SL-S71-06</t>
        </is>
      </c>
      <c r="M778" s="3" t="inlineStr">
        <is>
          <t>R01; R02; R05; R06; R07; R09; R32; R35</t>
        </is>
      </c>
      <c r="N778" s="10" t="inlineStr">
        <is>
          <t>Não iniciado</t>
        </is>
      </c>
      <c r="O778" s="3" t="inlineStr">
        <is>
          <t>P0</t>
        </is>
      </c>
      <c r="P778" s="3" t="inlineStr">
        <is>
          <t>Crítico</t>
        </is>
      </c>
      <c r="Q778" s="3" t="inlineStr">
        <is>
          <t>Condicional à ratificação do escopo pós-v1 (ADR-017/018)</t>
        </is>
      </c>
      <c r="R778" s="10" t="inlineStr">
        <is>
          <t>Autor + agente de IA</t>
        </is>
      </c>
      <c r="S778" s="10" t="inlineStr"/>
      <c r="T778" s="11" t="inlineStr"/>
      <c r="U778" s="3" t="inlineStr">
        <is>
          <t>reports/S71/SL-S71-07.md</t>
        </is>
      </c>
      <c r="V778" s="10" t="inlineStr"/>
      <c r="W778" s="10" t="inlineStr"/>
      <c r="X778" s="3">
        <f>IF(N778="Concluído",IF(AND(S778&lt;&gt;"",ISNUMBER(T778),T778&gt;0,V778&lt;&gt;"",AND(OR(X777="OK",X777="DISPENSADO"))),"OK","REVISAR"),IF(N778="Dispensado (ADR)",IF(AND(LEFT(Q778,11)="Condicional",W778&lt;&gt;"",S778&lt;&gt;"",ISNUMBER(T778),T778&gt;0,V778&lt;&gt;""),"DISPENSADO","REVISAR"),"PENDENTE"))</f>
        <v/>
      </c>
      <c r="Y778" s="10" t="inlineStr"/>
    </row>
    <row r="779" ht="112" customHeight="1">
      <c r="A779" s="3" t="n">
        <v>778</v>
      </c>
      <c r="B779" s="3" t="inlineStr">
        <is>
          <t>SL-S71-08</t>
        </is>
      </c>
      <c r="C779" s="9" t="inlineStr">
        <is>
          <t>v2.0.0-rc.1</t>
        </is>
      </c>
      <c r="D779" s="9" t="inlineStr">
        <is>
          <t>S71</t>
        </is>
      </c>
      <c r="E779" s="3" t="inlineStr">
        <is>
          <t>Compatibilidade / RC v2</t>
        </is>
      </c>
      <c r="F779" s="3" t="inlineStr">
        <is>
          <t>Próprio</t>
        </is>
      </c>
      <c r="G779" s="3" t="inlineStr">
        <is>
          <t>Teste</t>
        </is>
      </c>
      <c r="H779" s="3" t="inlineStr">
        <is>
          <t>Fazer piloto de atualização</t>
        </is>
      </c>
      <c r="I779" s="3" t="inlineStr">
        <is>
          <t>Observar uso da candidata com dados permitidos e diagnóstico saneado.</t>
        </is>
      </c>
      <c r="J779" s="3" t="inlineStr">
        <is>
          <t>reports/v2-rc/pilot.md</t>
        </is>
      </c>
      <c r="K779" s="3" t="inlineStr">
        <is>
          <t>Feedback real e ensaio interno são identificados separadamente.</t>
        </is>
      </c>
      <c r="L779" s="3" t="inlineStr">
        <is>
          <t>SL-S71-07</t>
        </is>
      </c>
      <c r="M779" s="3" t="inlineStr">
        <is>
          <t>R01; R02; R05; R06; R07; R09; R32; R35</t>
        </is>
      </c>
      <c r="N779" s="10" t="inlineStr">
        <is>
          <t>Não iniciado</t>
        </is>
      </c>
      <c r="O779" s="3" t="inlineStr">
        <is>
          <t>P0</t>
        </is>
      </c>
      <c r="P779" s="3" t="inlineStr">
        <is>
          <t>Crítico</t>
        </is>
      </c>
      <c r="Q779" s="3" t="inlineStr">
        <is>
          <t>Condicional à ratificação do escopo pós-v1 (ADR-017/018)</t>
        </is>
      </c>
      <c r="R779" s="10" t="inlineStr">
        <is>
          <t>Autor + agente de IA</t>
        </is>
      </c>
      <c r="S779" s="10" t="inlineStr"/>
      <c r="T779" s="11" t="inlineStr"/>
      <c r="U779" s="3" t="inlineStr">
        <is>
          <t>reports/S71/SL-S71-08.md</t>
        </is>
      </c>
      <c r="V779" s="10" t="inlineStr"/>
      <c r="W779" s="10" t="inlineStr"/>
      <c r="X779" s="3">
        <f>IF(N779="Concluído",IF(AND(S779&lt;&gt;"",ISNUMBER(T779),T779&gt;0,V779&lt;&gt;"",AND(OR(X778="OK",X778="DISPENSADO"))),"OK","REVISAR"),IF(N779="Dispensado (ADR)",IF(AND(LEFT(Q779,11)="Condicional",W779&lt;&gt;"",S779&lt;&gt;"",ISNUMBER(T779),T779&gt;0,V779&lt;&gt;""),"DISPENSADO","REVISAR"),"PENDENTE"))</f>
        <v/>
      </c>
      <c r="Y779" s="10" t="inlineStr"/>
    </row>
    <row r="780" ht="112" customHeight="1">
      <c r="A780" s="3" t="n">
        <v>779</v>
      </c>
      <c r="B780" s="3" t="inlineStr">
        <is>
          <t>SL-S71-09</t>
        </is>
      </c>
      <c r="C780" s="9" t="inlineStr">
        <is>
          <t>v2.0.0-rc.1</t>
        </is>
      </c>
      <c r="D780" s="9" t="inlineStr">
        <is>
          <t>S71</t>
        </is>
      </c>
      <c r="E780" s="3" t="inlineStr">
        <is>
          <t>Compatibilidade / RC v2</t>
        </is>
      </c>
      <c r="F780" s="3" t="inlineStr">
        <is>
          <t>Próprio</t>
        </is>
      </c>
      <c r="G780" s="3" t="inlineStr">
        <is>
          <t>Governança</t>
        </is>
      </c>
      <c r="H780" s="3" t="inlineStr">
        <is>
          <t>Fechar blockers e compatibilidade</t>
        </is>
      </c>
      <c r="I780" s="3" t="inlineStr">
        <is>
          <t>Revisar breaking changes, deprecações e suporte da linha anterior.</t>
        </is>
      </c>
      <c r="J780" s="3" t="inlineStr">
        <is>
          <t>docs/releases/v2-compatibility.md</t>
        </is>
      </c>
      <c r="K780" s="3" t="inlineStr">
        <is>
          <t>Contribuidor/usuário sabe quais contratos mudaram e como migrar.</t>
        </is>
      </c>
      <c r="L780" s="3" t="inlineStr">
        <is>
          <t>SL-S71-08</t>
        </is>
      </c>
      <c r="M780" s="3" t="inlineStr">
        <is>
          <t>R01; R02; R05; R06; R07; R09; R32; R35</t>
        </is>
      </c>
      <c r="N780" s="10" t="inlineStr">
        <is>
          <t>Não iniciado</t>
        </is>
      </c>
      <c r="O780" s="3" t="inlineStr">
        <is>
          <t>P0</t>
        </is>
      </c>
      <c r="P780" s="3" t="inlineStr">
        <is>
          <t>Crítico</t>
        </is>
      </c>
      <c r="Q780" s="3" t="inlineStr">
        <is>
          <t>Condicional à ratificação do escopo pós-v1 (ADR-017/018)</t>
        </is>
      </c>
      <c r="R780" s="10" t="inlineStr">
        <is>
          <t>Autor</t>
        </is>
      </c>
      <c r="S780" s="10" t="inlineStr"/>
      <c r="T780" s="11" t="inlineStr"/>
      <c r="U780" s="3" t="inlineStr">
        <is>
          <t>reports/S71/SL-S71-09.md</t>
        </is>
      </c>
      <c r="V780" s="10" t="inlineStr"/>
      <c r="W780" s="10" t="inlineStr"/>
      <c r="X780" s="3">
        <f>IF(N780="Concluído",IF(AND(S780&lt;&gt;"",ISNUMBER(T780),T780&gt;0,V780&lt;&gt;"",AND(OR(X779="OK",X779="DISPENSADO"))),"OK","REVISAR"),IF(N780="Dispensado (ADR)",IF(AND(LEFT(Q780,11)="Condicional",W780&lt;&gt;"",S780&lt;&gt;"",ISNUMBER(T780),T780&gt;0,V780&lt;&gt;""),"DISPENSADO","REVISAR"),"PENDENTE"))</f>
        <v/>
      </c>
      <c r="Y780" s="10" t="inlineStr"/>
    </row>
    <row r="781" ht="112" customHeight="1">
      <c r="A781" s="3" t="n">
        <v>780</v>
      </c>
      <c r="B781" s="3" t="inlineStr">
        <is>
          <t>SL-S71-10</t>
        </is>
      </c>
      <c r="C781" s="9" t="inlineStr">
        <is>
          <t>v2.0.0-rc.1</t>
        </is>
      </c>
      <c r="D781" s="9" t="inlineStr">
        <is>
          <t>S71</t>
        </is>
      </c>
      <c r="E781" s="3" t="inlineStr">
        <is>
          <t>Compatibilidade / RC v2</t>
        </is>
      </c>
      <c r="F781" s="3" t="inlineStr">
        <is>
          <t>Próprio</t>
        </is>
      </c>
      <c r="G781" s="3" t="inlineStr">
        <is>
          <t>Release</t>
        </is>
      </c>
      <c r="H781" s="3" t="inlineStr">
        <is>
          <t>Publicar RC v2</t>
        </is>
      </c>
      <c r="I781" s="3" t="inlineStr">
        <is>
          <t>Emitir pacotes, manifests e guia de migração final candidato.</t>
        </is>
      </c>
      <c r="J781" s="3" t="inlineStr">
        <is>
          <t>release/v2.0.0-rc.1/</t>
        </is>
      </c>
      <c r="K781" s="3" t="inlineStr">
        <is>
          <t>Revisão da RC corresponde às evidências e está pronta para go/no-go humano.</t>
        </is>
      </c>
      <c r="L781" s="3" t="inlineStr">
        <is>
          <t>SL-S71-09</t>
        </is>
      </c>
      <c r="M781" s="3" t="inlineStr">
        <is>
          <t>R01; R02; R05; R06; R07; R09; R32; R35</t>
        </is>
      </c>
      <c r="N781" s="10" t="inlineStr">
        <is>
          <t>Não iniciado</t>
        </is>
      </c>
      <c r="O781" s="3" t="inlineStr">
        <is>
          <t>P0</t>
        </is>
      </c>
      <c r="P781" s="3" t="inlineStr">
        <is>
          <t>Crítico</t>
        </is>
      </c>
      <c r="Q781" s="3" t="inlineStr">
        <is>
          <t>Condicional à ratificação do escopo pós-v1 (ADR-017/018)</t>
        </is>
      </c>
      <c r="R781" s="10" t="inlineStr">
        <is>
          <t>Autor</t>
        </is>
      </c>
      <c r="S781" s="10" t="inlineStr"/>
      <c r="T781" s="11" t="inlineStr"/>
      <c r="U781" s="3" t="inlineStr">
        <is>
          <t>reports/S71/SL-S71-10.md</t>
        </is>
      </c>
      <c r="V781" s="10" t="inlineStr"/>
      <c r="W781" s="10" t="inlineStr"/>
      <c r="X781" s="3">
        <f>IF(N781="Concluído",IF(AND(S781&lt;&gt;"",ISNUMBER(T781),T781&gt;0,V781&lt;&gt;"",AND(OR(X780="OK",X780="DISPENSADO"))),"OK","REVISAR"),IF(N781="Dispensado (ADR)",IF(AND(LEFT(Q781,11)="Condicional",W781&lt;&gt;"",S781&lt;&gt;"",ISNUMBER(T781),T781&gt;0,V781&lt;&gt;""),"DISPENSADO","REVISAR"),"PENDENTE"))</f>
        <v/>
      </c>
      <c r="Y781" s="10" t="inlineStr"/>
    </row>
    <row r="782" ht="98" customHeight="1">
      <c r="A782" s="3" t="n">
        <v>781</v>
      </c>
      <c r="B782" s="12" t="inlineStr">
        <is>
          <t>SL-S71-GATE</t>
        </is>
      </c>
      <c r="C782" s="9" t="inlineStr">
        <is>
          <t>v2.0.0-rc.1</t>
        </is>
      </c>
      <c r="D782" s="9" t="inlineStr">
        <is>
          <t>S71</t>
        </is>
      </c>
      <c r="E782" s="3" t="inlineStr">
        <is>
          <t>Compatibilidade / RC v2</t>
        </is>
      </c>
      <c r="F782" s="3" t="inlineStr">
        <is>
          <t>Aceite humano</t>
        </is>
      </c>
      <c r="G782" s="12" t="inlineStr">
        <is>
          <t>Gate</t>
        </is>
      </c>
      <c r="H782" s="12" t="inlineStr">
        <is>
          <t>Aceitar S71 — Homologar compatibilidade e candidata v2.0</t>
        </is>
      </c>
      <c r="I782" s="3" t="inlineStr">
        <is>
          <t>Revisar as dez tarefas, executar a demonstração do sprint, confrontar critérios e registrar decisão go/no-go.</t>
        </is>
      </c>
      <c r="J782" s="3" t="inlineStr">
        <is>
          <t>reports/S71/acceptance.md</t>
        </is>
      </c>
      <c r="K782" s="3" t="inlineStr">
        <is>
          <t>Migrar cópias de Vaults v1.x, usar extensões e voltar/exportar sem perda autoral. Todas as dependências aceitas; evidências vinculadas a revisão/ambiente; nenhum blocker de integridade/segurança.</t>
        </is>
      </c>
      <c r="L782" s="3" t="inlineStr">
        <is>
          <t>SL-S71-01; SL-S71-02; SL-S71-03; SL-S71-04; SL-S71-05; SL-S71-06; SL-S71-07; SL-S71-08; SL-S71-09; SL-S71-10</t>
        </is>
      </c>
      <c r="M782" s="3" t="inlineStr">
        <is>
          <t>R01; R02; R05; R06; R07; R09; R32; R35</t>
        </is>
      </c>
      <c r="N782" s="10" t="inlineStr">
        <is>
          <t>Não iniciado</t>
        </is>
      </c>
      <c r="O782" s="3" t="inlineStr">
        <is>
          <t>P0</t>
        </is>
      </c>
      <c r="P782" s="3" t="inlineStr">
        <is>
          <t>Crítico</t>
        </is>
      </c>
      <c r="Q782" s="3" t="inlineStr">
        <is>
          <t>Obrigatória para fechar a versão aprovada</t>
        </is>
      </c>
      <c r="R782" s="10" t="inlineStr">
        <is>
          <t>Autor</t>
        </is>
      </c>
      <c r="S782" s="10" t="inlineStr"/>
      <c r="T782" s="11" t="inlineStr"/>
      <c r="U782" s="3" t="inlineStr">
        <is>
          <t>reports/S71/acceptance.md</t>
        </is>
      </c>
      <c r="V782" s="10" t="inlineStr"/>
      <c r="W782" s="10" t="inlineStr"/>
      <c r="X782" s="3">
        <f>IF(N782="Concluído",IF(AND(S782&lt;&gt;"",ISNUMBER(T782),T782&gt;0,V782&lt;&gt;"",AND(OR(X772="OK",X772="DISPENSADO"),OR(X773="OK",X773="DISPENSADO"),OR(X774="OK",X774="DISPENSADO"),OR(X775="OK",X775="DISPENSADO"),OR(X776="OK",X776="DISPENSADO"),OR(X777="OK",X777="DISPENSADO"),OR(X778="OK",X778="DISPENSADO"),OR(X779="OK",X779="DISPENSADO"),OR(X780="OK",X780="DISPENSADO"),OR(X781="OK",X781="DISPENSADO"))),"OK","REVISAR"),IF(N782="Dispensado (ADR)",IF(AND(LEFT(Q782,11)="Condicional",W782&lt;&gt;"",S782&lt;&gt;"",ISNUMBER(T782),T782&gt;0,V782&lt;&gt;""),"DISPENSADO","REVISAR"),"PENDENTE"))</f>
        <v/>
      </c>
      <c r="Y782" s="10" t="inlineStr"/>
    </row>
    <row r="783" ht="112" customHeight="1">
      <c r="A783" s="3" t="n">
        <v>782</v>
      </c>
      <c r="B783" s="3" t="inlineStr">
        <is>
          <t>SL-S72-01</t>
        </is>
      </c>
      <c r="C783" s="9" t="inlineStr">
        <is>
          <t>v2.0.0</t>
        </is>
      </c>
      <c r="D783" s="9" t="inlineStr">
        <is>
          <t>S72</t>
        </is>
      </c>
      <c r="E783" s="3" t="inlineStr">
        <is>
          <t>Release / sustentabilidade</t>
        </is>
      </c>
      <c r="F783" s="3" t="inlineStr">
        <is>
          <t>Próprio</t>
        </is>
      </c>
      <c r="G783" s="3" t="inlineStr">
        <is>
          <t>Governança</t>
        </is>
      </c>
      <c r="H783" s="3" t="inlineStr">
        <is>
          <t>Auditar escopo final</t>
        </is>
      </c>
      <c r="I783" s="3" t="inlineStr">
        <is>
          <t>Conferir requisitos originais e propostas aprovadas em ADR-017/018.</t>
        </is>
      </c>
      <c r="J783" s="3" t="inlineStr">
        <is>
          <t>reports/releases/v2-traceability.md</t>
        </is>
      </c>
      <c r="K783" s="3" t="inlineStr">
        <is>
          <t>Requisito não aprovado não é declarado entregue; requisito essencial faltante bloqueia stable.</t>
        </is>
      </c>
      <c r="L783" s="3" t="inlineStr">
        <is>
          <t>SL-S71-GATE</t>
        </is>
      </c>
      <c r="M783" s="3" t="inlineStr">
        <is>
          <t>R01; R02; R05; R07; R30; R32; R33; R34; R35; R36</t>
        </is>
      </c>
      <c r="N783" s="10" t="inlineStr">
        <is>
          <t>Não iniciado</t>
        </is>
      </c>
      <c r="O783" s="3" t="inlineStr">
        <is>
          <t>P0</t>
        </is>
      </c>
      <c r="P783" s="3" t="inlineStr">
        <is>
          <t>Crítico</t>
        </is>
      </c>
      <c r="Q783" s="3" t="inlineStr">
        <is>
          <t>Condicional à ratificação do escopo pós-v1 (ADR-017/018)</t>
        </is>
      </c>
      <c r="R783" s="10" t="inlineStr">
        <is>
          <t>Autor</t>
        </is>
      </c>
      <c r="S783" s="10" t="inlineStr"/>
      <c r="T783" s="11" t="inlineStr"/>
      <c r="U783" s="3" t="inlineStr">
        <is>
          <t>reports/S72/SL-S72-01.md</t>
        </is>
      </c>
      <c r="V783" s="10" t="inlineStr"/>
      <c r="W783" s="10" t="inlineStr"/>
      <c r="X783" s="3">
        <f>IF(N783="Concluído",IF(AND(S783&lt;&gt;"",ISNUMBER(T783),T783&gt;0,V783&lt;&gt;"",AND(OR(X782="OK",X782="DISPENSADO"))),"OK","REVISAR"),IF(N783="Dispensado (ADR)",IF(AND(LEFT(Q783,11)="Condicional",W783&lt;&gt;"",S783&lt;&gt;"",ISNUMBER(T783),T783&gt;0,V783&lt;&gt;""),"DISPENSADO","REVISAR"),"PENDENTE"))</f>
        <v/>
      </c>
      <c r="Y783" s="10" t="inlineStr"/>
    </row>
    <row r="784" ht="112" customHeight="1">
      <c r="A784" s="3" t="n">
        <v>783</v>
      </c>
      <c r="B784" s="3" t="inlineStr">
        <is>
          <t>SL-S72-02</t>
        </is>
      </c>
      <c r="C784" s="9" t="inlineStr">
        <is>
          <t>v2.0.0</t>
        </is>
      </c>
      <c r="D784" s="9" t="inlineStr">
        <is>
          <t>S72</t>
        </is>
      </c>
      <c r="E784" s="3" t="inlineStr">
        <is>
          <t>Release / sustentabilidade</t>
        </is>
      </c>
      <c r="F784" s="3" t="inlineStr">
        <is>
          <t>Próprio</t>
        </is>
      </c>
      <c r="G784" s="3" t="inlineStr">
        <is>
          <t>Teste</t>
        </is>
      </c>
      <c r="H784" s="3" t="inlineStr">
        <is>
          <t>Rodar regressão final</t>
        </is>
      </c>
      <c r="I784" s="3" t="inlineStr">
        <is>
          <t>Executar suites em commit exato do release nos cinco alvos e perfis homologados.</t>
        </is>
      </c>
      <c r="J784" s="3" t="inlineStr">
        <is>
          <t>reports/releases/v2-final-suite.json</t>
        </is>
      </c>
      <c r="K784" s="3" t="inlineStr">
        <is>
          <t>Build, testes e artefatos compartilham identidade verificável.</t>
        </is>
      </c>
      <c r="L784" s="3" t="inlineStr">
        <is>
          <t>SL-S72-01</t>
        </is>
      </c>
      <c r="M784" s="3" t="inlineStr">
        <is>
          <t>R01; R02; R05; R07; R30; R32; R33; R34; R35; R36</t>
        </is>
      </c>
      <c r="N784" s="10" t="inlineStr">
        <is>
          <t>Não iniciado</t>
        </is>
      </c>
      <c r="O784" s="3" t="inlineStr">
        <is>
          <t>P0</t>
        </is>
      </c>
      <c r="P784" s="3" t="inlineStr">
        <is>
          <t>Crítico</t>
        </is>
      </c>
      <c r="Q784" s="3" t="inlineStr">
        <is>
          <t>Condicional à ratificação do escopo pós-v1 (ADR-017/018)</t>
        </is>
      </c>
      <c r="R784" s="10" t="inlineStr">
        <is>
          <t>Autor + agente de IA</t>
        </is>
      </c>
      <c r="S784" s="10" t="inlineStr"/>
      <c r="T784" s="11" t="inlineStr"/>
      <c r="U784" s="3" t="inlineStr">
        <is>
          <t>reports/S72/SL-S72-02.md</t>
        </is>
      </c>
      <c r="V784" s="10" t="inlineStr"/>
      <c r="W784" s="10" t="inlineStr"/>
      <c r="X784" s="3">
        <f>IF(N784="Concluído",IF(AND(S784&lt;&gt;"",ISNUMBER(T784),T784&gt;0,V784&lt;&gt;"",AND(OR(X783="OK",X783="DISPENSADO"))),"OK","REVISAR"),IF(N784="Dispensado (ADR)",IF(AND(LEFT(Q784,11)="Condicional",W784&lt;&gt;"",S784&lt;&gt;"",ISNUMBER(T784),T784&gt;0,V784&lt;&gt;""),"DISPENSADO","REVISAR"),"PENDENTE"))</f>
        <v/>
      </c>
      <c r="Y784" s="10" t="inlineStr"/>
    </row>
    <row r="785" ht="112" customHeight="1">
      <c r="A785" s="3" t="n">
        <v>784</v>
      </c>
      <c r="B785" s="3" t="inlineStr">
        <is>
          <t>SL-S72-03</t>
        </is>
      </c>
      <c r="C785" s="9" t="inlineStr">
        <is>
          <t>v2.0.0</t>
        </is>
      </c>
      <c r="D785" s="9" t="inlineStr">
        <is>
          <t>S72</t>
        </is>
      </c>
      <c r="E785" s="3" t="inlineStr">
        <is>
          <t>Release / sustentabilidade</t>
        </is>
      </c>
      <c r="F785" s="3" t="inlineStr">
        <is>
          <t>Próprio</t>
        </is>
      </c>
      <c r="G785" s="3" t="inlineStr">
        <is>
          <t>Teste</t>
        </is>
      </c>
      <c r="H785" s="3" t="inlineStr">
        <is>
          <t>Verificar distribuição limpa</t>
        </is>
      </c>
      <c r="I785" s="3" t="inlineStr">
        <is>
          <t>Instalar sem toolchains globais, provisionar offline e testar update/removal.</t>
        </is>
      </c>
      <c r="J785" s="3" t="inlineStr">
        <is>
          <t>reports/releases/v2-clean-install.md</t>
        </is>
      </c>
      <c r="K785" s="3" t="inlineStr">
        <is>
          <t>Usuário não precisa reconstruir ambientes de desenvolvimento para usar o produto.</t>
        </is>
      </c>
      <c r="L785" s="3" t="inlineStr">
        <is>
          <t>SL-S72-02</t>
        </is>
      </c>
      <c r="M785" s="3" t="inlineStr">
        <is>
          <t>R01; R02; R05; R07; R30; R32; R33; R34; R35; R36</t>
        </is>
      </c>
      <c r="N785" s="10" t="inlineStr">
        <is>
          <t>Não iniciado</t>
        </is>
      </c>
      <c r="O785" s="3" t="inlineStr">
        <is>
          <t>P0</t>
        </is>
      </c>
      <c r="P785" s="3" t="inlineStr">
        <is>
          <t>Crítico</t>
        </is>
      </c>
      <c r="Q785" s="3" t="inlineStr">
        <is>
          <t>Condicional à ratificação do escopo pós-v1 (ADR-017/018)</t>
        </is>
      </c>
      <c r="R785" s="10" t="inlineStr">
        <is>
          <t>Autor + agente de IA</t>
        </is>
      </c>
      <c r="S785" s="10" t="inlineStr"/>
      <c r="T785" s="11" t="inlineStr"/>
      <c r="U785" s="3" t="inlineStr">
        <is>
          <t>reports/S72/SL-S72-03.md</t>
        </is>
      </c>
      <c r="V785" s="10" t="inlineStr"/>
      <c r="W785" s="10" t="inlineStr"/>
      <c r="X785" s="3">
        <f>IF(N785="Concluído",IF(AND(S785&lt;&gt;"",ISNUMBER(T785),T785&gt;0,V785&lt;&gt;"",AND(OR(X784="OK",X784="DISPENSADO"))),"OK","REVISAR"),IF(N785="Dispensado (ADR)",IF(AND(LEFT(Q785,11)="Condicional",W785&lt;&gt;"",S785&lt;&gt;"",ISNUMBER(T785),T785&gt;0,V785&lt;&gt;""),"DISPENSADO","REVISAR"),"PENDENTE"))</f>
        <v/>
      </c>
      <c r="Y785" s="10" t="inlineStr"/>
    </row>
    <row r="786" ht="112" customHeight="1">
      <c r="A786" s="3" t="n">
        <v>785</v>
      </c>
      <c r="B786" s="3" t="inlineStr">
        <is>
          <t>SL-S72-04</t>
        </is>
      </c>
      <c r="C786" s="9" t="inlineStr">
        <is>
          <t>v2.0.0</t>
        </is>
      </c>
      <c r="D786" s="9" t="inlineStr">
        <is>
          <t>S72</t>
        </is>
      </c>
      <c r="E786" s="3" t="inlineStr">
        <is>
          <t>Release / sustentabilidade</t>
        </is>
      </c>
      <c r="F786" s="3" t="inlineStr">
        <is>
          <t>Próprio</t>
        </is>
      </c>
      <c r="G786" s="3" t="inlineStr">
        <is>
          <t>Licença</t>
        </is>
      </c>
      <c r="H786" s="3" t="inlineStr">
        <is>
          <t>Fechar conformidade v2</t>
        </is>
      </c>
      <c r="I786" s="3" t="inlineStr">
        <is>
          <t>Revisar fontes/avisos, SDK, extensões curadas e modelos redistribuídos.</t>
        </is>
      </c>
      <c r="J786" s="3" t="inlineStr">
        <is>
          <t>compliance/releases/v2.0.0/</t>
        </is>
      </c>
      <c r="K786" s="3" t="inlineStr">
        <is>
          <t>Natureza open source/nonprofit e dependência opcional de serviços são descritas corretamente.</t>
        </is>
      </c>
      <c r="L786" s="3" t="inlineStr">
        <is>
          <t>SL-S72-03</t>
        </is>
      </c>
      <c r="M786" s="3" t="inlineStr">
        <is>
          <t>R01; R02; R05; R07; R30; R32; R33; R34; R35; R36</t>
        </is>
      </c>
      <c r="N786" s="10" t="inlineStr">
        <is>
          <t>Não iniciado</t>
        </is>
      </c>
      <c r="O786" s="3" t="inlineStr">
        <is>
          <t>P0</t>
        </is>
      </c>
      <c r="P786" s="3" t="inlineStr">
        <is>
          <t>Crítico</t>
        </is>
      </c>
      <c r="Q786" s="3" t="inlineStr">
        <is>
          <t>Condicional à ratificação do escopo pós-v1 (ADR-017/018)</t>
        </is>
      </c>
      <c r="R786" s="10" t="inlineStr">
        <is>
          <t>Autor</t>
        </is>
      </c>
      <c r="S786" s="10" t="inlineStr"/>
      <c r="T786" s="11" t="inlineStr"/>
      <c r="U786" s="3" t="inlineStr">
        <is>
          <t>reports/S72/SL-S72-04.md</t>
        </is>
      </c>
      <c r="V786" s="10" t="inlineStr"/>
      <c r="W786" s="10" t="inlineStr"/>
      <c r="X786" s="3">
        <f>IF(N786="Concluído",IF(AND(S786&lt;&gt;"",ISNUMBER(T786),T786&gt;0,V786&lt;&gt;"",AND(OR(X785="OK",X785="DISPENSADO"))),"OK","REVISAR"),IF(N786="Dispensado (ADR)",IF(AND(LEFT(Q786,11)="Condicional",W786&lt;&gt;"",S786&lt;&gt;"",ISNUMBER(T786),T786&gt;0,V786&lt;&gt;""),"DISPENSADO","REVISAR"),"PENDENTE"))</f>
        <v/>
      </c>
      <c r="Y786" s="10" t="inlineStr"/>
    </row>
    <row r="787" ht="112" customHeight="1">
      <c r="A787" s="3" t="n">
        <v>786</v>
      </c>
      <c r="B787" s="3" t="inlineStr">
        <is>
          <t>SL-S72-05</t>
        </is>
      </c>
      <c r="C787" s="9" t="inlineStr">
        <is>
          <t>v2.0.0</t>
        </is>
      </c>
      <c r="D787" s="9" t="inlineStr">
        <is>
          <t>S72</t>
        </is>
      </c>
      <c r="E787" s="3" t="inlineStr">
        <is>
          <t>Release / sustentabilidade</t>
        </is>
      </c>
      <c r="F787" s="3" t="inlineStr">
        <is>
          <t>Próprio</t>
        </is>
      </c>
      <c r="G787" s="3" t="inlineStr">
        <is>
          <t>Documentação</t>
        </is>
      </c>
      <c r="H787" s="3" t="inlineStr">
        <is>
          <t>Publicar documentação estável</t>
        </is>
      </c>
      <c r="I787" s="3" t="inlineStr">
        <is>
          <t>Consolidar usuário, formato, recuperação, SDK e contribuição.</t>
        </is>
      </c>
      <c r="J787" s="3" t="inlineStr">
        <is>
          <t>docs/releases/v2.0.0.md</t>
        </is>
      </c>
      <c r="K787" s="3" t="inlineStr">
        <is>
          <t>Guias refletem APIs/capacidades publicadas e não protótipos abandonados.</t>
        </is>
      </c>
      <c r="L787" s="3" t="inlineStr">
        <is>
          <t>SL-S72-04</t>
        </is>
      </c>
      <c r="M787" s="3" t="inlineStr">
        <is>
          <t>R01; R02; R05; R07; R30; R32; R33; R34; R35; R36</t>
        </is>
      </c>
      <c r="N787" s="10" t="inlineStr">
        <is>
          <t>Não iniciado</t>
        </is>
      </c>
      <c r="O787" s="3" t="inlineStr">
        <is>
          <t>P0</t>
        </is>
      </c>
      <c r="P787" s="3" t="inlineStr">
        <is>
          <t>Crítico</t>
        </is>
      </c>
      <c r="Q787" s="3" t="inlineStr">
        <is>
          <t>Condicional à ratificação do escopo pós-v1 (ADR-017/018)</t>
        </is>
      </c>
      <c r="R787" s="10" t="inlineStr">
        <is>
          <t>Autor + agente de IA</t>
        </is>
      </c>
      <c r="S787" s="10" t="inlineStr"/>
      <c r="T787" s="11" t="inlineStr"/>
      <c r="U787" s="3" t="inlineStr">
        <is>
          <t>reports/S72/SL-S72-05.md</t>
        </is>
      </c>
      <c r="V787" s="10" t="inlineStr"/>
      <c r="W787" s="10" t="inlineStr"/>
      <c r="X787" s="3">
        <f>IF(N787="Concluído",IF(AND(S787&lt;&gt;"",ISNUMBER(T787),T787&gt;0,V787&lt;&gt;"",AND(OR(X786="OK",X786="DISPENSADO"))),"OK","REVISAR"),IF(N787="Dispensado (ADR)",IF(AND(LEFT(Q787,11)="Condicional",W787&lt;&gt;"",S787&lt;&gt;"",ISNUMBER(T787),T787&gt;0,V787&lt;&gt;""),"DISPENSADO","REVISAR"),"PENDENTE"))</f>
        <v/>
      </c>
      <c r="Y787" s="10" t="inlineStr"/>
    </row>
    <row r="788" ht="112" customHeight="1">
      <c r="A788" s="3" t="n">
        <v>787</v>
      </c>
      <c r="B788" s="3" t="inlineStr">
        <is>
          <t>SL-S72-06</t>
        </is>
      </c>
      <c r="C788" s="9" t="inlineStr">
        <is>
          <t>v2.0.0</t>
        </is>
      </c>
      <c r="D788" s="9" t="inlineStr">
        <is>
          <t>S72</t>
        </is>
      </c>
      <c r="E788" s="3" t="inlineStr">
        <is>
          <t>Release / sustentabilidade</t>
        </is>
      </c>
      <c r="F788" s="3" t="inlineStr">
        <is>
          <t>Próprio</t>
        </is>
      </c>
      <c r="G788" s="3" t="inlineStr">
        <is>
          <t>Governança</t>
        </is>
      </c>
      <c r="H788" s="3" t="inlineStr">
        <is>
          <t>Definir manutenção pós-v2</t>
        </is>
      </c>
      <c r="I788" s="3" t="inlineStr">
        <is>
          <t>Estabelecer triagem, patches, cadence de auditoria e política de depreciação sustentável.</t>
        </is>
      </c>
      <c r="J788" s="3" t="inlineStr">
        <is>
          <t>docs/maintenance/post-v2.md</t>
        </is>
      </c>
      <c r="K788" s="3" t="inlineStr">
        <is>
          <t>Roadmap não promete última versão definitiva nem suporte impossível para um mantenedor.</t>
        </is>
      </c>
      <c r="L788" s="3" t="inlineStr">
        <is>
          <t>SL-S72-05</t>
        </is>
      </c>
      <c r="M788" s="3" t="inlineStr">
        <is>
          <t>R01; R02; R05; R07; R30; R32; R33; R34; R35; R36</t>
        </is>
      </c>
      <c r="N788" s="10" t="inlineStr">
        <is>
          <t>Não iniciado</t>
        </is>
      </c>
      <c r="O788" s="3" t="inlineStr">
        <is>
          <t>P0</t>
        </is>
      </c>
      <c r="P788" s="3" t="inlineStr">
        <is>
          <t>Crítico</t>
        </is>
      </c>
      <c r="Q788" s="3" t="inlineStr">
        <is>
          <t>Condicional à ratificação do escopo pós-v1 (ADR-017/018)</t>
        </is>
      </c>
      <c r="R788" s="10" t="inlineStr">
        <is>
          <t>Autor</t>
        </is>
      </c>
      <c r="S788" s="10" t="inlineStr"/>
      <c r="T788" s="11" t="inlineStr"/>
      <c r="U788" s="3" t="inlineStr">
        <is>
          <t>reports/S72/SL-S72-06.md</t>
        </is>
      </c>
      <c r="V788" s="10" t="inlineStr"/>
      <c r="W788" s="10" t="inlineStr"/>
      <c r="X788" s="3">
        <f>IF(N788="Concluído",IF(AND(S788&lt;&gt;"",ISNUMBER(T788),T788&gt;0,V788&lt;&gt;"",AND(OR(X787="OK",X787="DISPENSADO"))),"OK","REVISAR"),IF(N788="Dispensado (ADR)",IF(AND(LEFT(Q788,11)="Condicional",W788&lt;&gt;"",S788&lt;&gt;"",ISNUMBER(T788),T788&gt;0,V788&lt;&gt;""),"DISPENSADO","REVISAR"),"PENDENTE"))</f>
        <v/>
      </c>
      <c r="Y788" s="10" t="inlineStr"/>
    </row>
    <row r="789" ht="112" customHeight="1">
      <c r="A789" s="3" t="n">
        <v>788</v>
      </c>
      <c r="B789" s="3" t="inlineStr">
        <is>
          <t>SL-S72-07</t>
        </is>
      </c>
      <c r="C789" s="9" t="inlineStr">
        <is>
          <t>v2.0.0</t>
        </is>
      </c>
      <c r="D789" s="9" t="inlineStr">
        <is>
          <t>S72</t>
        </is>
      </c>
      <c r="E789" s="3" t="inlineStr">
        <is>
          <t>Release / sustentabilidade</t>
        </is>
      </c>
      <c r="F789" s="3" t="inlineStr">
        <is>
          <t>Próprio</t>
        </is>
      </c>
      <c r="G789" s="3" t="inlineStr">
        <is>
          <t>Governança</t>
        </is>
      </c>
      <c r="H789" s="3" t="inlineStr">
        <is>
          <t>Preparar continuidade comunitária</t>
        </is>
      </c>
      <c r="I789" s="3" t="inlineStr">
        <is>
          <t>Documentar builds, acesso de release, backups de chaves e sucessão sem divulgar segredos.</t>
        </is>
      </c>
      <c r="J789" s="3" t="inlineStr">
        <is>
          <t>docs/governance/continuity.md</t>
        </is>
      </c>
      <c r="K789" s="3" t="inlineStr">
        <is>
          <t>Outro mantenedor pode reconstruir o projeto com procedimentos públicos e permissões apropriadas.</t>
        </is>
      </c>
      <c r="L789" s="3" t="inlineStr">
        <is>
          <t>SL-S72-06</t>
        </is>
      </c>
      <c r="M789" s="3" t="inlineStr">
        <is>
          <t>R01; R02; R05; R07; R30; R32; R33; R34; R35; R36</t>
        </is>
      </c>
      <c r="N789" s="10" t="inlineStr">
        <is>
          <t>Não iniciado</t>
        </is>
      </c>
      <c r="O789" s="3" t="inlineStr">
        <is>
          <t>P0</t>
        </is>
      </c>
      <c r="P789" s="3" t="inlineStr">
        <is>
          <t>Crítico</t>
        </is>
      </c>
      <c r="Q789" s="3" t="inlineStr">
        <is>
          <t>Condicional à ratificação do escopo pós-v1 (ADR-017/018)</t>
        </is>
      </c>
      <c r="R789" s="10" t="inlineStr">
        <is>
          <t>Autor</t>
        </is>
      </c>
      <c r="S789" s="10" t="inlineStr"/>
      <c r="T789" s="11" t="inlineStr"/>
      <c r="U789" s="3" t="inlineStr">
        <is>
          <t>reports/S72/SL-S72-07.md</t>
        </is>
      </c>
      <c r="V789" s="10" t="inlineStr"/>
      <c r="W789" s="10" t="inlineStr"/>
      <c r="X789" s="3">
        <f>IF(N789="Concluído",IF(AND(S789&lt;&gt;"",ISNUMBER(T789),T789&gt;0,V789&lt;&gt;"",AND(OR(X788="OK",X788="DISPENSADO"))),"OK","REVISAR"),IF(N789="Dispensado (ADR)",IF(AND(LEFT(Q789,11)="Condicional",W789&lt;&gt;"",S789&lt;&gt;"",ISNUMBER(T789),T789&gt;0,V789&lt;&gt;""),"DISPENSADO","REVISAR"),"PENDENTE"))</f>
        <v/>
      </c>
      <c r="Y789" s="10" t="inlineStr"/>
    </row>
    <row r="790" ht="112" customHeight="1">
      <c r="A790" s="3" t="n">
        <v>789</v>
      </c>
      <c r="B790" s="3" t="inlineStr">
        <is>
          <t>SL-S72-08</t>
        </is>
      </c>
      <c r="C790" s="9" t="inlineStr">
        <is>
          <t>v2.0.0</t>
        </is>
      </c>
      <c r="D790" s="9" t="inlineStr">
        <is>
          <t>S72</t>
        </is>
      </c>
      <c r="E790" s="3" t="inlineStr">
        <is>
          <t>Release / sustentabilidade</t>
        </is>
      </c>
      <c r="F790" s="3" t="inlineStr">
        <is>
          <t>Próprio</t>
        </is>
      </c>
      <c r="G790" s="3" t="inlineStr">
        <is>
          <t>Decisão</t>
        </is>
      </c>
      <c r="H790" s="3" t="inlineStr">
        <is>
          <t>Fazer go/no-go final</t>
        </is>
      </c>
      <c r="I790" s="3" t="inlineStr">
        <is>
          <t>Revisar blockers, métricas e a demonstração integral com aprovação humana.</t>
        </is>
      </c>
      <c r="J790" s="3" t="inlineStr">
        <is>
          <t>reports/releases/v2-go-no-go.md</t>
        </is>
      </c>
      <c r="K790" s="3" t="inlineStr">
        <is>
          <t>Agente não pode marcar aprovação final sozinho; exceções materiais ficam registradas.</t>
        </is>
      </c>
      <c r="L790" s="3" t="inlineStr">
        <is>
          <t>SL-S72-07</t>
        </is>
      </c>
      <c r="M790" s="3" t="inlineStr">
        <is>
          <t>R01; R02; R05; R07; R30; R32; R33; R34; R35; R36</t>
        </is>
      </c>
      <c r="N790" s="10" t="inlineStr">
        <is>
          <t>Não iniciado</t>
        </is>
      </c>
      <c r="O790" s="3" t="inlineStr">
        <is>
          <t>P0</t>
        </is>
      </c>
      <c r="P790" s="3" t="inlineStr">
        <is>
          <t>Crítico</t>
        </is>
      </c>
      <c r="Q790" s="3" t="inlineStr">
        <is>
          <t>Condicional à ratificação do escopo pós-v1 (ADR-017/018)</t>
        </is>
      </c>
      <c r="R790" s="10" t="inlineStr">
        <is>
          <t>Autor</t>
        </is>
      </c>
      <c r="S790" s="10" t="inlineStr"/>
      <c r="T790" s="11" t="inlineStr"/>
      <c r="U790" s="3" t="inlineStr">
        <is>
          <t>reports/S72/SL-S72-08.md</t>
        </is>
      </c>
      <c r="V790" s="10" t="inlineStr"/>
      <c r="W790" s="10" t="inlineStr"/>
      <c r="X790" s="3">
        <f>IF(N790="Concluído",IF(AND(S790&lt;&gt;"",ISNUMBER(T790),T790&gt;0,V790&lt;&gt;"",AND(OR(X789="OK",X789="DISPENSADO"))),"OK","REVISAR"),IF(N790="Dispensado (ADR)",IF(AND(LEFT(Q790,11)="Condicional",W790&lt;&gt;"",S790&lt;&gt;"",ISNUMBER(T790),T790&gt;0,V790&lt;&gt;""),"DISPENSADO","REVISAR"),"PENDENTE"))</f>
        <v/>
      </c>
      <c r="Y790" s="10" t="inlineStr"/>
    </row>
    <row r="791" ht="112" customHeight="1">
      <c r="A791" s="3" t="n">
        <v>790</v>
      </c>
      <c r="B791" s="3" t="inlineStr">
        <is>
          <t>SL-S72-09</t>
        </is>
      </c>
      <c r="C791" s="9" t="inlineStr">
        <is>
          <t>v2.0.0</t>
        </is>
      </c>
      <c r="D791" s="9" t="inlineStr">
        <is>
          <t>S72</t>
        </is>
      </c>
      <c r="E791" s="3" t="inlineStr">
        <is>
          <t>Release / sustentabilidade</t>
        </is>
      </c>
      <c r="F791" s="3" t="inlineStr">
        <is>
          <t>Próprio</t>
        </is>
      </c>
      <c r="G791" s="3" t="inlineStr">
        <is>
          <t>Release</t>
        </is>
      </c>
      <c r="H791" s="3" t="inlineStr">
        <is>
          <t>Publicar artefatos stable</t>
        </is>
      </c>
      <c r="I791" s="3" t="inlineStr">
        <is>
          <t>Disponibilizar versões, hashes/assinaturas, fontes e notas no canal escolhido.</t>
        </is>
      </c>
      <c r="J791" s="3" t="inlineStr">
        <is>
          <t>release/v2.0.0/</t>
        </is>
      </c>
      <c r="K791" s="3" t="inlineStr">
        <is>
          <t>Downloads e documentação correspondem à mesma revisão; possibilidade de rollback do canal existe.</t>
        </is>
      </c>
      <c r="L791" s="3" t="inlineStr">
        <is>
          <t>SL-S72-08</t>
        </is>
      </c>
      <c r="M791" s="3" t="inlineStr">
        <is>
          <t>R01; R02; R05; R07; R30; R32; R33; R34; R35; R36</t>
        </is>
      </c>
      <c r="N791" s="10" t="inlineStr">
        <is>
          <t>Não iniciado</t>
        </is>
      </c>
      <c r="O791" s="3" t="inlineStr">
        <is>
          <t>P0</t>
        </is>
      </c>
      <c r="P791" s="3" t="inlineStr">
        <is>
          <t>Crítico</t>
        </is>
      </c>
      <c r="Q791" s="3" t="inlineStr">
        <is>
          <t>Condicional à ratificação do escopo pós-v1 (ADR-017/018)</t>
        </is>
      </c>
      <c r="R791" s="10" t="inlineStr">
        <is>
          <t>Autor</t>
        </is>
      </c>
      <c r="S791" s="10" t="inlineStr"/>
      <c r="T791" s="11" t="inlineStr"/>
      <c r="U791" s="3" t="inlineStr">
        <is>
          <t>reports/S72/SL-S72-09.md</t>
        </is>
      </c>
      <c r="V791" s="10" t="inlineStr"/>
      <c r="W791" s="10" t="inlineStr"/>
      <c r="X791" s="3">
        <f>IF(N791="Concluído",IF(AND(S791&lt;&gt;"",ISNUMBER(T791),T791&gt;0,V791&lt;&gt;"",AND(OR(X790="OK",X790="DISPENSADO"))),"OK","REVISAR"),IF(N791="Dispensado (ADR)",IF(AND(LEFT(Q791,11)="Condicional",W791&lt;&gt;"",S791&lt;&gt;"",ISNUMBER(T791),T791&gt;0,V791&lt;&gt;""),"DISPENSADO","REVISAR"),"PENDENTE"))</f>
        <v/>
      </c>
      <c r="Y791" s="10" t="inlineStr"/>
    </row>
    <row r="792" ht="112" customHeight="1">
      <c r="A792" s="3" t="n">
        <v>791</v>
      </c>
      <c r="B792" s="3" t="inlineStr">
        <is>
          <t>SL-S72-10</t>
        </is>
      </c>
      <c r="C792" s="9" t="inlineStr">
        <is>
          <t>v2.0.0</t>
        </is>
      </c>
      <c r="D792" s="9" t="inlineStr">
        <is>
          <t>S72</t>
        </is>
      </c>
      <c r="E792" s="3" t="inlineStr">
        <is>
          <t>Release / sustentabilidade</t>
        </is>
      </c>
      <c r="F792" s="3" t="inlineStr">
        <is>
          <t>Próprio</t>
        </is>
      </c>
      <c r="G792" s="3" t="inlineStr">
        <is>
          <t>Teste</t>
        </is>
      </c>
      <c r="H792" s="3" t="inlineStr">
        <is>
          <t>Verificar publicação e handoff</t>
        </is>
      </c>
      <c r="I792" s="3" t="inlineStr">
        <is>
          <t>Instalar pelo canal real, checar links e registrar próximos riscos sem inventar novas features.</t>
        </is>
      </c>
      <c r="J792" s="3" t="inlineStr">
        <is>
          <t>reports/releases/v2-post-publish.md</t>
        </is>
      </c>
      <c r="K792" s="3" t="inlineStr">
        <is>
          <t>Horizonte concluído com evidências e fila de manutenção, não com todos os problemas futuros declarados resolvidos.</t>
        </is>
      </c>
      <c r="L792" s="3" t="inlineStr">
        <is>
          <t>SL-S72-09</t>
        </is>
      </c>
      <c r="M792" s="3" t="inlineStr">
        <is>
          <t>R01; R02; R05; R07; R30; R32; R33; R34; R35; R36</t>
        </is>
      </c>
      <c r="N792" s="10" t="inlineStr">
        <is>
          <t>Não iniciado</t>
        </is>
      </c>
      <c r="O792" s="3" t="inlineStr">
        <is>
          <t>P0</t>
        </is>
      </c>
      <c r="P792" s="3" t="inlineStr">
        <is>
          <t>Crítico</t>
        </is>
      </c>
      <c r="Q792" s="3" t="inlineStr">
        <is>
          <t>Condicional à ratificação do escopo pós-v1 (ADR-017/018)</t>
        </is>
      </c>
      <c r="R792" s="10" t="inlineStr">
        <is>
          <t>Autor + agente de IA</t>
        </is>
      </c>
      <c r="S792" s="10" t="inlineStr"/>
      <c r="T792" s="11" t="inlineStr"/>
      <c r="U792" s="3" t="inlineStr">
        <is>
          <t>reports/S72/SL-S72-10.md</t>
        </is>
      </c>
      <c r="V792" s="10" t="inlineStr"/>
      <c r="W792" s="10" t="inlineStr"/>
      <c r="X792" s="3">
        <f>IF(N792="Concluído",IF(AND(S792&lt;&gt;"",ISNUMBER(T792),T792&gt;0,V792&lt;&gt;"",AND(OR(X791="OK",X791="DISPENSADO"))),"OK","REVISAR"),IF(N792="Dispensado (ADR)",IF(AND(LEFT(Q792,11)="Condicional",W792&lt;&gt;"",S792&lt;&gt;"",ISNUMBER(T792),T792&gt;0,V792&lt;&gt;""),"DISPENSADO","REVISAR"),"PENDENTE"))</f>
        <v/>
      </c>
      <c r="Y792" s="10" t="inlineStr"/>
    </row>
    <row r="793" ht="98" customHeight="1">
      <c r="A793" s="3" t="n">
        <v>792</v>
      </c>
      <c r="B793" s="12" t="inlineStr">
        <is>
          <t>SL-S72-GATE</t>
        </is>
      </c>
      <c r="C793" s="9" t="inlineStr">
        <is>
          <t>v2.0.0</t>
        </is>
      </c>
      <c r="D793" s="9" t="inlineStr">
        <is>
          <t>S72</t>
        </is>
      </c>
      <c r="E793" s="3" t="inlineStr">
        <is>
          <t>Release / sustentabilidade</t>
        </is>
      </c>
      <c r="F793" s="3" t="inlineStr">
        <is>
          <t>Aceite humano</t>
        </is>
      </c>
      <c r="G793" s="12" t="inlineStr">
        <is>
          <t>Gate</t>
        </is>
      </c>
      <c r="H793" s="12" t="inlineStr">
        <is>
          <t>Aceitar S72 — Publicar v2.0 e estabelecer continuidade</t>
        </is>
      </c>
      <c r="I793" s="3" t="inlineStr">
        <is>
          <t>Revisar as dez tarefas, executar a demonstração do sprint, confrontar critérios e registrar decisão go/no-go.</t>
        </is>
      </c>
      <c r="J793" s="3" t="inlineStr">
        <is>
          <t>reports/S72/acceptance.md</t>
        </is>
      </c>
      <c r="K793" s="3" t="inlineStr">
        <is>
          <t>Instalar stable, importar pesquisa, produzir Peça e verificar portabilidade/rollback de capacidades. Todas as dependências aceitas; evidências vinculadas a revisão/ambiente; nenhum blocker de integridade/segurança.</t>
        </is>
      </c>
      <c r="L793" s="3" t="inlineStr">
        <is>
          <t>SL-S72-01; SL-S72-02; SL-S72-03; SL-S72-04; SL-S72-05; SL-S72-06; SL-S72-07; SL-S72-08; SL-S72-09; SL-S72-10</t>
        </is>
      </c>
      <c r="M793" s="3" t="inlineStr">
        <is>
          <t>R01; R02; R05; R07; R30; R32; R33; R34; R35; R36</t>
        </is>
      </c>
      <c r="N793" s="10" t="inlineStr">
        <is>
          <t>Não iniciado</t>
        </is>
      </c>
      <c r="O793" s="3" t="inlineStr">
        <is>
          <t>P0</t>
        </is>
      </c>
      <c r="P793" s="3" t="inlineStr">
        <is>
          <t>Crítico</t>
        </is>
      </c>
      <c r="Q793" s="3" t="inlineStr">
        <is>
          <t>Obrigatória para fechar a versão aprovada</t>
        </is>
      </c>
      <c r="R793" s="10" t="inlineStr">
        <is>
          <t>Autor</t>
        </is>
      </c>
      <c r="S793" s="10" t="inlineStr"/>
      <c r="T793" s="11" t="inlineStr"/>
      <c r="U793" s="3" t="inlineStr">
        <is>
          <t>reports/S72/acceptance.md</t>
        </is>
      </c>
      <c r="V793" s="10" t="inlineStr"/>
      <c r="W793" s="10" t="inlineStr"/>
      <c r="X793" s="3">
        <f>IF(N793="Concluído",IF(AND(S793&lt;&gt;"",ISNUMBER(T793),T793&gt;0,V793&lt;&gt;"",AND(OR(X783="OK",X783="DISPENSADO"),OR(X784="OK",X784="DISPENSADO"),OR(X785="OK",X785="DISPENSADO"),OR(X786="OK",X786="DISPENSADO"),OR(X787="OK",X787="DISPENSADO"),OR(X788="OK",X788="DISPENSADO"),OR(X789="OK",X789="DISPENSADO"),OR(X790="OK",X790="DISPENSADO"),OR(X791="OK",X791="DISPENSADO"),OR(X792="OK",X792="DISPENSADO"))),"OK","REVISAR"),IF(N793="Dispensado (ADR)",IF(AND(LEFT(Q793,11)="Condicional",W793&lt;&gt;"",S793&lt;&gt;"",ISNUMBER(T793),T793&gt;0,V793&lt;&gt;""),"DISPENSADO","REVISAR"),"PENDENTE"))</f>
        <v/>
      </c>
      <c r="Y793" s="10" t="inlineStr"/>
    </row>
  </sheetData>
  <conditionalFormatting sqref="N2:N793">
    <cfRule type="expression" priority="1" dxfId="0">
      <formula>N2="Concluído"</formula>
    </cfRule>
    <cfRule type="expression" priority="2" dxfId="1">
      <formula>N2="Bloqueado"</formula>
    </cfRule>
    <cfRule type="expression" priority="3" dxfId="2">
      <formula>N2="Em andamento"</formula>
    </cfRule>
    <cfRule type="expression" priority="4" dxfId="3">
      <formula>N2="Em revisão"</formula>
    </cfRule>
  </conditionalFormatting>
  <conditionalFormatting sqref="X2:X793">
    <cfRule type="expression" priority="5" dxfId="1">
      <formula>X2="REVISAR"</formula>
    </cfRule>
    <cfRule type="expression" priority="6" dxfId="0">
      <formula>X2="OK"</formula>
    </cfRule>
  </conditionalFormatting>
  <dataValidations count="1">
    <dataValidation sqref="N2:N793" showDropDown="0" showInputMessage="0" showErrorMessage="1" allowBlank="0" errorTitle="Status inválido" error="Selecione um status da lista." type="list">
      <formula1>"Não iniciado,Pronto,Em andamento,Em revisão,Bloqueado,Concluído,Dispensado (ADR)"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  <hyperlink xmlns:r="http://schemas.openxmlformats.org/officeDocument/2006/relationships" ref="C75" r:id="rId147"/>
    <hyperlink xmlns:r="http://schemas.openxmlformats.org/officeDocument/2006/relationships" ref="D75" r:id="rId148"/>
    <hyperlink xmlns:r="http://schemas.openxmlformats.org/officeDocument/2006/relationships" ref="C76" r:id="rId149"/>
    <hyperlink xmlns:r="http://schemas.openxmlformats.org/officeDocument/2006/relationships" ref="D76" r:id="rId150"/>
    <hyperlink xmlns:r="http://schemas.openxmlformats.org/officeDocument/2006/relationships" ref="C77" r:id="rId151"/>
    <hyperlink xmlns:r="http://schemas.openxmlformats.org/officeDocument/2006/relationships" ref="D77" r:id="rId152"/>
    <hyperlink xmlns:r="http://schemas.openxmlformats.org/officeDocument/2006/relationships" ref="C78" r:id="rId153"/>
    <hyperlink xmlns:r="http://schemas.openxmlformats.org/officeDocument/2006/relationships" ref="D78" r:id="rId154"/>
    <hyperlink xmlns:r="http://schemas.openxmlformats.org/officeDocument/2006/relationships" ref="C79" r:id="rId155"/>
    <hyperlink xmlns:r="http://schemas.openxmlformats.org/officeDocument/2006/relationships" ref="D79" r:id="rId156"/>
    <hyperlink xmlns:r="http://schemas.openxmlformats.org/officeDocument/2006/relationships" ref="C80" r:id="rId157"/>
    <hyperlink xmlns:r="http://schemas.openxmlformats.org/officeDocument/2006/relationships" ref="D80" r:id="rId158"/>
    <hyperlink xmlns:r="http://schemas.openxmlformats.org/officeDocument/2006/relationships" ref="C81" r:id="rId159"/>
    <hyperlink xmlns:r="http://schemas.openxmlformats.org/officeDocument/2006/relationships" ref="D81" r:id="rId160"/>
    <hyperlink xmlns:r="http://schemas.openxmlformats.org/officeDocument/2006/relationships" ref="C82" r:id="rId161"/>
    <hyperlink xmlns:r="http://schemas.openxmlformats.org/officeDocument/2006/relationships" ref="D82" r:id="rId162"/>
    <hyperlink xmlns:r="http://schemas.openxmlformats.org/officeDocument/2006/relationships" ref="C83" r:id="rId163"/>
    <hyperlink xmlns:r="http://schemas.openxmlformats.org/officeDocument/2006/relationships" ref="D83" r:id="rId164"/>
    <hyperlink xmlns:r="http://schemas.openxmlformats.org/officeDocument/2006/relationships" ref="C84" r:id="rId165"/>
    <hyperlink xmlns:r="http://schemas.openxmlformats.org/officeDocument/2006/relationships" ref="D84" r:id="rId166"/>
    <hyperlink xmlns:r="http://schemas.openxmlformats.org/officeDocument/2006/relationships" ref="C85" r:id="rId167"/>
    <hyperlink xmlns:r="http://schemas.openxmlformats.org/officeDocument/2006/relationships" ref="D85" r:id="rId168"/>
    <hyperlink xmlns:r="http://schemas.openxmlformats.org/officeDocument/2006/relationships" ref="C86" r:id="rId169"/>
    <hyperlink xmlns:r="http://schemas.openxmlformats.org/officeDocument/2006/relationships" ref="D86" r:id="rId170"/>
    <hyperlink xmlns:r="http://schemas.openxmlformats.org/officeDocument/2006/relationships" ref="C87" r:id="rId171"/>
    <hyperlink xmlns:r="http://schemas.openxmlformats.org/officeDocument/2006/relationships" ref="D87" r:id="rId172"/>
    <hyperlink xmlns:r="http://schemas.openxmlformats.org/officeDocument/2006/relationships" ref="C88" r:id="rId173"/>
    <hyperlink xmlns:r="http://schemas.openxmlformats.org/officeDocument/2006/relationships" ref="D88" r:id="rId174"/>
    <hyperlink xmlns:r="http://schemas.openxmlformats.org/officeDocument/2006/relationships" ref="C89" r:id="rId175"/>
    <hyperlink xmlns:r="http://schemas.openxmlformats.org/officeDocument/2006/relationships" ref="D89" r:id="rId176"/>
    <hyperlink xmlns:r="http://schemas.openxmlformats.org/officeDocument/2006/relationships" ref="C90" r:id="rId177"/>
    <hyperlink xmlns:r="http://schemas.openxmlformats.org/officeDocument/2006/relationships" ref="D90" r:id="rId178"/>
    <hyperlink xmlns:r="http://schemas.openxmlformats.org/officeDocument/2006/relationships" ref="C91" r:id="rId179"/>
    <hyperlink xmlns:r="http://schemas.openxmlformats.org/officeDocument/2006/relationships" ref="D91" r:id="rId180"/>
    <hyperlink xmlns:r="http://schemas.openxmlformats.org/officeDocument/2006/relationships" ref="C92" r:id="rId181"/>
    <hyperlink xmlns:r="http://schemas.openxmlformats.org/officeDocument/2006/relationships" ref="D92" r:id="rId182"/>
    <hyperlink xmlns:r="http://schemas.openxmlformats.org/officeDocument/2006/relationships" ref="C93" r:id="rId183"/>
    <hyperlink xmlns:r="http://schemas.openxmlformats.org/officeDocument/2006/relationships" ref="D93" r:id="rId184"/>
    <hyperlink xmlns:r="http://schemas.openxmlformats.org/officeDocument/2006/relationships" ref="C94" r:id="rId185"/>
    <hyperlink xmlns:r="http://schemas.openxmlformats.org/officeDocument/2006/relationships" ref="D94" r:id="rId186"/>
    <hyperlink xmlns:r="http://schemas.openxmlformats.org/officeDocument/2006/relationships" ref="C95" r:id="rId187"/>
    <hyperlink xmlns:r="http://schemas.openxmlformats.org/officeDocument/2006/relationships" ref="D95" r:id="rId188"/>
    <hyperlink xmlns:r="http://schemas.openxmlformats.org/officeDocument/2006/relationships" ref="C96" r:id="rId189"/>
    <hyperlink xmlns:r="http://schemas.openxmlformats.org/officeDocument/2006/relationships" ref="D96" r:id="rId190"/>
    <hyperlink xmlns:r="http://schemas.openxmlformats.org/officeDocument/2006/relationships" ref="C97" r:id="rId191"/>
    <hyperlink xmlns:r="http://schemas.openxmlformats.org/officeDocument/2006/relationships" ref="D97" r:id="rId192"/>
    <hyperlink xmlns:r="http://schemas.openxmlformats.org/officeDocument/2006/relationships" ref="C98" r:id="rId193"/>
    <hyperlink xmlns:r="http://schemas.openxmlformats.org/officeDocument/2006/relationships" ref="D98" r:id="rId194"/>
    <hyperlink xmlns:r="http://schemas.openxmlformats.org/officeDocument/2006/relationships" ref="C99" r:id="rId195"/>
    <hyperlink xmlns:r="http://schemas.openxmlformats.org/officeDocument/2006/relationships" ref="D99" r:id="rId196"/>
    <hyperlink xmlns:r="http://schemas.openxmlformats.org/officeDocument/2006/relationships" ref="C100" r:id="rId197"/>
    <hyperlink xmlns:r="http://schemas.openxmlformats.org/officeDocument/2006/relationships" ref="D100" r:id="rId198"/>
    <hyperlink xmlns:r="http://schemas.openxmlformats.org/officeDocument/2006/relationships" ref="C101" r:id="rId199"/>
    <hyperlink xmlns:r="http://schemas.openxmlformats.org/officeDocument/2006/relationships" ref="D101" r:id="rId200"/>
    <hyperlink xmlns:r="http://schemas.openxmlformats.org/officeDocument/2006/relationships" ref="C102" r:id="rId201"/>
    <hyperlink xmlns:r="http://schemas.openxmlformats.org/officeDocument/2006/relationships" ref="D102" r:id="rId202"/>
    <hyperlink xmlns:r="http://schemas.openxmlformats.org/officeDocument/2006/relationships" ref="C103" r:id="rId203"/>
    <hyperlink xmlns:r="http://schemas.openxmlformats.org/officeDocument/2006/relationships" ref="D103" r:id="rId204"/>
    <hyperlink xmlns:r="http://schemas.openxmlformats.org/officeDocument/2006/relationships" ref="C104" r:id="rId205"/>
    <hyperlink xmlns:r="http://schemas.openxmlformats.org/officeDocument/2006/relationships" ref="D104" r:id="rId206"/>
    <hyperlink xmlns:r="http://schemas.openxmlformats.org/officeDocument/2006/relationships" ref="C105" r:id="rId207"/>
    <hyperlink xmlns:r="http://schemas.openxmlformats.org/officeDocument/2006/relationships" ref="D105" r:id="rId208"/>
    <hyperlink xmlns:r="http://schemas.openxmlformats.org/officeDocument/2006/relationships" ref="C106" r:id="rId209"/>
    <hyperlink xmlns:r="http://schemas.openxmlformats.org/officeDocument/2006/relationships" ref="D106" r:id="rId210"/>
    <hyperlink xmlns:r="http://schemas.openxmlformats.org/officeDocument/2006/relationships" ref="C107" r:id="rId211"/>
    <hyperlink xmlns:r="http://schemas.openxmlformats.org/officeDocument/2006/relationships" ref="D107" r:id="rId212"/>
    <hyperlink xmlns:r="http://schemas.openxmlformats.org/officeDocument/2006/relationships" ref="C108" r:id="rId213"/>
    <hyperlink xmlns:r="http://schemas.openxmlformats.org/officeDocument/2006/relationships" ref="D108" r:id="rId214"/>
    <hyperlink xmlns:r="http://schemas.openxmlformats.org/officeDocument/2006/relationships" ref="C109" r:id="rId215"/>
    <hyperlink xmlns:r="http://schemas.openxmlformats.org/officeDocument/2006/relationships" ref="D109" r:id="rId216"/>
    <hyperlink xmlns:r="http://schemas.openxmlformats.org/officeDocument/2006/relationships" ref="C110" r:id="rId217"/>
    <hyperlink xmlns:r="http://schemas.openxmlformats.org/officeDocument/2006/relationships" ref="D110" r:id="rId218"/>
    <hyperlink xmlns:r="http://schemas.openxmlformats.org/officeDocument/2006/relationships" ref="C111" r:id="rId219"/>
    <hyperlink xmlns:r="http://schemas.openxmlformats.org/officeDocument/2006/relationships" ref="D111" r:id="rId220"/>
    <hyperlink xmlns:r="http://schemas.openxmlformats.org/officeDocument/2006/relationships" ref="C112" r:id="rId221"/>
    <hyperlink xmlns:r="http://schemas.openxmlformats.org/officeDocument/2006/relationships" ref="D112" r:id="rId222"/>
    <hyperlink xmlns:r="http://schemas.openxmlformats.org/officeDocument/2006/relationships" ref="C113" r:id="rId223"/>
    <hyperlink xmlns:r="http://schemas.openxmlformats.org/officeDocument/2006/relationships" ref="D113" r:id="rId224"/>
    <hyperlink xmlns:r="http://schemas.openxmlformats.org/officeDocument/2006/relationships" ref="C114" r:id="rId225"/>
    <hyperlink xmlns:r="http://schemas.openxmlformats.org/officeDocument/2006/relationships" ref="D114" r:id="rId226"/>
    <hyperlink xmlns:r="http://schemas.openxmlformats.org/officeDocument/2006/relationships" ref="C115" r:id="rId227"/>
    <hyperlink xmlns:r="http://schemas.openxmlformats.org/officeDocument/2006/relationships" ref="D115" r:id="rId228"/>
    <hyperlink xmlns:r="http://schemas.openxmlformats.org/officeDocument/2006/relationships" ref="C116" r:id="rId229"/>
    <hyperlink xmlns:r="http://schemas.openxmlformats.org/officeDocument/2006/relationships" ref="D116" r:id="rId230"/>
    <hyperlink xmlns:r="http://schemas.openxmlformats.org/officeDocument/2006/relationships" ref="C117" r:id="rId231"/>
    <hyperlink xmlns:r="http://schemas.openxmlformats.org/officeDocument/2006/relationships" ref="D117" r:id="rId232"/>
    <hyperlink xmlns:r="http://schemas.openxmlformats.org/officeDocument/2006/relationships" ref="C118" r:id="rId233"/>
    <hyperlink xmlns:r="http://schemas.openxmlformats.org/officeDocument/2006/relationships" ref="D118" r:id="rId234"/>
    <hyperlink xmlns:r="http://schemas.openxmlformats.org/officeDocument/2006/relationships" ref="C119" r:id="rId235"/>
    <hyperlink xmlns:r="http://schemas.openxmlformats.org/officeDocument/2006/relationships" ref="D119" r:id="rId236"/>
    <hyperlink xmlns:r="http://schemas.openxmlformats.org/officeDocument/2006/relationships" ref="C120" r:id="rId237"/>
    <hyperlink xmlns:r="http://schemas.openxmlformats.org/officeDocument/2006/relationships" ref="D120" r:id="rId238"/>
    <hyperlink xmlns:r="http://schemas.openxmlformats.org/officeDocument/2006/relationships" ref="C121" r:id="rId239"/>
    <hyperlink xmlns:r="http://schemas.openxmlformats.org/officeDocument/2006/relationships" ref="D121" r:id="rId240"/>
    <hyperlink xmlns:r="http://schemas.openxmlformats.org/officeDocument/2006/relationships" ref="C122" r:id="rId241"/>
    <hyperlink xmlns:r="http://schemas.openxmlformats.org/officeDocument/2006/relationships" ref="D122" r:id="rId242"/>
    <hyperlink xmlns:r="http://schemas.openxmlformats.org/officeDocument/2006/relationships" ref="C123" r:id="rId243"/>
    <hyperlink xmlns:r="http://schemas.openxmlformats.org/officeDocument/2006/relationships" ref="D123" r:id="rId244"/>
    <hyperlink xmlns:r="http://schemas.openxmlformats.org/officeDocument/2006/relationships" ref="C124" r:id="rId245"/>
    <hyperlink xmlns:r="http://schemas.openxmlformats.org/officeDocument/2006/relationships" ref="D124" r:id="rId246"/>
    <hyperlink xmlns:r="http://schemas.openxmlformats.org/officeDocument/2006/relationships" ref="C125" r:id="rId247"/>
    <hyperlink xmlns:r="http://schemas.openxmlformats.org/officeDocument/2006/relationships" ref="D125" r:id="rId248"/>
    <hyperlink xmlns:r="http://schemas.openxmlformats.org/officeDocument/2006/relationships" ref="C126" r:id="rId249"/>
    <hyperlink xmlns:r="http://schemas.openxmlformats.org/officeDocument/2006/relationships" ref="D126" r:id="rId250"/>
    <hyperlink xmlns:r="http://schemas.openxmlformats.org/officeDocument/2006/relationships" ref="C127" r:id="rId251"/>
    <hyperlink xmlns:r="http://schemas.openxmlformats.org/officeDocument/2006/relationships" ref="D127" r:id="rId252"/>
    <hyperlink xmlns:r="http://schemas.openxmlformats.org/officeDocument/2006/relationships" ref="C128" r:id="rId253"/>
    <hyperlink xmlns:r="http://schemas.openxmlformats.org/officeDocument/2006/relationships" ref="D128" r:id="rId254"/>
    <hyperlink xmlns:r="http://schemas.openxmlformats.org/officeDocument/2006/relationships" ref="C129" r:id="rId255"/>
    <hyperlink xmlns:r="http://schemas.openxmlformats.org/officeDocument/2006/relationships" ref="D129" r:id="rId256"/>
    <hyperlink xmlns:r="http://schemas.openxmlformats.org/officeDocument/2006/relationships" ref="C130" r:id="rId257"/>
    <hyperlink xmlns:r="http://schemas.openxmlformats.org/officeDocument/2006/relationships" ref="D130" r:id="rId258"/>
    <hyperlink xmlns:r="http://schemas.openxmlformats.org/officeDocument/2006/relationships" ref="C131" r:id="rId259"/>
    <hyperlink xmlns:r="http://schemas.openxmlformats.org/officeDocument/2006/relationships" ref="D131" r:id="rId260"/>
    <hyperlink xmlns:r="http://schemas.openxmlformats.org/officeDocument/2006/relationships" ref="C132" r:id="rId261"/>
    <hyperlink xmlns:r="http://schemas.openxmlformats.org/officeDocument/2006/relationships" ref="D132" r:id="rId262"/>
    <hyperlink xmlns:r="http://schemas.openxmlformats.org/officeDocument/2006/relationships" ref="C133" r:id="rId263"/>
    <hyperlink xmlns:r="http://schemas.openxmlformats.org/officeDocument/2006/relationships" ref="D133" r:id="rId264"/>
    <hyperlink xmlns:r="http://schemas.openxmlformats.org/officeDocument/2006/relationships" ref="C134" r:id="rId265"/>
    <hyperlink xmlns:r="http://schemas.openxmlformats.org/officeDocument/2006/relationships" ref="D134" r:id="rId266"/>
    <hyperlink xmlns:r="http://schemas.openxmlformats.org/officeDocument/2006/relationships" ref="C135" r:id="rId267"/>
    <hyperlink xmlns:r="http://schemas.openxmlformats.org/officeDocument/2006/relationships" ref="D135" r:id="rId268"/>
    <hyperlink xmlns:r="http://schemas.openxmlformats.org/officeDocument/2006/relationships" ref="C136" r:id="rId269"/>
    <hyperlink xmlns:r="http://schemas.openxmlformats.org/officeDocument/2006/relationships" ref="D136" r:id="rId270"/>
    <hyperlink xmlns:r="http://schemas.openxmlformats.org/officeDocument/2006/relationships" ref="C137" r:id="rId271"/>
    <hyperlink xmlns:r="http://schemas.openxmlformats.org/officeDocument/2006/relationships" ref="D137" r:id="rId272"/>
    <hyperlink xmlns:r="http://schemas.openxmlformats.org/officeDocument/2006/relationships" ref="C138" r:id="rId273"/>
    <hyperlink xmlns:r="http://schemas.openxmlformats.org/officeDocument/2006/relationships" ref="D138" r:id="rId274"/>
    <hyperlink xmlns:r="http://schemas.openxmlformats.org/officeDocument/2006/relationships" ref="C139" r:id="rId275"/>
    <hyperlink xmlns:r="http://schemas.openxmlformats.org/officeDocument/2006/relationships" ref="D139" r:id="rId276"/>
    <hyperlink xmlns:r="http://schemas.openxmlformats.org/officeDocument/2006/relationships" ref="C140" r:id="rId277"/>
    <hyperlink xmlns:r="http://schemas.openxmlformats.org/officeDocument/2006/relationships" ref="D140" r:id="rId278"/>
    <hyperlink xmlns:r="http://schemas.openxmlformats.org/officeDocument/2006/relationships" ref="C141" r:id="rId279"/>
    <hyperlink xmlns:r="http://schemas.openxmlformats.org/officeDocument/2006/relationships" ref="D141" r:id="rId280"/>
    <hyperlink xmlns:r="http://schemas.openxmlformats.org/officeDocument/2006/relationships" ref="C142" r:id="rId281"/>
    <hyperlink xmlns:r="http://schemas.openxmlformats.org/officeDocument/2006/relationships" ref="D142" r:id="rId282"/>
    <hyperlink xmlns:r="http://schemas.openxmlformats.org/officeDocument/2006/relationships" ref="C143" r:id="rId283"/>
    <hyperlink xmlns:r="http://schemas.openxmlformats.org/officeDocument/2006/relationships" ref="D143" r:id="rId284"/>
    <hyperlink xmlns:r="http://schemas.openxmlformats.org/officeDocument/2006/relationships" ref="C144" r:id="rId285"/>
    <hyperlink xmlns:r="http://schemas.openxmlformats.org/officeDocument/2006/relationships" ref="D144" r:id="rId286"/>
    <hyperlink xmlns:r="http://schemas.openxmlformats.org/officeDocument/2006/relationships" ref="C145" r:id="rId287"/>
    <hyperlink xmlns:r="http://schemas.openxmlformats.org/officeDocument/2006/relationships" ref="D145" r:id="rId288"/>
    <hyperlink xmlns:r="http://schemas.openxmlformats.org/officeDocument/2006/relationships" ref="C146" r:id="rId289"/>
    <hyperlink xmlns:r="http://schemas.openxmlformats.org/officeDocument/2006/relationships" ref="D146" r:id="rId290"/>
    <hyperlink xmlns:r="http://schemas.openxmlformats.org/officeDocument/2006/relationships" ref="C147" r:id="rId291"/>
    <hyperlink xmlns:r="http://schemas.openxmlformats.org/officeDocument/2006/relationships" ref="D147" r:id="rId292"/>
    <hyperlink xmlns:r="http://schemas.openxmlformats.org/officeDocument/2006/relationships" ref="C148" r:id="rId293"/>
    <hyperlink xmlns:r="http://schemas.openxmlformats.org/officeDocument/2006/relationships" ref="D148" r:id="rId294"/>
    <hyperlink xmlns:r="http://schemas.openxmlformats.org/officeDocument/2006/relationships" ref="C149" r:id="rId295"/>
    <hyperlink xmlns:r="http://schemas.openxmlformats.org/officeDocument/2006/relationships" ref="D149" r:id="rId296"/>
    <hyperlink xmlns:r="http://schemas.openxmlformats.org/officeDocument/2006/relationships" ref="C150" r:id="rId297"/>
    <hyperlink xmlns:r="http://schemas.openxmlformats.org/officeDocument/2006/relationships" ref="D150" r:id="rId298"/>
    <hyperlink xmlns:r="http://schemas.openxmlformats.org/officeDocument/2006/relationships" ref="C151" r:id="rId299"/>
    <hyperlink xmlns:r="http://schemas.openxmlformats.org/officeDocument/2006/relationships" ref="D151" r:id="rId300"/>
    <hyperlink xmlns:r="http://schemas.openxmlformats.org/officeDocument/2006/relationships" ref="C152" r:id="rId301"/>
    <hyperlink xmlns:r="http://schemas.openxmlformats.org/officeDocument/2006/relationships" ref="D152" r:id="rId302"/>
    <hyperlink xmlns:r="http://schemas.openxmlformats.org/officeDocument/2006/relationships" ref="C153" r:id="rId303"/>
    <hyperlink xmlns:r="http://schemas.openxmlformats.org/officeDocument/2006/relationships" ref="D153" r:id="rId304"/>
    <hyperlink xmlns:r="http://schemas.openxmlformats.org/officeDocument/2006/relationships" ref="C154" r:id="rId305"/>
    <hyperlink xmlns:r="http://schemas.openxmlformats.org/officeDocument/2006/relationships" ref="D154" r:id="rId306"/>
    <hyperlink xmlns:r="http://schemas.openxmlformats.org/officeDocument/2006/relationships" ref="C155" r:id="rId307"/>
    <hyperlink xmlns:r="http://schemas.openxmlformats.org/officeDocument/2006/relationships" ref="D155" r:id="rId308"/>
    <hyperlink xmlns:r="http://schemas.openxmlformats.org/officeDocument/2006/relationships" ref="C156" r:id="rId309"/>
    <hyperlink xmlns:r="http://schemas.openxmlformats.org/officeDocument/2006/relationships" ref="D156" r:id="rId310"/>
    <hyperlink xmlns:r="http://schemas.openxmlformats.org/officeDocument/2006/relationships" ref="C157" r:id="rId311"/>
    <hyperlink xmlns:r="http://schemas.openxmlformats.org/officeDocument/2006/relationships" ref="D157" r:id="rId312"/>
    <hyperlink xmlns:r="http://schemas.openxmlformats.org/officeDocument/2006/relationships" ref="C158" r:id="rId313"/>
    <hyperlink xmlns:r="http://schemas.openxmlformats.org/officeDocument/2006/relationships" ref="D158" r:id="rId314"/>
    <hyperlink xmlns:r="http://schemas.openxmlformats.org/officeDocument/2006/relationships" ref="C159" r:id="rId315"/>
    <hyperlink xmlns:r="http://schemas.openxmlformats.org/officeDocument/2006/relationships" ref="D159" r:id="rId316"/>
    <hyperlink xmlns:r="http://schemas.openxmlformats.org/officeDocument/2006/relationships" ref="C160" r:id="rId317"/>
    <hyperlink xmlns:r="http://schemas.openxmlformats.org/officeDocument/2006/relationships" ref="D160" r:id="rId318"/>
    <hyperlink xmlns:r="http://schemas.openxmlformats.org/officeDocument/2006/relationships" ref="C161" r:id="rId319"/>
    <hyperlink xmlns:r="http://schemas.openxmlformats.org/officeDocument/2006/relationships" ref="D161" r:id="rId320"/>
    <hyperlink xmlns:r="http://schemas.openxmlformats.org/officeDocument/2006/relationships" ref="C162" r:id="rId321"/>
    <hyperlink xmlns:r="http://schemas.openxmlformats.org/officeDocument/2006/relationships" ref="D162" r:id="rId322"/>
    <hyperlink xmlns:r="http://schemas.openxmlformats.org/officeDocument/2006/relationships" ref="C163" r:id="rId323"/>
    <hyperlink xmlns:r="http://schemas.openxmlformats.org/officeDocument/2006/relationships" ref="D163" r:id="rId324"/>
    <hyperlink xmlns:r="http://schemas.openxmlformats.org/officeDocument/2006/relationships" ref="C164" r:id="rId325"/>
    <hyperlink xmlns:r="http://schemas.openxmlformats.org/officeDocument/2006/relationships" ref="D164" r:id="rId326"/>
    <hyperlink xmlns:r="http://schemas.openxmlformats.org/officeDocument/2006/relationships" ref="C165" r:id="rId327"/>
    <hyperlink xmlns:r="http://schemas.openxmlformats.org/officeDocument/2006/relationships" ref="D165" r:id="rId328"/>
    <hyperlink xmlns:r="http://schemas.openxmlformats.org/officeDocument/2006/relationships" ref="C166" r:id="rId329"/>
    <hyperlink xmlns:r="http://schemas.openxmlformats.org/officeDocument/2006/relationships" ref="D166" r:id="rId330"/>
    <hyperlink xmlns:r="http://schemas.openxmlformats.org/officeDocument/2006/relationships" ref="C167" r:id="rId331"/>
    <hyperlink xmlns:r="http://schemas.openxmlformats.org/officeDocument/2006/relationships" ref="D167" r:id="rId332"/>
    <hyperlink xmlns:r="http://schemas.openxmlformats.org/officeDocument/2006/relationships" ref="C168" r:id="rId333"/>
    <hyperlink xmlns:r="http://schemas.openxmlformats.org/officeDocument/2006/relationships" ref="D168" r:id="rId334"/>
    <hyperlink xmlns:r="http://schemas.openxmlformats.org/officeDocument/2006/relationships" ref="C169" r:id="rId335"/>
    <hyperlink xmlns:r="http://schemas.openxmlformats.org/officeDocument/2006/relationships" ref="D169" r:id="rId336"/>
    <hyperlink xmlns:r="http://schemas.openxmlformats.org/officeDocument/2006/relationships" ref="C170" r:id="rId337"/>
    <hyperlink xmlns:r="http://schemas.openxmlformats.org/officeDocument/2006/relationships" ref="D170" r:id="rId338"/>
    <hyperlink xmlns:r="http://schemas.openxmlformats.org/officeDocument/2006/relationships" ref="C171" r:id="rId339"/>
    <hyperlink xmlns:r="http://schemas.openxmlformats.org/officeDocument/2006/relationships" ref="D171" r:id="rId340"/>
    <hyperlink xmlns:r="http://schemas.openxmlformats.org/officeDocument/2006/relationships" ref="C172" r:id="rId341"/>
    <hyperlink xmlns:r="http://schemas.openxmlformats.org/officeDocument/2006/relationships" ref="D172" r:id="rId342"/>
    <hyperlink xmlns:r="http://schemas.openxmlformats.org/officeDocument/2006/relationships" ref="C173" r:id="rId343"/>
    <hyperlink xmlns:r="http://schemas.openxmlformats.org/officeDocument/2006/relationships" ref="D173" r:id="rId344"/>
    <hyperlink xmlns:r="http://schemas.openxmlformats.org/officeDocument/2006/relationships" ref="C174" r:id="rId345"/>
    <hyperlink xmlns:r="http://schemas.openxmlformats.org/officeDocument/2006/relationships" ref="D174" r:id="rId346"/>
    <hyperlink xmlns:r="http://schemas.openxmlformats.org/officeDocument/2006/relationships" ref="C175" r:id="rId347"/>
    <hyperlink xmlns:r="http://schemas.openxmlformats.org/officeDocument/2006/relationships" ref="D175" r:id="rId348"/>
    <hyperlink xmlns:r="http://schemas.openxmlformats.org/officeDocument/2006/relationships" ref="C176" r:id="rId349"/>
    <hyperlink xmlns:r="http://schemas.openxmlformats.org/officeDocument/2006/relationships" ref="D176" r:id="rId350"/>
    <hyperlink xmlns:r="http://schemas.openxmlformats.org/officeDocument/2006/relationships" ref="C177" r:id="rId351"/>
    <hyperlink xmlns:r="http://schemas.openxmlformats.org/officeDocument/2006/relationships" ref="D177" r:id="rId352"/>
    <hyperlink xmlns:r="http://schemas.openxmlformats.org/officeDocument/2006/relationships" ref="C178" r:id="rId353"/>
    <hyperlink xmlns:r="http://schemas.openxmlformats.org/officeDocument/2006/relationships" ref="D178" r:id="rId354"/>
    <hyperlink xmlns:r="http://schemas.openxmlformats.org/officeDocument/2006/relationships" ref="C179" r:id="rId355"/>
    <hyperlink xmlns:r="http://schemas.openxmlformats.org/officeDocument/2006/relationships" ref="D179" r:id="rId356"/>
    <hyperlink xmlns:r="http://schemas.openxmlformats.org/officeDocument/2006/relationships" ref="C180" r:id="rId357"/>
    <hyperlink xmlns:r="http://schemas.openxmlformats.org/officeDocument/2006/relationships" ref="D180" r:id="rId358"/>
    <hyperlink xmlns:r="http://schemas.openxmlformats.org/officeDocument/2006/relationships" ref="C181" r:id="rId359"/>
    <hyperlink xmlns:r="http://schemas.openxmlformats.org/officeDocument/2006/relationships" ref="D181" r:id="rId360"/>
    <hyperlink xmlns:r="http://schemas.openxmlformats.org/officeDocument/2006/relationships" ref="C182" r:id="rId361"/>
    <hyperlink xmlns:r="http://schemas.openxmlformats.org/officeDocument/2006/relationships" ref="D182" r:id="rId362"/>
    <hyperlink xmlns:r="http://schemas.openxmlformats.org/officeDocument/2006/relationships" ref="C183" r:id="rId363"/>
    <hyperlink xmlns:r="http://schemas.openxmlformats.org/officeDocument/2006/relationships" ref="D183" r:id="rId364"/>
    <hyperlink xmlns:r="http://schemas.openxmlformats.org/officeDocument/2006/relationships" ref="C184" r:id="rId365"/>
    <hyperlink xmlns:r="http://schemas.openxmlformats.org/officeDocument/2006/relationships" ref="D184" r:id="rId366"/>
    <hyperlink xmlns:r="http://schemas.openxmlformats.org/officeDocument/2006/relationships" ref="C185" r:id="rId367"/>
    <hyperlink xmlns:r="http://schemas.openxmlformats.org/officeDocument/2006/relationships" ref="D185" r:id="rId368"/>
    <hyperlink xmlns:r="http://schemas.openxmlformats.org/officeDocument/2006/relationships" ref="C186" r:id="rId369"/>
    <hyperlink xmlns:r="http://schemas.openxmlformats.org/officeDocument/2006/relationships" ref="D186" r:id="rId370"/>
    <hyperlink xmlns:r="http://schemas.openxmlformats.org/officeDocument/2006/relationships" ref="C187" r:id="rId371"/>
    <hyperlink xmlns:r="http://schemas.openxmlformats.org/officeDocument/2006/relationships" ref="D187" r:id="rId372"/>
    <hyperlink xmlns:r="http://schemas.openxmlformats.org/officeDocument/2006/relationships" ref="C188" r:id="rId373"/>
    <hyperlink xmlns:r="http://schemas.openxmlformats.org/officeDocument/2006/relationships" ref="D188" r:id="rId374"/>
    <hyperlink xmlns:r="http://schemas.openxmlformats.org/officeDocument/2006/relationships" ref="C189" r:id="rId375"/>
    <hyperlink xmlns:r="http://schemas.openxmlformats.org/officeDocument/2006/relationships" ref="D189" r:id="rId376"/>
    <hyperlink xmlns:r="http://schemas.openxmlformats.org/officeDocument/2006/relationships" ref="C190" r:id="rId377"/>
    <hyperlink xmlns:r="http://schemas.openxmlformats.org/officeDocument/2006/relationships" ref="D190" r:id="rId378"/>
    <hyperlink xmlns:r="http://schemas.openxmlformats.org/officeDocument/2006/relationships" ref="C191" r:id="rId379"/>
    <hyperlink xmlns:r="http://schemas.openxmlformats.org/officeDocument/2006/relationships" ref="D191" r:id="rId380"/>
    <hyperlink xmlns:r="http://schemas.openxmlformats.org/officeDocument/2006/relationships" ref="C192" r:id="rId381"/>
    <hyperlink xmlns:r="http://schemas.openxmlformats.org/officeDocument/2006/relationships" ref="D192" r:id="rId382"/>
    <hyperlink xmlns:r="http://schemas.openxmlformats.org/officeDocument/2006/relationships" ref="C193" r:id="rId383"/>
    <hyperlink xmlns:r="http://schemas.openxmlformats.org/officeDocument/2006/relationships" ref="D193" r:id="rId384"/>
    <hyperlink xmlns:r="http://schemas.openxmlformats.org/officeDocument/2006/relationships" ref="C194" r:id="rId385"/>
    <hyperlink xmlns:r="http://schemas.openxmlformats.org/officeDocument/2006/relationships" ref="D194" r:id="rId386"/>
    <hyperlink xmlns:r="http://schemas.openxmlformats.org/officeDocument/2006/relationships" ref="C195" r:id="rId387"/>
    <hyperlink xmlns:r="http://schemas.openxmlformats.org/officeDocument/2006/relationships" ref="D195" r:id="rId388"/>
    <hyperlink xmlns:r="http://schemas.openxmlformats.org/officeDocument/2006/relationships" ref="C196" r:id="rId389"/>
    <hyperlink xmlns:r="http://schemas.openxmlformats.org/officeDocument/2006/relationships" ref="D196" r:id="rId390"/>
    <hyperlink xmlns:r="http://schemas.openxmlformats.org/officeDocument/2006/relationships" ref="C197" r:id="rId391"/>
    <hyperlink xmlns:r="http://schemas.openxmlformats.org/officeDocument/2006/relationships" ref="D197" r:id="rId392"/>
    <hyperlink xmlns:r="http://schemas.openxmlformats.org/officeDocument/2006/relationships" ref="C198" r:id="rId393"/>
    <hyperlink xmlns:r="http://schemas.openxmlformats.org/officeDocument/2006/relationships" ref="D198" r:id="rId394"/>
    <hyperlink xmlns:r="http://schemas.openxmlformats.org/officeDocument/2006/relationships" ref="C199" r:id="rId395"/>
    <hyperlink xmlns:r="http://schemas.openxmlformats.org/officeDocument/2006/relationships" ref="D199" r:id="rId396"/>
    <hyperlink xmlns:r="http://schemas.openxmlformats.org/officeDocument/2006/relationships" ref="C200" r:id="rId397"/>
    <hyperlink xmlns:r="http://schemas.openxmlformats.org/officeDocument/2006/relationships" ref="D200" r:id="rId398"/>
    <hyperlink xmlns:r="http://schemas.openxmlformats.org/officeDocument/2006/relationships" ref="C201" r:id="rId399"/>
    <hyperlink xmlns:r="http://schemas.openxmlformats.org/officeDocument/2006/relationships" ref="D201" r:id="rId400"/>
    <hyperlink xmlns:r="http://schemas.openxmlformats.org/officeDocument/2006/relationships" ref="C202" r:id="rId401"/>
    <hyperlink xmlns:r="http://schemas.openxmlformats.org/officeDocument/2006/relationships" ref="D202" r:id="rId402"/>
    <hyperlink xmlns:r="http://schemas.openxmlformats.org/officeDocument/2006/relationships" ref="C203" r:id="rId403"/>
    <hyperlink xmlns:r="http://schemas.openxmlformats.org/officeDocument/2006/relationships" ref="D203" r:id="rId404"/>
    <hyperlink xmlns:r="http://schemas.openxmlformats.org/officeDocument/2006/relationships" ref="C204" r:id="rId405"/>
    <hyperlink xmlns:r="http://schemas.openxmlformats.org/officeDocument/2006/relationships" ref="D204" r:id="rId406"/>
    <hyperlink xmlns:r="http://schemas.openxmlformats.org/officeDocument/2006/relationships" ref="C205" r:id="rId407"/>
    <hyperlink xmlns:r="http://schemas.openxmlformats.org/officeDocument/2006/relationships" ref="D205" r:id="rId408"/>
    <hyperlink xmlns:r="http://schemas.openxmlformats.org/officeDocument/2006/relationships" ref="C206" r:id="rId409"/>
    <hyperlink xmlns:r="http://schemas.openxmlformats.org/officeDocument/2006/relationships" ref="D206" r:id="rId410"/>
    <hyperlink xmlns:r="http://schemas.openxmlformats.org/officeDocument/2006/relationships" ref="C207" r:id="rId411"/>
    <hyperlink xmlns:r="http://schemas.openxmlformats.org/officeDocument/2006/relationships" ref="D207" r:id="rId412"/>
    <hyperlink xmlns:r="http://schemas.openxmlformats.org/officeDocument/2006/relationships" ref="C208" r:id="rId413"/>
    <hyperlink xmlns:r="http://schemas.openxmlformats.org/officeDocument/2006/relationships" ref="D208" r:id="rId414"/>
    <hyperlink xmlns:r="http://schemas.openxmlformats.org/officeDocument/2006/relationships" ref="C209" r:id="rId415"/>
    <hyperlink xmlns:r="http://schemas.openxmlformats.org/officeDocument/2006/relationships" ref="D209" r:id="rId416"/>
    <hyperlink xmlns:r="http://schemas.openxmlformats.org/officeDocument/2006/relationships" ref="C210" r:id="rId417"/>
    <hyperlink xmlns:r="http://schemas.openxmlformats.org/officeDocument/2006/relationships" ref="D210" r:id="rId418"/>
    <hyperlink xmlns:r="http://schemas.openxmlformats.org/officeDocument/2006/relationships" ref="C211" r:id="rId419"/>
    <hyperlink xmlns:r="http://schemas.openxmlformats.org/officeDocument/2006/relationships" ref="D211" r:id="rId420"/>
    <hyperlink xmlns:r="http://schemas.openxmlformats.org/officeDocument/2006/relationships" ref="C212" r:id="rId421"/>
    <hyperlink xmlns:r="http://schemas.openxmlformats.org/officeDocument/2006/relationships" ref="D212" r:id="rId422"/>
    <hyperlink xmlns:r="http://schemas.openxmlformats.org/officeDocument/2006/relationships" ref="C213" r:id="rId423"/>
    <hyperlink xmlns:r="http://schemas.openxmlformats.org/officeDocument/2006/relationships" ref="D213" r:id="rId424"/>
    <hyperlink xmlns:r="http://schemas.openxmlformats.org/officeDocument/2006/relationships" ref="C214" r:id="rId425"/>
    <hyperlink xmlns:r="http://schemas.openxmlformats.org/officeDocument/2006/relationships" ref="D214" r:id="rId426"/>
    <hyperlink xmlns:r="http://schemas.openxmlformats.org/officeDocument/2006/relationships" ref="C215" r:id="rId427"/>
    <hyperlink xmlns:r="http://schemas.openxmlformats.org/officeDocument/2006/relationships" ref="D215" r:id="rId428"/>
    <hyperlink xmlns:r="http://schemas.openxmlformats.org/officeDocument/2006/relationships" ref="C216" r:id="rId429"/>
    <hyperlink xmlns:r="http://schemas.openxmlformats.org/officeDocument/2006/relationships" ref="D216" r:id="rId430"/>
    <hyperlink xmlns:r="http://schemas.openxmlformats.org/officeDocument/2006/relationships" ref="C217" r:id="rId431"/>
    <hyperlink xmlns:r="http://schemas.openxmlformats.org/officeDocument/2006/relationships" ref="D217" r:id="rId432"/>
    <hyperlink xmlns:r="http://schemas.openxmlformats.org/officeDocument/2006/relationships" ref="C218" r:id="rId433"/>
    <hyperlink xmlns:r="http://schemas.openxmlformats.org/officeDocument/2006/relationships" ref="D218" r:id="rId434"/>
    <hyperlink xmlns:r="http://schemas.openxmlformats.org/officeDocument/2006/relationships" ref="C219" r:id="rId435"/>
    <hyperlink xmlns:r="http://schemas.openxmlformats.org/officeDocument/2006/relationships" ref="D219" r:id="rId436"/>
    <hyperlink xmlns:r="http://schemas.openxmlformats.org/officeDocument/2006/relationships" ref="C220" r:id="rId437"/>
    <hyperlink xmlns:r="http://schemas.openxmlformats.org/officeDocument/2006/relationships" ref="D220" r:id="rId438"/>
    <hyperlink xmlns:r="http://schemas.openxmlformats.org/officeDocument/2006/relationships" ref="C221" r:id="rId439"/>
    <hyperlink xmlns:r="http://schemas.openxmlformats.org/officeDocument/2006/relationships" ref="D221" r:id="rId440"/>
    <hyperlink xmlns:r="http://schemas.openxmlformats.org/officeDocument/2006/relationships" ref="C222" r:id="rId441"/>
    <hyperlink xmlns:r="http://schemas.openxmlformats.org/officeDocument/2006/relationships" ref="D222" r:id="rId442"/>
    <hyperlink xmlns:r="http://schemas.openxmlformats.org/officeDocument/2006/relationships" ref="C223" r:id="rId443"/>
    <hyperlink xmlns:r="http://schemas.openxmlformats.org/officeDocument/2006/relationships" ref="D223" r:id="rId444"/>
    <hyperlink xmlns:r="http://schemas.openxmlformats.org/officeDocument/2006/relationships" ref="C224" r:id="rId445"/>
    <hyperlink xmlns:r="http://schemas.openxmlformats.org/officeDocument/2006/relationships" ref="D224" r:id="rId446"/>
    <hyperlink xmlns:r="http://schemas.openxmlformats.org/officeDocument/2006/relationships" ref="C225" r:id="rId447"/>
    <hyperlink xmlns:r="http://schemas.openxmlformats.org/officeDocument/2006/relationships" ref="D225" r:id="rId448"/>
    <hyperlink xmlns:r="http://schemas.openxmlformats.org/officeDocument/2006/relationships" ref="C226" r:id="rId449"/>
    <hyperlink xmlns:r="http://schemas.openxmlformats.org/officeDocument/2006/relationships" ref="D226" r:id="rId450"/>
    <hyperlink xmlns:r="http://schemas.openxmlformats.org/officeDocument/2006/relationships" ref="C227" r:id="rId451"/>
    <hyperlink xmlns:r="http://schemas.openxmlformats.org/officeDocument/2006/relationships" ref="D227" r:id="rId452"/>
    <hyperlink xmlns:r="http://schemas.openxmlformats.org/officeDocument/2006/relationships" ref="C228" r:id="rId453"/>
    <hyperlink xmlns:r="http://schemas.openxmlformats.org/officeDocument/2006/relationships" ref="D228" r:id="rId454"/>
    <hyperlink xmlns:r="http://schemas.openxmlformats.org/officeDocument/2006/relationships" ref="C229" r:id="rId455"/>
    <hyperlink xmlns:r="http://schemas.openxmlformats.org/officeDocument/2006/relationships" ref="D229" r:id="rId456"/>
    <hyperlink xmlns:r="http://schemas.openxmlformats.org/officeDocument/2006/relationships" ref="C230" r:id="rId457"/>
    <hyperlink xmlns:r="http://schemas.openxmlformats.org/officeDocument/2006/relationships" ref="D230" r:id="rId458"/>
    <hyperlink xmlns:r="http://schemas.openxmlformats.org/officeDocument/2006/relationships" ref="C231" r:id="rId459"/>
    <hyperlink xmlns:r="http://schemas.openxmlformats.org/officeDocument/2006/relationships" ref="D231" r:id="rId460"/>
    <hyperlink xmlns:r="http://schemas.openxmlformats.org/officeDocument/2006/relationships" ref="C232" r:id="rId461"/>
    <hyperlink xmlns:r="http://schemas.openxmlformats.org/officeDocument/2006/relationships" ref="D232" r:id="rId462"/>
    <hyperlink xmlns:r="http://schemas.openxmlformats.org/officeDocument/2006/relationships" ref="C233" r:id="rId463"/>
    <hyperlink xmlns:r="http://schemas.openxmlformats.org/officeDocument/2006/relationships" ref="D233" r:id="rId464"/>
    <hyperlink xmlns:r="http://schemas.openxmlformats.org/officeDocument/2006/relationships" ref="C234" r:id="rId465"/>
    <hyperlink xmlns:r="http://schemas.openxmlformats.org/officeDocument/2006/relationships" ref="D234" r:id="rId466"/>
    <hyperlink xmlns:r="http://schemas.openxmlformats.org/officeDocument/2006/relationships" ref="C235" r:id="rId467"/>
    <hyperlink xmlns:r="http://schemas.openxmlformats.org/officeDocument/2006/relationships" ref="D235" r:id="rId468"/>
    <hyperlink xmlns:r="http://schemas.openxmlformats.org/officeDocument/2006/relationships" ref="C236" r:id="rId469"/>
    <hyperlink xmlns:r="http://schemas.openxmlformats.org/officeDocument/2006/relationships" ref="D236" r:id="rId470"/>
    <hyperlink xmlns:r="http://schemas.openxmlformats.org/officeDocument/2006/relationships" ref="C237" r:id="rId471"/>
    <hyperlink xmlns:r="http://schemas.openxmlformats.org/officeDocument/2006/relationships" ref="D237" r:id="rId472"/>
    <hyperlink xmlns:r="http://schemas.openxmlformats.org/officeDocument/2006/relationships" ref="C238" r:id="rId473"/>
    <hyperlink xmlns:r="http://schemas.openxmlformats.org/officeDocument/2006/relationships" ref="D238" r:id="rId474"/>
    <hyperlink xmlns:r="http://schemas.openxmlformats.org/officeDocument/2006/relationships" ref="C239" r:id="rId475"/>
    <hyperlink xmlns:r="http://schemas.openxmlformats.org/officeDocument/2006/relationships" ref="D239" r:id="rId476"/>
    <hyperlink xmlns:r="http://schemas.openxmlformats.org/officeDocument/2006/relationships" ref="C240" r:id="rId477"/>
    <hyperlink xmlns:r="http://schemas.openxmlformats.org/officeDocument/2006/relationships" ref="D240" r:id="rId478"/>
    <hyperlink xmlns:r="http://schemas.openxmlformats.org/officeDocument/2006/relationships" ref="C241" r:id="rId479"/>
    <hyperlink xmlns:r="http://schemas.openxmlformats.org/officeDocument/2006/relationships" ref="D241" r:id="rId480"/>
    <hyperlink xmlns:r="http://schemas.openxmlformats.org/officeDocument/2006/relationships" ref="C242" r:id="rId481"/>
    <hyperlink xmlns:r="http://schemas.openxmlformats.org/officeDocument/2006/relationships" ref="D242" r:id="rId482"/>
    <hyperlink xmlns:r="http://schemas.openxmlformats.org/officeDocument/2006/relationships" ref="C243" r:id="rId483"/>
    <hyperlink xmlns:r="http://schemas.openxmlformats.org/officeDocument/2006/relationships" ref="D243" r:id="rId484"/>
    <hyperlink xmlns:r="http://schemas.openxmlformats.org/officeDocument/2006/relationships" ref="C244" r:id="rId485"/>
    <hyperlink xmlns:r="http://schemas.openxmlformats.org/officeDocument/2006/relationships" ref="D244" r:id="rId486"/>
    <hyperlink xmlns:r="http://schemas.openxmlformats.org/officeDocument/2006/relationships" ref="C245" r:id="rId487"/>
    <hyperlink xmlns:r="http://schemas.openxmlformats.org/officeDocument/2006/relationships" ref="D245" r:id="rId488"/>
    <hyperlink xmlns:r="http://schemas.openxmlformats.org/officeDocument/2006/relationships" ref="C246" r:id="rId489"/>
    <hyperlink xmlns:r="http://schemas.openxmlformats.org/officeDocument/2006/relationships" ref="D246" r:id="rId490"/>
    <hyperlink xmlns:r="http://schemas.openxmlformats.org/officeDocument/2006/relationships" ref="C247" r:id="rId491"/>
    <hyperlink xmlns:r="http://schemas.openxmlformats.org/officeDocument/2006/relationships" ref="D247" r:id="rId492"/>
    <hyperlink xmlns:r="http://schemas.openxmlformats.org/officeDocument/2006/relationships" ref="C248" r:id="rId493"/>
    <hyperlink xmlns:r="http://schemas.openxmlformats.org/officeDocument/2006/relationships" ref="D248" r:id="rId494"/>
    <hyperlink xmlns:r="http://schemas.openxmlformats.org/officeDocument/2006/relationships" ref="C249" r:id="rId495"/>
    <hyperlink xmlns:r="http://schemas.openxmlformats.org/officeDocument/2006/relationships" ref="D249" r:id="rId496"/>
    <hyperlink xmlns:r="http://schemas.openxmlformats.org/officeDocument/2006/relationships" ref="C250" r:id="rId497"/>
    <hyperlink xmlns:r="http://schemas.openxmlformats.org/officeDocument/2006/relationships" ref="D250" r:id="rId498"/>
    <hyperlink xmlns:r="http://schemas.openxmlformats.org/officeDocument/2006/relationships" ref="C251" r:id="rId499"/>
    <hyperlink xmlns:r="http://schemas.openxmlformats.org/officeDocument/2006/relationships" ref="D251" r:id="rId500"/>
    <hyperlink xmlns:r="http://schemas.openxmlformats.org/officeDocument/2006/relationships" ref="C252" r:id="rId501"/>
    <hyperlink xmlns:r="http://schemas.openxmlformats.org/officeDocument/2006/relationships" ref="D252" r:id="rId502"/>
    <hyperlink xmlns:r="http://schemas.openxmlformats.org/officeDocument/2006/relationships" ref="C253" r:id="rId503"/>
    <hyperlink xmlns:r="http://schemas.openxmlformats.org/officeDocument/2006/relationships" ref="D253" r:id="rId504"/>
    <hyperlink xmlns:r="http://schemas.openxmlformats.org/officeDocument/2006/relationships" ref="C254" r:id="rId505"/>
    <hyperlink xmlns:r="http://schemas.openxmlformats.org/officeDocument/2006/relationships" ref="D254" r:id="rId506"/>
    <hyperlink xmlns:r="http://schemas.openxmlformats.org/officeDocument/2006/relationships" ref="C255" r:id="rId507"/>
    <hyperlink xmlns:r="http://schemas.openxmlformats.org/officeDocument/2006/relationships" ref="D255" r:id="rId508"/>
    <hyperlink xmlns:r="http://schemas.openxmlformats.org/officeDocument/2006/relationships" ref="C256" r:id="rId509"/>
    <hyperlink xmlns:r="http://schemas.openxmlformats.org/officeDocument/2006/relationships" ref="D256" r:id="rId510"/>
    <hyperlink xmlns:r="http://schemas.openxmlformats.org/officeDocument/2006/relationships" ref="C257" r:id="rId511"/>
    <hyperlink xmlns:r="http://schemas.openxmlformats.org/officeDocument/2006/relationships" ref="D257" r:id="rId512"/>
    <hyperlink xmlns:r="http://schemas.openxmlformats.org/officeDocument/2006/relationships" ref="C258" r:id="rId513"/>
    <hyperlink xmlns:r="http://schemas.openxmlformats.org/officeDocument/2006/relationships" ref="D258" r:id="rId514"/>
    <hyperlink xmlns:r="http://schemas.openxmlformats.org/officeDocument/2006/relationships" ref="C259" r:id="rId515"/>
    <hyperlink xmlns:r="http://schemas.openxmlformats.org/officeDocument/2006/relationships" ref="D259" r:id="rId516"/>
    <hyperlink xmlns:r="http://schemas.openxmlformats.org/officeDocument/2006/relationships" ref="C260" r:id="rId517"/>
    <hyperlink xmlns:r="http://schemas.openxmlformats.org/officeDocument/2006/relationships" ref="D260" r:id="rId518"/>
    <hyperlink xmlns:r="http://schemas.openxmlformats.org/officeDocument/2006/relationships" ref="C261" r:id="rId519"/>
    <hyperlink xmlns:r="http://schemas.openxmlformats.org/officeDocument/2006/relationships" ref="D261" r:id="rId520"/>
    <hyperlink xmlns:r="http://schemas.openxmlformats.org/officeDocument/2006/relationships" ref="C262" r:id="rId521"/>
    <hyperlink xmlns:r="http://schemas.openxmlformats.org/officeDocument/2006/relationships" ref="D262" r:id="rId522"/>
    <hyperlink xmlns:r="http://schemas.openxmlformats.org/officeDocument/2006/relationships" ref="C263" r:id="rId523"/>
    <hyperlink xmlns:r="http://schemas.openxmlformats.org/officeDocument/2006/relationships" ref="D263" r:id="rId524"/>
    <hyperlink xmlns:r="http://schemas.openxmlformats.org/officeDocument/2006/relationships" ref="C264" r:id="rId525"/>
    <hyperlink xmlns:r="http://schemas.openxmlformats.org/officeDocument/2006/relationships" ref="D264" r:id="rId526"/>
    <hyperlink xmlns:r="http://schemas.openxmlformats.org/officeDocument/2006/relationships" ref="C265" r:id="rId527"/>
    <hyperlink xmlns:r="http://schemas.openxmlformats.org/officeDocument/2006/relationships" ref="D265" r:id="rId528"/>
    <hyperlink xmlns:r="http://schemas.openxmlformats.org/officeDocument/2006/relationships" ref="C266" r:id="rId529"/>
    <hyperlink xmlns:r="http://schemas.openxmlformats.org/officeDocument/2006/relationships" ref="D266" r:id="rId530"/>
    <hyperlink xmlns:r="http://schemas.openxmlformats.org/officeDocument/2006/relationships" ref="C267" r:id="rId531"/>
    <hyperlink xmlns:r="http://schemas.openxmlformats.org/officeDocument/2006/relationships" ref="D267" r:id="rId532"/>
    <hyperlink xmlns:r="http://schemas.openxmlformats.org/officeDocument/2006/relationships" ref="C268" r:id="rId533"/>
    <hyperlink xmlns:r="http://schemas.openxmlformats.org/officeDocument/2006/relationships" ref="D268" r:id="rId534"/>
    <hyperlink xmlns:r="http://schemas.openxmlformats.org/officeDocument/2006/relationships" ref="C269" r:id="rId535"/>
    <hyperlink xmlns:r="http://schemas.openxmlformats.org/officeDocument/2006/relationships" ref="D269" r:id="rId536"/>
    <hyperlink xmlns:r="http://schemas.openxmlformats.org/officeDocument/2006/relationships" ref="C270" r:id="rId537"/>
    <hyperlink xmlns:r="http://schemas.openxmlformats.org/officeDocument/2006/relationships" ref="D270" r:id="rId538"/>
    <hyperlink xmlns:r="http://schemas.openxmlformats.org/officeDocument/2006/relationships" ref="C271" r:id="rId539"/>
    <hyperlink xmlns:r="http://schemas.openxmlformats.org/officeDocument/2006/relationships" ref="D271" r:id="rId540"/>
    <hyperlink xmlns:r="http://schemas.openxmlformats.org/officeDocument/2006/relationships" ref="C272" r:id="rId541"/>
    <hyperlink xmlns:r="http://schemas.openxmlformats.org/officeDocument/2006/relationships" ref="D272" r:id="rId542"/>
    <hyperlink xmlns:r="http://schemas.openxmlformats.org/officeDocument/2006/relationships" ref="C273" r:id="rId543"/>
    <hyperlink xmlns:r="http://schemas.openxmlformats.org/officeDocument/2006/relationships" ref="D273" r:id="rId544"/>
    <hyperlink xmlns:r="http://schemas.openxmlformats.org/officeDocument/2006/relationships" ref="C274" r:id="rId545"/>
    <hyperlink xmlns:r="http://schemas.openxmlformats.org/officeDocument/2006/relationships" ref="D274" r:id="rId546"/>
    <hyperlink xmlns:r="http://schemas.openxmlformats.org/officeDocument/2006/relationships" ref="C275" r:id="rId547"/>
    <hyperlink xmlns:r="http://schemas.openxmlformats.org/officeDocument/2006/relationships" ref="D275" r:id="rId548"/>
    <hyperlink xmlns:r="http://schemas.openxmlformats.org/officeDocument/2006/relationships" ref="C276" r:id="rId549"/>
    <hyperlink xmlns:r="http://schemas.openxmlformats.org/officeDocument/2006/relationships" ref="D276" r:id="rId550"/>
    <hyperlink xmlns:r="http://schemas.openxmlformats.org/officeDocument/2006/relationships" ref="C277" r:id="rId551"/>
    <hyperlink xmlns:r="http://schemas.openxmlformats.org/officeDocument/2006/relationships" ref="D277" r:id="rId552"/>
    <hyperlink xmlns:r="http://schemas.openxmlformats.org/officeDocument/2006/relationships" ref="C278" r:id="rId553"/>
    <hyperlink xmlns:r="http://schemas.openxmlformats.org/officeDocument/2006/relationships" ref="D278" r:id="rId554"/>
    <hyperlink xmlns:r="http://schemas.openxmlformats.org/officeDocument/2006/relationships" ref="C279" r:id="rId555"/>
    <hyperlink xmlns:r="http://schemas.openxmlformats.org/officeDocument/2006/relationships" ref="D279" r:id="rId556"/>
    <hyperlink xmlns:r="http://schemas.openxmlformats.org/officeDocument/2006/relationships" ref="C280" r:id="rId557"/>
    <hyperlink xmlns:r="http://schemas.openxmlformats.org/officeDocument/2006/relationships" ref="D280" r:id="rId558"/>
    <hyperlink xmlns:r="http://schemas.openxmlformats.org/officeDocument/2006/relationships" ref="C281" r:id="rId559"/>
    <hyperlink xmlns:r="http://schemas.openxmlformats.org/officeDocument/2006/relationships" ref="D281" r:id="rId560"/>
    <hyperlink xmlns:r="http://schemas.openxmlformats.org/officeDocument/2006/relationships" ref="C282" r:id="rId561"/>
    <hyperlink xmlns:r="http://schemas.openxmlformats.org/officeDocument/2006/relationships" ref="D282" r:id="rId562"/>
    <hyperlink xmlns:r="http://schemas.openxmlformats.org/officeDocument/2006/relationships" ref="C283" r:id="rId563"/>
    <hyperlink xmlns:r="http://schemas.openxmlformats.org/officeDocument/2006/relationships" ref="D283" r:id="rId564"/>
    <hyperlink xmlns:r="http://schemas.openxmlformats.org/officeDocument/2006/relationships" ref="C284" r:id="rId565"/>
    <hyperlink xmlns:r="http://schemas.openxmlformats.org/officeDocument/2006/relationships" ref="D284" r:id="rId566"/>
    <hyperlink xmlns:r="http://schemas.openxmlformats.org/officeDocument/2006/relationships" ref="C285" r:id="rId567"/>
    <hyperlink xmlns:r="http://schemas.openxmlformats.org/officeDocument/2006/relationships" ref="D285" r:id="rId568"/>
    <hyperlink xmlns:r="http://schemas.openxmlformats.org/officeDocument/2006/relationships" ref="C286" r:id="rId569"/>
    <hyperlink xmlns:r="http://schemas.openxmlformats.org/officeDocument/2006/relationships" ref="D286" r:id="rId570"/>
    <hyperlink xmlns:r="http://schemas.openxmlformats.org/officeDocument/2006/relationships" ref="C287" r:id="rId571"/>
    <hyperlink xmlns:r="http://schemas.openxmlformats.org/officeDocument/2006/relationships" ref="D287" r:id="rId572"/>
    <hyperlink xmlns:r="http://schemas.openxmlformats.org/officeDocument/2006/relationships" ref="C288" r:id="rId573"/>
    <hyperlink xmlns:r="http://schemas.openxmlformats.org/officeDocument/2006/relationships" ref="D288" r:id="rId574"/>
    <hyperlink xmlns:r="http://schemas.openxmlformats.org/officeDocument/2006/relationships" ref="C289" r:id="rId575"/>
    <hyperlink xmlns:r="http://schemas.openxmlformats.org/officeDocument/2006/relationships" ref="D289" r:id="rId576"/>
    <hyperlink xmlns:r="http://schemas.openxmlformats.org/officeDocument/2006/relationships" ref="C290" r:id="rId577"/>
    <hyperlink xmlns:r="http://schemas.openxmlformats.org/officeDocument/2006/relationships" ref="D290" r:id="rId578"/>
    <hyperlink xmlns:r="http://schemas.openxmlformats.org/officeDocument/2006/relationships" ref="C291" r:id="rId579"/>
    <hyperlink xmlns:r="http://schemas.openxmlformats.org/officeDocument/2006/relationships" ref="D291" r:id="rId580"/>
    <hyperlink xmlns:r="http://schemas.openxmlformats.org/officeDocument/2006/relationships" ref="C292" r:id="rId581"/>
    <hyperlink xmlns:r="http://schemas.openxmlformats.org/officeDocument/2006/relationships" ref="D292" r:id="rId582"/>
    <hyperlink xmlns:r="http://schemas.openxmlformats.org/officeDocument/2006/relationships" ref="C293" r:id="rId583"/>
    <hyperlink xmlns:r="http://schemas.openxmlformats.org/officeDocument/2006/relationships" ref="D293" r:id="rId584"/>
    <hyperlink xmlns:r="http://schemas.openxmlformats.org/officeDocument/2006/relationships" ref="C294" r:id="rId585"/>
    <hyperlink xmlns:r="http://schemas.openxmlformats.org/officeDocument/2006/relationships" ref="D294" r:id="rId586"/>
    <hyperlink xmlns:r="http://schemas.openxmlformats.org/officeDocument/2006/relationships" ref="C295" r:id="rId587"/>
    <hyperlink xmlns:r="http://schemas.openxmlformats.org/officeDocument/2006/relationships" ref="D295" r:id="rId588"/>
    <hyperlink xmlns:r="http://schemas.openxmlformats.org/officeDocument/2006/relationships" ref="C296" r:id="rId589"/>
    <hyperlink xmlns:r="http://schemas.openxmlformats.org/officeDocument/2006/relationships" ref="D296" r:id="rId590"/>
    <hyperlink xmlns:r="http://schemas.openxmlformats.org/officeDocument/2006/relationships" ref="C297" r:id="rId591"/>
    <hyperlink xmlns:r="http://schemas.openxmlformats.org/officeDocument/2006/relationships" ref="D297" r:id="rId592"/>
    <hyperlink xmlns:r="http://schemas.openxmlformats.org/officeDocument/2006/relationships" ref="C298" r:id="rId593"/>
    <hyperlink xmlns:r="http://schemas.openxmlformats.org/officeDocument/2006/relationships" ref="D298" r:id="rId594"/>
    <hyperlink xmlns:r="http://schemas.openxmlformats.org/officeDocument/2006/relationships" ref="C299" r:id="rId595"/>
    <hyperlink xmlns:r="http://schemas.openxmlformats.org/officeDocument/2006/relationships" ref="D299" r:id="rId596"/>
    <hyperlink xmlns:r="http://schemas.openxmlformats.org/officeDocument/2006/relationships" ref="C300" r:id="rId597"/>
    <hyperlink xmlns:r="http://schemas.openxmlformats.org/officeDocument/2006/relationships" ref="D300" r:id="rId598"/>
    <hyperlink xmlns:r="http://schemas.openxmlformats.org/officeDocument/2006/relationships" ref="C301" r:id="rId599"/>
    <hyperlink xmlns:r="http://schemas.openxmlformats.org/officeDocument/2006/relationships" ref="D301" r:id="rId600"/>
    <hyperlink xmlns:r="http://schemas.openxmlformats.org/officeDocument/2006/relationships" ref="C302" r:id="rId601"/>
    <hyperlink xmlns:r="http://schemas.openxmlformats.org/officeDocument/2006/relationships" ref="D302" r:id="rId602"/>
    <hyperlink xmlns:r="http://schemas.openxmlformats.org/officeDocument/2006/relationships" ref="C303" r:id="rId603"/>
    <hyperlink xmlns:r="http://schemas.openxmlformats.org/officeDocument/2006/relationships" ref="D303" r:id="rId604"/>
    <hyperlink xmlns:r="http://schemas.openxmlformats.org/officeDocument/2006/relationships" ref="C304" r:id="rId605"/>
    <hyperlink xmlns:r="http://schemas.openxmlformats.org/officeDocument/2006/relationships" ref="D304" r:id="rId606"/>
    <hyperlink xmlns:r="http://schemas.openxmlformats.org/officeDocument/2006/relationships" ref="C305" r:id="rId607"/>
    <hyperlink xmlns:r="http://schemas.openxmlformats.org/officeDocument/2006/relationships" ref="D305" r:id="rId608"/>
    <hyperlink xmlns:r="http://schemas.openxmlformats.org/officeDocument/2006/relationships" ref="C306" r:id="rId609"/>
    <hyperlink xmlns:r="http://schemas.openxmlformats.org/officeDocument/2006/relationships" ref="D306" r:id="rId610"/>
    <hyperlink xmlns:r="http://schemas.openxmlformats.org/officeDocument/2006/relationships" ref="C307" r:id="rId611"/>
    <hyperlink xmlns:r="http://schemas.openxmlformats.org/officeDocument/2006/relationships" ref="D307" r:id="rId612"/>
    <hyperlink xmlns:r="http://schemas.openxmlformats.org/officeDocument/2006/relationships" ref="C308" r:id="rId613"/>
    <hyperlink xmlns:r="http://schemas.openxmlformats.org/officeDocument/2006/relationships" ref="D308" r:id="rId614"/>
    <hyperlink xmlns:r="http://schemas.openxmlformats.org/officeDocument/2006/relationships" ref="C309" r:id="rId615"/>
    <hyperlink xmlns:r="http://schemas.openxmlformats.org/officeDocument/2006/relationships" ref="D309" r:id="rId616"/>
    <hyperlink xmlns:r="http://schemas.openxmlformats.org/officeDocument/2006/relationships" ref="C310" r:id="rId617"/>
    <hyperlink xmlns:r="http://schemas.openxmlformats.org/officeDocument/2006/relationships" ref="D310" r:id="rId618"/>
    <hyperlink xmlns:r="http://schemas.openxmlformats.org/officeDocument/2006/relationships" ref="C311" r:id="rId619"/>
    <hyperlink xmlns:r="http://schemas.openxmlformats.org/officeDocument/2006/relationships" ref="D311" r:id="rId620"/>
    <hyperlink xmlns:r="http://schemas.openxmlformats.org/officeDocument/2006/relationships" ref="C312" r:id="rId621"/>
    <hyperlink xmlns:r="http://schemas.openxmlformats.org/officeDocument/2006/relationships" ref="D312" r:id="rId622"/>
    <hyperlink xmlns:r="http://schemas.openxmlformats.org/officeDocument/2006/relationships" ref="C313" r:id="rId623"/>
    <hyperlink xmlns:r="http://schemas.openxmlformats.org/officeDocument/2006/relationships" ref="D313" r:id="rId624"/>
    <hyperlink xmlns:r="http://schemas.openxmlformats.org/officeDocument/2006/relationships" ref="C314" r:id="rId625"/>
    <hyperlink xmlns:r="http://schemas.openxmlformats.org/officeDocument/2006/relationships" ref="D314" r:id="rId626"/>
    <hyperlink xmlns:r="http://schemas.openxmlformats.org/officeDocument/2006/relationships" ref="C315" r:id="rId627"/>
    <hyperlink xmlns:r="http://schemas.openxmlformats.org/officeDocument/2006/relationships" ref="D315" r:id="rId628"/>
    <hyperlink xmlns:r="http://schemas.openxmlformats.org/officeDocument/2006/relationships" ref="C316" r:id="rId629"/>
    <hyperlink xmlns:r="http://schemas.openxmlformats.org/officeDocument/2006/relationships" ref="D316" r:id="rId630"/>
    <hyperlink xmlns:r="http://schemas.openxmlformats.org/officeDocument/2006/relationships" ref="C317" r:id="rId631"/>
    <hyperlink xmlns:r="http://schemas.openxmlformats.org/officeDocument/2006/relationships" ref="D317" r:id="rId632"/>
    <hyperlink xmlns:r="http://schemas.openxmlformats.org/officeDocument/2006/relationships" ref="C318" r:id="rId633"/>
    <hyperlink xmlns:r="http://schemas.openxmlformats.org/officeDocument/2006/relationships" ref="D318" r:id="rId634"/>
    <hyperlink xmlns:r="http://schemas.openxmlformats.org/officeDocument/2006/relationships" ref="C319" r:id="rId635"/>
    <hyperlink xmlns:r="http://schemas.openxmlformats.org/officeDocument/2006/relationships" ref="D319" r:id="rId636"/>
    <hyperlink xmlns:r="http://schemas.openxmlformats.org/officeDocument/2006/relationships" ref="C320" r:id="rId637"/>
    <hyperlink xmlns:r="http://schemas.openxmlformats.org/officeDocument/2006/relationships" ref="D320" r:id="rId638"/>
    <hyperlink xmlns:r="http://schemas.openxmlformats.org/officeDocument/2006/relationships" ref="C321" r:id="rId639"/>
    <hyperlink xmlns:r="http://schemas.openxmlformats.org/officeDocument/2006/relationships" ref="D321" r:id="rId640"/>
    <hyperlink xmlns:r="http://schemas.openxmlformats.org/officeDocument/2006/relationships" ref="C322" r:id="rId641"/>
    <hyperlink xmlns:r="http://schemas.openxmlformats.org/officeDocument/2006/relationships" ref="D322" r:id="rId642"/>
    <hyperlink xmlns:r="http://schemas.openxmlformats.org/officeDocument/2006/relationships" ref="C323" r:id="rId643"/>
    <hyperlink xmlns:r="http://schemas.openxmlformats.org/officeDocument/2006/relationships" ref="D323" r:id="rId644"/>
    <hyperlink xmlns:r="http://schemas.openxmlformats.org/officeDocument/2006/relationships" ref="C324" r:id="rId645"/>
    <hyperlink xmlns:r="http://schemas.openxmlformats.org/officeDocument/2006/relationships" ref="D324" r:id="rId646"/>
    <hyperlink xmlns:r="http://schemas.openxmlformats.org/officeDocument/2006/relationships" ref="C325" r:id="rId647"/>
    <hyperlink xmlns:r="http://schemas.openxmlformats.org/officeDocument/2006/relationships" ref="D325" r:id="rId648"/>
    <hyperlink xmlns:r="http://schemas.openxmlformats.org/officeDocument/2006/relationships" ref="C326" r:id="rId649"/>
    <hyperlink xmlns:r="http://schemas.openxmlformats.org/officeDocument/2006/relationships" ref="D326" r:id="rId650"/>
    <hyperlink xmlns:r="http://schemas.openxmlformats.org/officeDocument/2006/relationships" ref="C327" r:id="rId651"/>
    <hyperlink xmlns:r="http://schemas.openxmlformats.org/officeDocument/2006/relationships" ref="D327" r:id="rId652"/>
    <hyperlink xmlns:r="http://schemas.openxmlformats.org/officeDocument/2006/relationships" ref="C328" r:id="rId653"/>
    <hyperlink xmlns:r="http://schemas.openxmlformats.org/officeDocument/2006/relationships" ref="D328" r:id="rId654"/>
    <hyperlink xmlns:r="http://schemas.openxmlformats.org/officeDocument/2006/relationships" ref="C329" r:id="rId655"/>
    <hyperlink xmlns:r="http://schemas.openxmlformats.org/officeDocument/2006/relationships" ref="D329" r:id="rId656"/>
    <hyperlink xmlns:r="http://schemas.openxmlformats.org/officeDocument/2006/relationships" ref="C330" r:id="rId657"/>
    <hyperlink xmlns:r="http://schemas.openxmlformats.org/officeDocument/2006/relationships" ref="D330" r:id="rId658"/>
    <hyperlink xmlns:r="http://schemas.openxmlformats.org/officeDocument/2006/relationships" ref="C331" r:id="rId659"/>
    <hyperlink xmlns:r="http://schemas.openxmlformats.org/officeDocument/2006/relationships" ref="D331" r:id="rId660"/>
    <hyperlink xmlns:r="http://schemas.openxmlformats.org/officeDocument/2006/relationships" ref="C332" r:id="rId661"/>
    <hyperlink xmlns:r="http://schemas.openxmlformats.org/officeDocument/2006/relationships" ref="D332" r:id="rId662"/>
    <hyperlink xmlns:r="http://schemas.openxmlformats.org/officeDocument/2006/relationships" ref="C333" r:id="rId663"/>
    <hyperlink xmlns:r="http://schemas.openxmlformats.org/officeDocument/2006/relationships" ref="D333" r:id="rId664"/>
    <hyperlink xmlns:r="http://schemas.openxmlformats.org/officeDocument/2006/relationships" ref="C334" r:id="rId665"/>
    <hyperlink xmlns:r="http://schemas.openxmlformats.org/officeDocument/2006/relationships" ref="D334" r:id="rId666"/>
    <hyperlink xmlns:r="http://schemas.openxmlformats.org/officeDocument/2006/relationships" ref="C335" r:id="rId667"/>
    <hyperlink xmlns:r="http://schemas.openxmlformats.org/officeDocument/2006/relationships" ref="D335" r:id="rId668"/>
    <hyperlink xmlns:r="http://schemas.openxmlformats.org/officeDocument/2006/relationships" ref="C336" r:id="rId669"/>
    <hyperlink xmlns:r="http://schemas.openxmlformats.org/officeDocument/2006/relationships" ref="D336" r:id="rId670"/>
    <hyperlink xmlns:r="http://schemas.openxmlformats.org/officeDocument/2006/relationships" ref="C337" r:id="rId671"/>
    <hyperlink xmlns:r="http://schemas.openxmlformats.org/officeDocument/2006/relationships" ref="D337" r:id="rId672"/>
    <hyperlink xmlns:r="http://schemas.openxmlformats.org/officeDocument/2006/relationships" ref="C338" r:id="rId673"/>
    <hyperlink xmlns:r="http://schemas.openxmlformats.org/officeDocument/2006/relationships" ref="D338" r:id="rId674"/>
    <hyperlink xmlns:r="http://schemas.openxmlformats.org/officeDocument/2006/relationships" ref="C339" r:id="rId675"/>
    <hyperlink xmlns:r="http://schemas.openxmlformats.org/officeDocument/2006/relationships" ref="D339" r:id="rId676"/>
    <hyperlink xmlns:r="http://schemas.openxmlformats.org/officeDocument/2006/relationships" ref="C340" r:id="rId677"/>
    <hyperlink xmlns:r="http://schemas.openxmlformats.org/officeDocument/2006/relationships" ref="D340" r:id="rId678"/>
    <hyperlink xmlns:r="http://schemas.openxmlformats.org/officeDocument/2006/relationships" ref="C341" r:id="rId679"/>
    <hyperlink xmlns:r="http://schemas.openxmlformats.org/officeDocument/2006/relationships" ref="D341" r:id="rId680"/>
    <hyperlink xmlns:r="http://schemas.openxmlformats.org/officeDocument/2006/relationships" ref="C342" r:id="rId681"/>
    <hyperlink xmlns:r="http://schemas.openxmlformats.org/officeDocument/2006/relationships" ref="D342" r:id="rId682"/>
    <hyperlink xmlns:r="http://schemas.openxmlformats.org/officeDocument/2006/relationships" ref="C343" r:id="rId683"/>
    <hyperlink xmlns:r="http://schemas.openxmlformats.org/officeDocument/2006/relationships" ref="D343" r:id="rId684"/>
    <hyperlink xmlns:r="http://schemas.openxmlformats.org/officeDocument/2006/relationships" ref="C344" r:id="rId685"/>
    <hyperlink xmlns:r="http://schemas.openxmlformats.org/officeDocument/2006/relationships" ref="D344" r:id="rId686"/>
    <hyperlink xmlns:r="http://schemas.openxmlformats.org/officeDocument/2006/relationships" ref="C345" r:id="rId687"/>
    <hyperlink xmlns:r="http://schemas.openxmlformats.org/officeDocument/2006/relationships" ref="D345" r:id="rId688"/>
    <hyperlink xmlns:r="http://schemas.openxmlformats.org/officeDocument/2006/relationships" ref="C346" r:id="rId689"/>
    <hyperlink xmlns:r="http://schemas.openxmlformats.org/officeDocument/2006/relationships" ref="D346" r:id="rId690"/>
    <hyperlink xmlns:r="http://schemas.openxmlformats.org/officeDocument/2006/relationships" ref="C347" r:id="rId691"/>
    <hyperlink xmlns:r="http://schemas.openxmlformats.org/officeDocument/2006/relationships" ref="D347" r:id="rId692"/>
    <hyperlink xmlns:r="http://schemas.openxmlformats.org/officeDocument/2006/relationships" ref="C348" r:id="rId693"/>
    <hyperlink xmlns:r="http://schemas.openxmlformats.org/officeDocument/2006/relationships" ref="D348" r:id="rId694"/>
    <hyperlink xmlns:r="http://schemas.openxmlformats.org/officeDocument/2006/relationships" ref="C349" r:id="rId695"/>
    <hyperlink xmlns:r="http://schemas.openxmlformats.org/officeDocument/2006/relationships" ref="D349" r:id="rId696"/>
    <hyperlink xmlns:r="http://schemas.openxmlformats.org/officeDocument/2006/relationships" ref="C350" r:id="rId697"/>
    <hyperlink xmlns:r="http://schemas.openxmlformats.org/officeDocument/2006/relationships" ref="D350" r:id="rId698"/>
    <hyperlink xmlns:r="http://schemas.openxmlformats.org/officeDocument/2006/relationships" ref="C351" r:id="rId699"/>
    <hyperlink xmlns:r="http://schemas.openxmlformats.org/officeDocument/2006/relationships" ref="D351" r:id="rId700"/>
    <hyperlink xmlns:r="http://schemas.openxmlformats.org/officeDocument/2006/relationships" ref="C352" r:id="rId701"/>
    <hyperlink xmlns:r="http://schemas.openxmlformats.org/officeDocument/2006/relationships" ref="D352" r:id="rId702"/>
    <hyperlink xmlns:r="http://schemas.openxmlformats.org/officeDocument/2006/relationships" ref="C353" r:id="rId703"/>
    <hyperlink xmlns:r="http://schemas.openxmlformats.org/officeDocument/2006/relationships" ref="D353" r:id="rId704"/>
    <hyperlink xmlns:r="http://schemas.openxmlformats.org/officeDocument/2006/relationships" ref="C354" r:id="rId705"/>
    <hyperlink xmlns:r="http://schemas.openxmlformats.org/officeDocument/2006/relationships" ref="D354" r:id="rId706"/>
    <hyperlink xmlns:r="http://schemas.openxmlformats.org/officeDocument/2006/relationships" ref="C355" r:id="rId707"/>
    <hyperlink xmlns:r="http://schemas.openxmlformats.org/officeDocument/2006/relationships" ref="D355" r:id="rId708"/>
    <hyperlink xmlns:r="http://schemas.openxmlformats.org/officeDocument/2006/relationships" ref="C356" r:id="rId709"/>
    <hyperlink xmlns:r="http://schemas.openxmlformats.org/officeDocument/2006/relationships" ref="D356" r:id="rId710"/>
    <hyperlink xmlns:r="http://schemas.openxmlformats.org/officeDocument/2006/relationships" ref="C357" r:id="rId711"/>
    <hyperlink xmlns:r="http://schemas.openxmlformats.org/officeDocument/2006/relationships" ref="D357" r:id="rId712"/>
    <hyperlink xmlns:r="http://schemas.openxmlformats.org/officeDocument/2006/relationships" ref="C358" r:id="rId713"/>
    <hyperlink xmlns:r="http://schemas.openxmlformats.org/officeDocument/2006/relationships" ref="D358" r:id="rId714"/>
    <hyperlink xmlns:r="http://schemas.openxmlformats.org/officeDocument/2006/relationships" ref="C359" r:id="rId715"/>
    <hyperlink xmlns:r="http://schemas.openxmlformats.org/officeDocument/2006/relationships" ref="D359" r:id="rId716"/>
    <hyperlink xmlns:r="http://schemas.openxmlformats.org/officeDocument/2006/relationships" ref="C360" r:id="rId717"/>
    <hyperlink xmlns:r="http://schemas.openxmlformats.org/officeDocument/2006/relationships" ref="D360" r:id="rId718"/>
    <hyperlink xmlns:r="http://schemas.openxmlformats.org/officeDocument/2006/relationships" ref="C361" r:id="rId719"/>
    <hyperlink xmlns:r="http://schemas.openxmlformats.org/officeDocument/2006/relationships" ref="D361" r:id="rId720"/>
    <hyperlink xmlns:r="http://schemas.openxmlformats.org/officeDocument/2006/relationships" ref="C362" r:id="rId721"/>
    <hyperlink xmlns:r="http://schemas.openxmlformats.org/officeDocument/2006/relationships" ref="D362" r:id="rId722"/>
    <hyperlink xmlns:r="http://schemas.openxmlformats.org/officeDocument/2006/relationships" ref="C363" r:id="rId723"/>
    <hyperlink xmlns:r="http://schemas.openxmlformats.org/officeDocument/2006/relationships" ref="D363" r:id="rId724"/>
    <hyperlink xmlns:r="http://schemas.openxmlformats.org/officeDocument/2006/relationships" ref="C364" r:id="rId725"/>
    <hyperlink xmlns:r="http://schemas.openxmlformats.org/officeDocument/2006/relationships" ref="D364" r:id="rId726"/>
    <hyperlink xmlns:r="http://schemas.openxmlformats.org/officeDocument/2006/relationships" ref="C365" r:id="rId727"/>
    <hyperlink xmlns:r="http://schemas.openxmlformats.org/officeDocument/2006/relationships" ref="D365" r:id="rId728"/>
    <hyperlink xmlns:r="http://schemas.openxmlformats.org/officeDocument/2006/relationships" ref="C366" r:id="rId729"/>
    <hyperlink xmlns:r="http://schemas.openxmlformats.org/officeDocument/2006/relationships" ref="D366" r:id="rId730"/>
    <hyperlink xmlns:r="http://schemas.openxmlformats.org/officeDocument/2006/relationships" ref="C367" r:id="rId731"/>
    <hyperlink xmlns:r="http://schemas.openxmlformats.org/officeDocument/2006/relationships" ref="D367" r:id="rId732"/>
    <hyperlink xmlns:r="http://schemas.openxmlformats.org/officeDocument/2006/relationships" ref="C368" r:id="rId733"/>
    <hyperlink xmlns:r="http://schemas.openxmlformats.org/officeDocument/2006/relationships" ref="D368" r:id="rId734"/>
    <hyperlink xmlns:r="http://schemas.openxmlformats.org/officeDocument/2006/relationships" ref="C369" r:id="rId735"/>
    <hyperlink xmlns:r="http://schemas.openxmlformats.org/officeDocument/2006/relationships" ref="D369" r:id="rId736"/>
    <hyperlink xmlns:r="http://schemas.openxmlformats.org/officeDocument/2006/relationships" ref="C370" r:id="rId737"/>
    <hyperlink xmlns:r="http://schemas.openxmlformats.org/officeDocument/2006/relationships" ref="D370" r:id="rId738"/>
    <hyperlink xmlns:r="http://schemas.openxmlformats.org/officeDocument/2006/relationships" ref="C371" r:id="rId739"/>
    <hyperlink xmlns:r="http://schemas.openxmlformats.org/officeDocument/2006/relationships" ref="D371" r:id="rId740"/>
    <hyperlink xmlns:r="http://schemas.openxmlformats.org/officeDocument/2006/relationships" ref="C372" r:id="rId741"/>
    <hyperlink xmlns:r="http://schemas.openxmlformats.org/officeDocument/2006/relationships" ref="D372" r:id="rId742"/>
    <hyperlink xmlns:r="http://schemas.openxmlformats.org/officeDocument/2006/relationships" ref="C373" r:id="rId743"/>
    <hyperlink xmlns:r="http://schemas.openxmlformats.org/officeDocument/2006/relationships" ref="D373" r:id="rId744"/>
    <hyperlink xmlns:r="http://schemas.openxmlformats.org/officeDocument/2006/relationships" ref="C374" r:id="rId745"/>
    <hyperlink xmlns:r="http://schemas.openxmlformats.org/officeDocument/2006/relationships" ref="D374" r:id="rId746"/>
    <hyperlink xmlns:r="http://schemas.openxmlformats.org/officeDocument/2006/relationships" ref="C375" r:id="rId747"/>
    <hyperlink xmlns:r="http://schemas.openxmlformats.org/officeDocument/2006/relationships" ref="D375" r:id="rId748"/>
    <hyperlink xmlns:r="http://schemas.openxmlformats.org/officeDocument/2006/relationships" ref="C376" r:id="rId749"/>
    <hyperlink xmlns:r="http://schemas.openxmlformats.org/officeDocument/2006/relationships" ref="D376" r:id="rId750"/>
    <hyperlink xmlns:r="http://schemas.openxmlformats.org/officeDocument/2006/relationships" ref="C377" r:id="rId751"/>
    <hyperlink xmlns:r="http://schemas.openxmlformats.org/officeDocument/2006/relationships" ref="D377" r:id="rId752"/>
    <hyperlink xmlns:r="http://schemas.openxmlformats.org/officeDocument/2006/relationships" ref="C378" r:id="rId753"/>
    <hyperlink xmlns:r="http://schemas.openxmlformats.org/officeDocument/2006/relationships" ref="D378" r:id="rId754"/>
    <hyperlink xmlns:r="http://schemas.openxmlformats.org/officeDocument/2006/relationships" ref="C379" r:id="rId755"/>
    <hyperlink xmlns:r="http://schemas.openxmlformats.org/officeDocument/2006/relationships" ref="D379" r:id="rId756"/>
    <hyperlink xmlns:r="http://schemas.openxmlformats.org/officeDocument/2006/relationships" ref="C380" r:id="rId757"/>
    <hyperlink xmlns:r="http://schemas.openxmlformats.org/officeDocument/2006/relationships" ref="D380" r:id="rId758"/>
    <hyperlink xmlns:r="http://schemas.openxmlformats.org/officeDocument/2006/relationships" ref="C381" r:id="rId759"/>
    <hyperlink xmlns:r="http://schemas.openxmlformats.org/officeDocument/2006/relationships" ref="D381" r:id="rId760"/>
    <hyperlink xmlns:r="http://schemas.openxmlformats.org/officeDocument/2006/relationships" ref="C382" r:id="rId761"/>
    <hyperlink xmlns:r="http://schemas.openxmlformats.org/officeDocument/2006/relationships" ref="D382" r:id="rId762"/>
    <hyperlink xmlns:r="http://schemas.openxmlformats.org/officeDocument/2006/relationships" ref="C383" r:id="rId763"/>
    <hyperlink xmlns:r="http://schemas.openxmlformats.org/officeDocument/2006/relationships" ref="D383" r:id="rId764"/>
    <hyperlink xmlns:r="http://schemas.openxmlformats.org/officeDocument/2006/relationships" ref="C384" r:id="rId765"/>
    <hyperlink xmlns:r="http://schemas.openxmlformats.org/officeDocument/2006/relationships" ref="D384" r:id="rId766"/>
    <hyperlink xmlns:r="http://schemas.openxmlformats.org/officeDocument/2006/relationships" ref="C385" r:id="rId767"/>
    <hyperlink xmlns:r="http://schemas.openxmlformats.org/officeDocument/2006/relationships" ref="D385" r:id="rId768"/>
    <hyperlink xmlns:r="http://schemas.openxmlformats.org/officeDocument/2006/relationships" ref="C386" r:id="rId769"/>
    <hyperlink xmlns:r="http://schemas.openxmlformats.org/officeDocument/2006/relationships" ref="D386" r:id="rId770"/>
    <hyperlink xmlns:r="http://schemas.openxmlformats.org/officeDocument/2006/relationships" ref="C387" r:id="rId771"/>
    <hyperlink xmlns:r="http://schemas.openxmlformats.org/officeDocument/2006/relationships" ref="D387" r:id="rId772"/>
    <hyperlink xmlns:r="http://schemas.openxmlformats.org/officeDocument/2006/relationships" ref="C388" r:id="rId773"/>
    <hyperlink xmlns:r="http://schemas.openxmlformats.org/officeDocument/2006/relationships" ref="D388" r:id="rId774"/>
    <hyperlink xmlns:r="http://schemas.openxmlformats.org/officeDocument/2006/relationships" ref="C389" r:id="rId775"/>
    <hyperlink xmlns:r="http://schemas.openxmlformats.org/officeDocument/2006/relationships" ref="D389" r:id="rId776"/>
    <hyperlink xmlns:r="http://schemas.openxmlformats.org/officeDocument/2006/relationships" ref="C390" r:id="rId777"/>
    <hyperlink xmlns:r="http://schemas.openxmlformats.org/officeDocument/2006/relationships" ref="D390" r:id="rId778"/>
    <hyperlink xmlns:r="http://schemas.openxmlformats.org/officeDocument/2006/relationships" ref="C391" r:id="rId779"/>
    <hyperlink xmlns:r="http://schemas.openxmlformats.org/officeDocument/2006/relationships" ref="D391" r:id="rId780"/>
    <hyperlink xmlns:r="http://schemas.openxmlformats.org/officeDocument/2006/relationships" ref="C392" r:id="rId781"/>
    <hyperlink xmlns:r="http://schemas.openxmlformats.org/officeDocument/2006/relationships" ref="D392" r:id="rId782"/>
    <hyperlink xmlns:r="http://schemas.openxmlformats.org/officeDocument/2006/relationships" ref="C393" r:id="rId783"/>
    <hyperlink xmlns:r="http://schemas.openxmlformats.org/officeDocument/2006/relationships" ref="D393" r:id="rId784"/>
    <hyperlink xmlns:r="http://schemas.openxmlformats.org/officeDocument/2006/relationships" ref="C394" r:id="rId785"/>
    <hyperlink xmlns:r="http://schemas.openxmlformats.org/officeDocument/2006/relationships" ref="D394" r:id="rId786"/>
    <hyperlink xmlns:r="http://schemas.openxmlformats.org/officeDocument/2006/relationships" ref="C395" r:id="rId787"/>
    <hyperlink xmlns:r="http://schemas.openxmlformats.org/officeDocument/2006/relationships" ref="D395" r:id="rId788"/>
    <hyperlink xmlns:r="http://schemas.openxmlformats.org/officeDocument/2006/relationships" ref="C396" r:id="rId789"/>
    <hyperlink xmlns:r="http://schemas.openxmlformats.org/officeDocument/2006/relationships" ref="D396" r:id="rId790"/>
    <hyperlink xmlns:r="http://schemas.openxmlformats.org/officeDocument/2006/relationships" ref="C397" r:id="rId791"/>
    <hyperlink xmlns:r="http://schemas.openxmlformats.org/officeDocument/2006/relationships" ref="D397" r:id="rId792"/>
    <hyperlink xmlns:r="http://schemas.openxmlformats.org/officeDocument/2006/relationships" ref="C398" r:id="rId793"/>
    <hyperlink xmlns:r="http://schemas.openxmlformats.org/officeDocument/2006/relationships" ref="D398" r:id="rId794"/>
    <hyperlink xmlns:r="http://schemas.openxmlformats.org/officeDocument/2006/relationships" ref="C399" r:id="rId795"/>
    <hyperlink xmlns:r="http://schemas.openxmlformats.org/officeDocument/2006/relationships" ref="D399" r:id="rId796"/>
    <hyperlink xmlns:r="http://schemas.openxmlformats.org/officeDocument/2006/relationships" ref="C400" r:id="rId797"/>
    <hyperlink xmlns:r="http://schemas.openxmlformats.org/officeDocument/2006/relationships" ref="D400" r:id="rId798"/>
    <hyperlink xmlns:r="http://schemas.openxmlformats.org/officeDocument/2006/relationships" ref="C401" r:id="rId799"/>
    <hyperlink xmlns:r="http://schemas.openxmlformats.org/officeDocument/2006/relationships" ref="D401" r:id="rId800"/>
    <hyperlink xmlns:r="http://schemas.openxmlformats.org/officeDocument/2006/relationships" ref="C402" r:id="rId801"/>
    <hyperlink xmlns:r="http://schemas.openxmlformats.org/officeDocument/2006/relationships" ref="D402" r:id="rId802"/>
    <hyperlink xmlns:r="http://schemas.openxmlformats.org/officeDocument/2006/relationships" ref="C403" r:id="rId803"/>
    <hyperlink xmlns:r="http://schemas.openxmlformats.org/officeDocument/2006/relationships" ref="D403" r:id="rId804"/>
    <hyperlink xmlns:r="http://schemas.openxmlformats.org/officeDocument/2006/relationships" ref="C404" r:id="rId805"/>
    <hyperlink xmlns:r="http://schemas.openxmlformats.org/officeDocument/2006/relationships" ref="D404" r:id="rId806"/>
    <hyperlink xmlns:r="http://schemas.openxmlformats.org/officeDocument/2006/relationships" ref="C405" r:id="rId807"/>
    <hyperlink xmlns:r="http://schemas.openxmlformats.org/officeDocument/2006/relationships" ref="D405" r:id="rId808"/>
    <hyperlink xmlns:r="http://schemas.openxmlformats.org/officeDocument/2006/relationships" ref="C406" r:id="rId809"/>
    <hyperlink xmlns:r="http://schemas.openxmlformats.org/officeDocument/2006/relationships" ref="D406" r:id="rId810"/>
    <hyperlink xmlns:r="http://schemas.openxmlformats.org/officeDocument/2006/relationships" ref="C407" r:id="rId811"/>
    <hyperlink xmlns:r="http://schemas.openxmlformats.org/officeDocument/2006/relationships" ref="D407" r:id="rId812"/>
    <hyperlink xmlns:r="http://schemas.openxmlformats.org/officeDocument/2006/relationships" ref="C408" r:id="rId813"/>
    <hyperlink xmlns:r="http://schemas.openxmlformats.org/officeDocument/2006/relationships" ref="D408" r:id="rId814"/>
    <hyperlink xmlns:r="http://schemas.openxmlformats.org/officeDocument/2006/relationships" ref="C409" r:id="rId815"/>
    <hyperlink xmlns:r="http://schemas.openxmlformats.org/officeDocument/2006/relationships" ref="D409" r:id="rId816"/>
    <hyperlink xmlns:r="http://schemas.openxmlformats.org/officeDocument/2006/relationships" ref="C410" r:id="rId817"/>
    <hyperlink xmlns:r="http://schemas.openxmlformats.org/officeDocument/2006/relationships" ref="D410" r:id="rId818"/>
    <hyperlink xmlns:r="http://schemas.openxmlformats.org/officeDocument/2006/relationships" ref="C411" r:id="rId819"/>
    <hyperlink xmlns:r="http://schemas.openxmlformats.org/officeDocument/2006/relationships" ref="D411" r:id="rId820"/>
    <hyperlink xmlns:r="http://schemas.openxmlformats.org/officeDocument/2006/relationships" ref="C412" r:id="rId821"/>
    <hyperlink xmlns:r="http://schemas.openxmlformats.org/officeDocument/2006/relationships" ref="D412" r:id="rId822"/>
    <hyperlink xmlns:r="http://schemas.openxmlformats.org/officeDocument/2006/relationships" ref="C413" r:id="rId823"/>
    <hyperlink xmlns:r="http://schemas.openxmlformats.org/officeDocument/2006/relationships" ref="D413" r:id="rId824"/>
    <hyperlink xmlns:r="http://schemas.openxmlformats.org/officeDocument/2006/relationships" ref="C414" r:id="rId825"/>
    <hyperlink xmlns:r="http://schemas.openxmlformats.org/officeDocument/2006/relationships" ref="D414" r:id="rId826"/>
    <hyperlink xmlns:r="http://schemas.openxmlformats.org/officeDocument/2006/relationships" ref="C415" r:id="rId827"/>
    <hyperlink xmlns:r="http://schemas.openxmlformats.org/officeDocument/2006/relationships" ref="D415" r:id="rId828"/>
    <hyperlink xmlns:r="http://schemas.openxmlformats.org/officeDocument/2006/relationships" ref="C416" r:id="rId829"/>
    <hyperlink xmlns:r="http://schemas.openxmlformats.org/officeDocument/2006/relationships" ref="D416" r:id="rId830"/>
    <hyperlink xmlns:r="http://schemas.openxmlformats.org/officeDocument/2006/relationships" ref="C417" r:id="rId831"/>
    <hyperlink xmlns:r="http://schemas.openxmlformats.org/officeDocument/2006/relationships" ref="D417" r:id="rId832"/>
    <hyperlink xmlns:r="http://schemas.openxmlformats.org/officeDocument/2006/relationships" ref="C418" r:id="rId833"/>
    <hyperlink xmlns:r="http://schemas.openxmlformats.org/officeDocument/2006/relationships" ref="D418" r:id="rId834"/>
    <hyperlink xmlns:r="http://schemas.openxmlformats.org/officeDocument/2006/relationships" ref="C419" r:id="rId835"/>
    <hyperlink xmlns:r="http://schemas.openxmlformats.org/officeDocument/2006/relationships" ref="D419" r:id="rId836"/>
    <hyperlink xmlns:r="http://schemas.openxmlformats.org/officeDocument/2006/relationships" ref="C420" r:id="rId837"/>
    <hyperlink xmlns:r="http://schemas.openxmlformats.org/officeDocument/2006/relationships" ref="D420" r:id="rId838"/>
    <hyperlink xmlns:r="http://schemas.openxmlformats.org/officeDocument/2006/relationships" ref="C421" r:id="rId839"/>
    <hyperlink xmlns:r="http://schemas.openxmlformats.org/officeDocument/2006/relationships" ref="D421" r:id="rId840"/>
    <hyperlink xmlns:r="http://schemas.openxmlformats.org/officeDocument/2006/relationships" ref="C422" r:id="rId841"/>
    <hyperlink xmlns:r="http://schemas.openxmlformats.org/officeDocument/2006/relationships" ref="D422" r:id="rId842"/>
    <hyperlink xmlns:r="http://schemas.openxmlformats.org/officeDocument/2006/relationships" ref="C423" r:id="rId843"/>
    <hyperlink xmlns:r="http://schemas.openxmlformats.org/officeDocument/2006/relationships" ref="D423" r:id="rId844"/>
    <hyperlink xmlns:r="http://schemas.openxmlformats.org/officeDocument/2006/relationships" ref="C424" r:id="rId845"/>
    <hyperlink xmlns:r="http://schemas.openxmlformats.org/officeDocument/2006/relationships" ref="D424" r:id="rId846"/>
    <hyperlink xmlns:r="http://schemas.openxmlformats.org/officeDocument/2006/relationships" ref="C425" r:id="rId847"/>
    <hyperlink xmlns:r="http://schemas.openxmlformats.org/officeDocument/2006/relationships" ref="D425" r:id="rId848"/>
    <hyperlink xmlns:r="http://schemas.openxmlformats.org/officeDocument/2006/relationships" ref="C426" r:id="rId849"/>
    <hyperlink xmlns:r="http://schemas.openxmlformats.org/officeDocument/2006/relationships" ref="D426" r:id="rId850"/>
    <hyperlink xmlns:r="http://schemas.openxmlformats.org/officeDocument/2006/relationships" ref="C427" r:id="rId851"/>
    <hyperlink xmlns:r="http://schemas.openxmlformats.org/officeDocument/2006/relationships" ref="D427" r:id="rId852"/>
    <hyperlink xmlns:r="http://schemas.openxmlformats.org/officeDocument/2006/relationships" ref="C428" r:id="rId853"/>
    <hyperlink xmlns:r="http://schemas.openxmlformats.org/officeDocument/2006/relationships" ref="D428" r:id="rId854"/>
    <hyperlink xmlns:r="http://schemas.openxmlformats.org/officeDocument/2006/relationships" ref="C429" r:id="rId855"/>
    <hyperlink xmlns:r="http://schemas.openxmlformats.org/officeDocument/2006/relationships" ref="D429" r:id="rId856"/>
    <hyperlink xmlns:r="http://schemas.openxmlformats.org/officeDocument/2006/relationships" ref="C430" r:id="rId857"/>
    <hyperlink xmlns:r="http://schemas.openxmlformats.org/officeDocument/2006/relationships" ref="D430" r:id="rId858"/>
    <hyperlink xmlns:r="http://schemas.openxmlformats.org/officeDocument/2006/relationships" ref="C431" r:id="rId859"/>
    <hyperlink xmlns:r="http://schemas.openxmlformats.org/officeDocument/2006/relationships" ref="D431" r:id="rId860"/>
    <hyperlink xmlns:r="http://schemas.openxmlformats.org/officeDocument/2006/relationships" ref="C432" r:id="rId861"/>
    <hyperlink xmlns:r="http://schemas.openxmlformats.org/officeDocument/2006/relationships" ref="D432" r:id="rId862"/>
    <hyperlink xmlns:r="http://schemas.openxmlformats.org/officeDocument/2006/relationships" ref="C433" r:id="rId863"/>
    <hyperlink xmlns:r="http://schemas.openxmlformats.org/officeDocument/2006/relationships" ref="D433" r:id="rId864"/>
    <hyperlink xmlns:r="http://schemas.openxmlformats.org/officeDocument/2006/relationships" ref="C434" r:id="rId865"/>
    <hyperlink xmlns:r="http://schemas.openxmlformats.org/officeDocument/2006/relationships" ref="D434" r:id="rId866"/>
    <hyperlink xmlns:r="http://schemas.openxmlformats.org/officeDocument/2006/relationships" ref="C435" r:id="rId867"/>
    <hyperlink xmlns:r="http://schemas.openxmlformats.org/officeDocument/2006/relationships" ref="D435" r:id="rId868"/>
    <hyperlink xmlns:r="http://schemas.openxmlformats.org/officeDocument/2006/relationships" ref="C436" r:id="rId869"/>
    <hyperlink xmlns:r="http://schemas.openxmlformats.org/officeDocument/2006/relationships" ref="D436" r:id="rId870"/>
    <hyperlink xmlns:r="http://schemas.openxmlformats.org/officeDocument/2006/relationships" ref="C437" r:id="rId871"/>
    <hyperlink xmlns:r="http://schemas.openxmlformats.org/officeDocument/2006/relationships" ref="D437" r:id="rId872"/>
    <hyperlink xmlns:r="http://schemas.openxmlformats.org/officeDocument/2006/relationships" ref="C438" r:id="rId873"/>
    <hyperlink xmlns:r="http://schemas.openxmlformats.org/officeDocument/2006/relationships" ref="D438" r:id="rId874"/>
    <hyperlink xmlns:r="http://schemas.openxmlformats.org/officeDocument/2006/relationships" ref="C439" r:id="rId875"/>
    <hyperlink xmlns:r="http://schemas.openxmlformats.org/officeDocument/2006/relationships" ref="D439" r:id="rId876"/>
    <hyperlink xmlns:r="http://schemas.openxmlformats.org/officeDocument/2006/relationships" ref="C440" r:id="rId877"/>
    <hyperlink xmlns:r="http://schemas.openxmlformats.org/officeDocument/2006/relationships" ref="D440" r:id="rId878"/>
    <hyperlink xmlns:r="http://schemas.openxmlformats.org/officeDocument/2006/relationships" ref="C441" r:id="rId879"/>
    <hyperlink xmlns:r="http://schemas.openxmlformats.org/officeDocument/2006/relationships" ref="D441" r:id="rId880"/>
    <hyperlink xmlns:r="http://schemas.openxmlformats.org/officeDocument/2006/relationships" ref="C442" r:id="rId881"/>
    <hyperlink xmlns:r="http://schemas.openxmlformats.org/officeDocument/2006/relationships" ref="D442" r:id="rId882"/>
    <hyperlink xmlns:r="http://schemas.openxmlformats.org/officeDocument/2006/relationships" ref="C443" r:id="rId883"/>
    <hyperlink xmlns:r="http://schemas.openxmlformats.org/officeDocument/2006/relationships" ref="D443" r:id="rId884"/>
    <hyperlink xmlns:r="http://schemas.openxmlformats.org/officeDocument/2006/relationships" ref="C444" r:id="rId885"/>
    <hyperlink xmlns:r="http://schemas.openxmlformats.org/officeDocument/2006/relationships" ref="D444" r:id="rId886"/>
    <hyperlink xmlns:r="http://schemas.openxmlformats.org/officeDocument/2006/relationships" ref="C445" r:id="rId887"/>
    <hyperlink xmlns:r="http://schemas.openxmlformats.org/officeDocument/2006/relationships" ref="D445" r:id="rId888"/>
    <hyperlink xmlns:r="http://schemas.openxmlformats.org/officeDocument/2006/relationships" ref="C446" r:id="rId889"/>
    <hyperlink xmlns:r="http://schemas.openxmlformats.org/officeDocument/2006/relationships" ref="D446" r:id="rId890"/>
    <hyperlink xmlns:r="http://schemas.openxmlformats.org/officeDocument/2006/relationships" ref="C447" r:id="rId891"/>
    <hyperlink xmlns:r="http://schemas.openxmlformats.org/officeDocument/2006/relationships" ref="D447" r:id="rId892"/>
    <hyperlink xmlns:r="http://schemas.openxmlformats.org/officeDocument/2006/relationships" ref="C448" r:id="rId893"/>
    <hyperlink xmlns:r="http://schemas.openxmlformats.org/officeDocument/2006/relationships" ref="D448" r:id="rId894"/>
    <hyperlink xmlns:r="http://schemas.openxmlformats.org/officeDocument/2006/relationships" ref="C449" r:id="rId895"/>
    <hyperlink xmlns:r="http://schemas.openxmlformats.org/officeDocument/2006/relationships" ref="D449" r:id="rId896"/>
    <hyperlink xmlns:r="http://schemas.openxmlformats.org/officeDocument/2006/relationships" ref="C450" r:id="rId897"/>
    <hyperlink xmlns:r="http://schemas.openxmlformats.org/officeDocument/2006/relationships" ref="D450" r:id="rId898"/>
    <hyperlink xmlns:r="http://schemas.openxmlformats.org/officeDocument/2006/relationships" ref="C451" r:id="rId899"/>
    <hyperlink xmlns:r="http://schemas.openxmlformats.org/officeDocument/2006/relationships" ref="D451" r:id="rId900"/>
    <hyperlink xmlns:r="http://schemas.openxmlformats.org/officeDocument/2006/relationships" ref="C452" r:id="rId901"/>
    <hyperlink xmlns:r="http://schemas.openxmlformats.org/officeDocument/2006/relationships" ref="D452" r:id="rId902"/>
    <hyperlink xmlns:r="http://schemas.openxmlformats.org/officeDocument/2006/relationships" ref="C453" r:id="rId903"/>
    <hyperlink xmlns:r="http://schemas.openxmlformats.org/officeDocument/2006/relationships" ref="D453" r:id="rId904"/>
    <hyperlink xmlns:r="http://schemas.openxmlformats.org/officeDocument/2006/relationships" ref="C454" r:id="rId905"/>
    <hyperlink xmlns:r="http://schemas.openxmlformats.org/officeDocument/2006/relationships" ref="D454" r:id="rId906"/>
    <hyperlink xmlns:r="http://schemas.openxmlformats.org/officeDocument/2006/relationships" ref="C455" r:id="rId907"/>
    <hyperlink xmlns:r="http://schemas.openxmlformats.org/officeDocument/2006/relationships" ref="D455" r:id="rId908"/>
    <hyperlink xmlns:r="http://schemas.openxmlformats.org/officeDocument/2006/relationships" ref="C456" r:id="rId909"/>
    <hyperlink xmlns:r="http://schemas.openxmlformats.org/officeDocument/2006/relationships" ref="D456" r:id="rId910"/>
    <hyperlink xmlns:r="http://schemas.openxmlformats.org/officeDocument/2006/relationships" ref="C457" r:id="rId911"/>
    <hyperlink xmlns:r="http://schemas.openxmlformats.org/officeDocument/2006/relationships" ref="D457" r:id="rId912"/>
    <hyperlink xmlns:r="http://schemas.openxmlformats.org/officeDocument/2006/relationships" ref="C458" r:id="rId913"/>
    <hyperlink xmlns:r="http://schemas.openxmlformats.org/officeDocument/2006/relationships" ref="D458" r:id="rId914"/>
    <hyperlink xmlns:r="http://schemas.openxmlformats.org/officeDocument/2006/relationships" ref="C459" r:id="rId915"/>
    <hyperlink xmlns:r="http://schemas.openxmlformats.org/officeDocument/2006/relationships" ref="D459" r:id="rId916"/>
    <hyperlink xmlns:r="http://schemas.openxmlformats.org/officeDocument/2006/relationships" ref="C460" r:id="rId917"/>
    <hyperlink xmlns:r="http://schemas.openxmlformats.org/officeDocument/2006/relationships" ref="D460" r:id="rId918"/>
    <hyperlink xmlns:r="http://schemas.openxmlformats.org/officeDocument/2006/relationships" ref="C461" r:id="rId919"/>
    <hyperlink xmlns:r="http://schemas.openxmlformats.org/officeDocument/2006/relationships" ref="D461" r:id="rId920"/>
    <hyperlink xmlns:r="http://schemas.openxmlformats.org/officeDocument/2006/relationships" ref="C462" r:id="rId921"/>
    <hyperlink xmlns:r="http://schemas.openxmlformats.org/officeDocument/2006/relationships" ref="D462" r:id="rId922"/>
    <hyperlink xmlns:r="http://schemas.openxmlformats.org/officeDocument/2006/relationships" ref="C463" r:id="rId923"/>
    <hyperlink xmlns:r="http://schemas.openxmlformats.org/officeDocument/2006/relationships" ref="D463" r:id="rId924"/>
    <hyperlink xmlns:r="http://schemas.openxmlformats.org/officeDocument/2006/relationships" ref="C464" r:id="rId925"/>
    <hyperlink xmlns:r="http://schemas.openxmlformats.org/officeDocument/2006/relationships" ref="D464" r:id="rId926"/>
    <hyperlink xmlns:r="http://schemas.openxmlformats.org/officeDocument/2006/relationships" ref="C465" r:id="rId927"/>
    <hyperlink xmlns:r="http://schemas.openxmlformats.org/officeDocument/2006/relationships" ref="D465" r:id="rId928"/>
    <hyperlink xmlns:r="http://schemas.openxmlformats.org/officeDocument/2006/relationships" ref="C466" r:id="rId929"/>
    <hyperlink xmlns:r="http://schemas.openxmlformats.org/officeDocument/2006/relationships" ref="D466" r:id="rId930"/>
    <hyperlink xmlns:r="http://schemas.openxmlformats.org/officeDocument/2006/relationships" ref="C467" r:id="rId931"/>
    <hyperlink xmlns:r="http://schemas.openxmlformats.org/officeDocument/2006/relationships" ref="D467" r:id="rId932"/>
    <hyperlink xmlns:r="http://schemas.openxmlformats.org/officeDocument/2006/relationships" ref="C468" r:id="rId933"/>
    <hyperlink xmlns:r="http://schemas.openxmlformats.org/officeDocument/2006/relationships" ref="D468" r:id="rId934"/>
    <hyperlink xmlns:r="http://schemas.openxmlformats.org/officeDocument/2006/relationships" ref="C469" r:id="rId935"/>
    <hyperlink xmlns:r="http://schemas.openxmlformats.org/officeDocument/2006/relationships" ref="D469" r:id="rId936"/>
    <hyperlink xmlns:r="http://schemas.openxmlformats.org/officeDocument/2006/relationships" ref="C470" r:id="rId937"/>
    <hyperlink xmlns:r="http://schemas.openxmlformats.org/officeDocument/2006/relationships" ref="D470" r:id="rId938"/>
    <hyperlink xmlns:r="http://schemas.openxmlformats.org/officeDocument/2006/relationships" ref="C471" r:id="rId939"/>
    <hyperlink xmlns:r="http://schemas.openxmlformats.org/officeDocument/2006/relationships" ref="D471" r:id="rId940"/>
    <hyperlink xmlns:r="http://schemas.openxmlformats.org/officeDocument/2006/relationships" ref="C472" r:id="rId941"/>
    <hyperlink xmlns:r="http://schemas.openxmlformats.org/officeDocument/2006/relationships" ref="D472" r:id="rId942"/>
    <hyperlink xmlns:r="http://schemas.openxmlformats.org/officeDocument/2006/relationships" ref="C473" r:id="rId943"/>
    <hyperlink xmlns:r="http://schemas.openxmlformats.org/officeDocument/2006/relationships" ref="D473" r:id="rId944"/>
    <hyperlink xmlns:r="http://schemas.openxmlformats.org/officeDocument/2006/relationships" ref="C474" r:id="rId945"/>
    <hyperlink xmlns:r="http://schemas.openxmlformats.org/officeDocument/2006/relationships" ref="D474" r:id="rId946"/>
    <hyperlink xmlns:r="http://schemas.openxmlformats.org/officeDocument/2006/relationships" ref="C475" r:id="rId947"/>
    <hyperlink xmlns:r="http://schemas.openxmlformats.org/officeDocument/2006/relationships" ref="D475" r:id="rId948"/>
    <hyperlink xmlns:r="http://schemas.openxmlformats.org/officeDocument/2006/relationships" ref="C476" r:id="rId949"/>
    <hyperlink xmlns:r="http://schemas.openxmlformats.org/officeDocument/2006/relationships" ref="D476" r:id="rId950"/>
    <hyperlink xmlns:r="http://schemas.openxmlformats.org/officeDocument/2006/relationships" ref="C477" r:id="rId951"/>
    <hyperlink xmlns:r="http://schemas.openxmlformats.org/officeDocument/2006/relationships" ref="D477" r:id="rId952"/>
    <hyperlink xmlns:r="http://schemas.openxmlformats.org/officeDocument/2006/relationships" ref="C478" r:id="rId953"/>
    <hyperlink xmlns:r="http://schemas.openxmlformats.org/officeDocument/2006/relationships" ref="D478" r:id="rId954"/>
    <hyperlink xmlns:r="http://schemas.openxmlformats.org/officeDocument/2006/relationships" ref="C479" r:id="rId955"/>
    <hyperlink xmlns:r="http://schemas.openxmlformats.org/officeDocument/2006/relationships" ref="D479" r:id="rId956"/>
    <hyperlink xmlns:r="http://schemas.openxmlformats.org/officeDocument/2006/relationships" ref="C480" r:id="rId957"/>
    <hyperlink xmlns:r="http://schemas.openxmlformats.org/officeDocument/2006/relationships" ref="D480" r:id="rId958"/>
    <hyperlink xmlns:r="http://schemas.openxmlformats.org/officeDocument/2006/relationships" ref="C481" r:id="rId959"/>
    <hyperlink xmlns:r="http://schemas.openxmlformats.org/officeDocument/2006/relationships" ref="D481" r:id="rId960"/>
    <hyperlink xmlns:r="http://schemas.openxmlformats.org/officeDocument/2006/relationships" ref="C482" r:id="rId961"/>
    <hyperlink xmlns:r="http://schemas.openxmlformats.org/officeDocument/2006/relationships" ref="D482" r:id="rId962"/>
    <hyperlink xmlns:r="http://schemas.openxmlformats.org/officeDocument/2006/relationships" ref="C483" r:id="rId963"/>
    <hyperlink xmlns:r="http://schemas.openxmlformats.org/officeDocument/2006/relationships" ref="D483" r:id="rId964"/>
    <hyperlink xmlns:r="http://schemas.openxmlformats.org/officeDocument/2006/relationships" ref="C484" r:id="rId965"/>
    <hyperlink xmlns:r="http://schemas.openxmlformats.org/officeDocument/2006/relationships" ref="D484" r:id="rId966"/>
    <hyperlink xmlns:r="http://schemas.openxmlformats.org/officeDocument/2006/relationships" ref="C485" r:id="rId967"/>
    <hyperlink xmlns:r="http://schemas.openxmlformats.org/officeDocument/2006/relationships" ref="D485" r:id="rId968"/>
    <hyperlink xmlns:r="http://schemas.openxmlformats.org/officeDocument/2006/relationships" ref="C486" r:id="rId969"/>
    <hyperlink xmlns:r="http://schemas.openxmlformats.org/officeDocument/2006/relationships" ref="D486" r:id="rId970"/>
    <hyperlink xmlns:r="http://schemas.openxmlformats.org/officeDocument/2006/relationships" ref="C487" r:id="rId971"/>
    <hyperlink xmlns:r="http://schemas.openxmlformats.org/officeDocument/2006/relationships" ref="D487" r:id="rId972"/>
    <hyperlink xmlns:r="http://schemas.openxmlformats.org/officeDocument/2006/relationships" ref="C488" r:id="rId973"/>
    <hyperlink xmlns:r="http://schemas.openxmlformats.org/officeDocument/2006/relationships" ref="D488" r:id="rId974"/>
    <hyperlink xmlns:r="http://schemas.openxmlformats.org/officeDocument/2006/relationships" ref="C489" r:id="rId975"/>
    <hyperlink xmlns:r="http://schemas.openxmlformats.org/officeDocument/2006/relationships" ref="D489" r:id="rId976"/>
    <hyperlink xmlns:r="http://schemas.openxmlformats.org/officeDocument/2006/relationships" ref="C490" r:id="rId977"/>
    <hyperlink xmlns:r="http://schemas.openxmlformats.org/officeDocument/2006/relationships" ref="D490" r:id="rId978"/>
    <hyperlink xmlns:r="http://schemas.openxmlformats.org/officeDocument/2006/relationships" ref="C491" r:id="rId979"/>
    <hyperlink xmlns:r="http://schemas.openxmlformats.org/officeDocument/2006/relationships" ref="D491" r:id="rId980"/>
    <hyperlink xmlns:r="http://schemas.openxmlformats.org/officeDocument/2006/relationships" ref="C492" r:id="rId981"/>
    <hyperlink xmlns:r="http://schemas.openxmlformats.org/officeDocument/2006/relationships" ref="D492" r:id="rId982"/>
    <hyperlink xmlns:r="http://schemas.openxmlformats.org/officeDocument/2006/relationships" ref="C493" r:id="rId983"/>
    <hyperlink xmlns:r="http://schemas.openxmlformats.org/officeDocument/2006/relationships" ref="D493" r:id="rId984"/>
    <hyperlink xmlns:r="http://schemas.openxmlformats.org/officeDocument/2006/relationships" ref="C494" r:id="rId985"/>
    <hyperlink xmlns:r="http://schemas.openxmlformats.org/officeDocument/2006/relationships" ref="D494" r:id="rId986"/>
    <hyperlink xmlns:r="http://schemas.openxmlformats.org/officeDocument/2006/relationships" ref="C495" r:id="rId987"/>
    <hyperlink xmlns:r="http://schemas.openxmlformats.org/officeDocument/2006/relationships" ref="D495" r:id="rId988"/>
    <hyperlink xmlns:r="http://schemas.openxmlformats.org/officeDocument/2006/relationships" ref="C496" r:id="rId989"/>
    <hyperlink xmlns:r="http://schemas.openxmlformats.org/officeDocument/2006/relationships" ref="D496" r:id="rId990"/>
    <hyperlink xmlns:r="http://schemas.openxmlformats.org/officeDocument/2006/relationships" ref="C497" r:id="rId991"/>
    <hyperlink xmlns:r="http://schemas.openxmlformats.org/officeDocument/2006/relationships" ref="D497" r:id="rId992"/>
    <hyperlink xmlns:r="http://schemas.openxmlformats.org/officeDocument/2006/relationships" ref="C498" r:id="rId993"/>
    <hyperlink xmlns:r="http://schemas.openxmlformats.org/officeDocument/2006/relationships" ref="D498" r:id="rId994"/>
    <hyperlink xmlns:r="http://schemas.openxmlformats.org/officeDocument/2006/relationships" ref="C499" r:id="rId995"/>
    <hyperlink xmlns:r="http://schemas.openxmlformats.org/officeDocument/2006/relationships" ref="D499" r:id="rId996"/>
    <hyperlink xmlns:r="http://schemas.openxmlformats.org/officeDocument/2006/relationships" ref="C500" r:id="rId997"/>
    <hyperlink xmlns:r="http://schemas.openxmlformats.org/officeDocument/2006/relationships" ref="D500" r:id="rId998"/>
    <hyperlink xmlns:r="http://schemas.openxmlformats.org/officeDocument/2006/relationships" ref="C501" r:id="rId999"/>
    <hyperlink xmlns:r="http://schemas.openxmlformats.org/officeDocument/2006/relationships" ref="D501" r:id="rId1000"/>
    <hyperlink xmlns:r="http://schemas.openxmlformats.org/officeDocument/2006/relationships" ref="C502" r:id="rId1001"/>
    <hyperlink xmlns:r="http://schemas.openxmlformats.org/officeDocument/2006/relationships" ref="D502" r:id="rId1002"/>
    <hyperlink xmlns:r="http://schemas.openxmlformats.org/officeDocument/2006/relationships" ref="C503" r:id="rId1003"/>
    <hyperlink xmlns:r="http://schemas.openxmlformats.org/officeDocument/2006/relationships" ref="D503" r:id="rId1004"/>
    <hyperlink xmlns:r="http://schemas.openxmlformats.org/officeDocument/2006/relationships" ref="C504" r:id="rId1005"/>
    <hyperlink xmlns:r="http://schemas.openxmlformats.org/officeDocument/2006/relationships" ref="D504" r:id="rId1006"/>
    <hyperlink xmlns:r="http://schemas.openxmlformats.org/officeDocument/2006/relationships" ref="C505" r:id="rId1007"/>
    <hyperlink xmlns:r="http://schemas.openxmlformats.org/officeDocument/2006/relationships" ref="D505" r:id="rId1008"/>
    <hyperlink xmlns:r="http://schemas.openxmlformats.org/officeDocument/2006/relationships" ref="C506" r:id="rId1009"/>
    <hyperlink xmlns:r="http://schemas.openxmlformats.org/officeDocument/2006/relationships" ref="D506" r:id="rId1010"/>
    <hyperlink xmlns:r="http://schemas.openxmlformats.org/officeDocument/2006/relationships" ref="C507" r:id="rId1011"/>
    <hyperlink xmlns:r="http://schemas.openxmlformats.org/officeDocument/2006/relationships" ref="D507" r:id="rId1012"/>
    <hyperlink xmlns:r="http://schemas.openxmlformats.org/officeDocument/2006/relationships" ref="C508" r:id="rId1013"/>
    <hyperlink xmlns:r="http://schemas.openxmlformats.org/officeDocument/2006/relationships" ref="D508" r:id="rId1014"/>
    <hyperlink xmlns:r="http://schemas.openxmlformats.org/officeDocument/2006/relationships" ref="C509" r:id="rId1015"/>
    <hyperlink xmlns:r="http://schemas.openxmlformats.org/officeDocument/2006/relationships" ref="D509" r:id="rId1016"/>
    <hyperlink xmlns:r="http://schemas.openxmlformats.org/officeDocument/2006/relationships" ref="C510" r:id="rId1017"/>
    <hyperlink xmlns:r="http://schemas.openxmlformats.org/officeDocument/2006/relationships" ref="D510" r:id="rId1018"/>
    <hyperlink xmlns:r="http://schemas.openxmlformats.org/officeDocument/2006/relationships" ref="C511" r:id="rId1019"/>
    <hyperlink xmlns:r="http://schemas.openxmlformats.org/officeDocument/2006/relationships" ref="D511" r:id="rId1020"/>
    <hyperlink xmlns:r="http://schemas.openxmlformats.org/officeDocument/2006/relationships" ref="C512" r:id="rId1021"/>
    <hyperlink xmlns:r="http://schemas.openxmlformats.org/officeDocument/2006/relationships" ref="D512" r:id="rId1022"/>
    <hyperlink xmlns:r="http://schemas.openxmlformats.org/officeDocument/2006/relationships" ref="C513" r:id="rId1023"/>
    <hyperlink xmlns:r="http://schemas.openxmlformats.org/officeDocument/2006/relationships" ref="D513" r:id="rId1024"/>
    <hyperlink xmlns:r="http://schemas.openxmlformats.org/officeDocument/2006/relationships" ref="C514" r:id="rId1025"/>
    <hyperlink xmlns:r="http://schemas.openxmlformats.org/officeDocument/2006/relationships" ref="D514" r:id="rId1026"/>
    <hyperlink xmlns:r="http://schemas.openxmlformats.org/officeDocument/2006/relationships" ref="C515" r:id="rId1027"/>
    <hyperlink xmlns:r="http://schemas.openxmlformats.org/officeDocument/2006/relationships" ref="D515" r:id="rId1028"/>
    <hyperlink xmlns:r="http://schemas.openxmlformats.org/officeDocument/2006/relationships" ref="C516" r:id="rId1029"/>
    <hyperlink xmlns:r="http://schemas.openxmlformats.org/officeDocument/2006/relationships" ref="D516" r:id="rId1030"/>
    <hyperlink xmlns:r="http://schemas.openxmlformats.org/officeDocument/2006/relationships" ref="C517" r:id="rId1031"/>
    <hyperlink xmlns:r="http://schemas.openxmlformats.org/officeDocument/2006/relationships" ref="D517" r:id="rId1032"/>
    <hyperlink xmlns:r="http://schemas.openxmlformats.org/officeDocument/2006/relationships" ref="C518" r:id="rId1033"/>
    <hyperlink xmlns:r="http://schemas.openxmlformats.org/officeDocument/2006/relationships" ref="D518" r:id="rId1034"/>
    <hyperlink xmlns:r="http://schemas.openxmlformats.org/officeDocument/2006/relationships" ref="C519" r:id="rId1035"/>
    <hyperlink xmlns:r="http://schemas.openxmlformats.org/officeDocument/2006/relationships" ref="D519" r:id="rId1036"/>
    <hyperlink xmlns:r="http://schemas.openxmlformats.org/officeDocument/2006/relationships" ref="C520" r:id="rId1037"/>
    <hyperlink xmlns:r="http://schemas.openxmlformats.org/officeDocument/2006/relationships" ref="D520" r:id="rId1038"/>
    <hyperlink xmlns:r="http://schemas.openxmlformats.org/officeDocument/2006/relationships" ref="C521" r:id="rId1039"/>
    <hyperlink xmlns:r="http://schemas.openxmlformats.org/officeDocument/2006/relationships" ref="D521" r:id="rId1040"/>
    <hyperlink xmlns:r="http://schemas.openxmlformats.org/officeDocument/2006/relationships" ref="C522" r:id="rId1041"/>
    <hyperlink xmlns:r="http://schemas.openxmlformats.org/officeDocument/2006/relationships" ref="D522" r:id="rId1042"/>
    <hyperlink xmlns:r="http://schemas.openxmlformats.org/officeDocument/2006/relationships" ref="C523" r:id="rId1043"/>
    <hyperlink xmlns:r="http://schemas.openxmlformats.org/officeDocument/2006/relationships" ref="D523" r:id="rId1044"/>
    <hyperlink xmlns:r="http://schemas.openxmlformats.org/officeDocument/2006/relationships" ref="C524" r:id="rId1045"/>
    <hyperlink xmlns:r="http://schemas.openxmlformats.org/officeDocument/2006/relationships" ref="D524" r:id="rId1046"/>
    <hyperlink xmlns:r="http://schemas.openxmlformats.org/officeDocument/2006/relationships" ref="C525" r:id="rId1047"/>
    <hyperlink xmlns:r="http://schemas.openxmlformats.org/officeDocument/2006/relationships" ref="D525" r:id="rId1048"/>
    <hyperlink xmlns:r="http://schemas.openxmlformats.org/officeDocument/2006/relationships" ref="C526" r:id="rId1049"/>
    <hyperlink xmlns:r="http://schemas.openxmlformats.org/officeDocument/2006/relationships" ref="D526" r:id="rId1050"/>
    <hyperlink xmlns:r="http://schemas.openxmlformats.org/officeDocument/2006/relationships" ref="C527" r:id="rId1051"/>
    <hyperlink xmlns:r="http://schemas.openxmlformats.org/officeDocument/2006/relationships" ref="D527" r:id="rId1052"/>
    <hyperlink xmlns:r="http://schemas.openxmlformats.org/officeDocument/2006/relationships" ref="C528" r:id="rId1053"/>
    <hyperlink xmlns:r="http://schemas.openxmlformats.org/officeDocument/2006/relationships" ref="D528" r:id="rId1054"/>
    <hyperlink xmlns:r="http://schemas.openxmlformats.org/officeDocument/2006/relationships" ref="C529" r:id="rId1055"/>
    <hyperlink xmlns:r="http://schemas.openxmlformats.org/officeDocument/2006/relationships" ref="D529" r:id="rId1056"/>
    <hyperlink xmlns:r="http://schemas.openxmlformats.org/officeDocument/2006/relationships" ref="C530" r:id="rId1057"/>
    <hyperlink xmlns:r="http://schemas.openxmlformats.org/officeDocument/2006/relationships" ref="D530" r:id="rId1058"/>
    <hyperlink xmlns:r="http://schemas.openxmlformats.org/officeDocument/2006/relationships" ref="C531" r:id="rId1059"/>
    <hyperlink xmlns:r="http://schemas.openxmlformats.org/officeDocument/2006/relationships" ref="D531" r:id="rId1060"/>
    <hyperlink xmlns:r="http://schemas.openxmlformats.org/officeDocument/2006/relationships" ref="C532" r:id="rId1061"/>
    <hyperlink xmlns:r="http://schemas.openxmlformats.org/officeDocument/2006/relationships" ref="D532" r:id="rId1062"/>
    <hyperlink xmlns:r="http://schemas.openxmlformats.org/officeDocument/2006/relationships" ref="C533" r:id="rId1063"/>
    <hyperlink xmlns:r="http://schemas.openxmlformats.org/officeDocument/2006/relationships" ref="D533" r:id="rId1064"/>
    <hyperlink xmlns:r="http://schemas.openxmlformats.org/officeDocument/2006/relationships" ref="C534" r:id="rId1065"/>
    <hyperlink xmlns:r="http://schemas.openxmlformats.org/officeDocument/2006/relationships" ref="D534" r:id="rId1066"/>
    <hyperlink xmlns:r="http://schemas.openxmlformats.org/officeDocument/2006/relationships" ref="C535" r:id="rId1067"/>
    <hyperlink xmlns:r="http://schemas.openxmlformats.org/officeDocument/2006/relationships" ref="D535" r:id="rId1068"/>
    <hyperlink xmlns:r="http://schemas.openxmlformats.org/officeDocument/2006/relationships" ref="C536" r:id="rId1069"/>
    <hyperlink xmlns:r="http://schemas.openxmlformats.org/officeDocument/2006/relationships" ref="D536" r:id="rId1070"/>
    <hyperlink xmlns:r="http://schemas.openxmlformats.org/officeDocument/2006/relationships" ref="C537" r:id="rId1071"/>
    <hyperlink xmlns:r="http://schemas.openxmlformats.org/officeDocument/2006/relationships" ref="D537" r:id="rId1072"/>
    <hyperlink xmlns:r="http://schemas.openxmlformats.org/officeDocument/2006/relationships" ref="C538" r:id="rId1073"/>
    <hyperlink xmlns:r="http://schemas.openxmlformats.org/officeDocument/2006/relationships" ref="D538" r:id="rId1074"/>
    <hyperlink xmlns:r="http://schemas.openxmlformats.org/officeDocument/2006/relationships" ref="C539" r:id="rId1075"/>
    <hyperlink xmlns:r="http://schemas.openxmlformats.org/officeDocument/2006/relationships" ref="D539" r:id="rId1076"/>
    <hyperlink xmlns:r="http://schemas.openxmlformats.org/officeDocument/2006/relationships" ref="C540" r:id="rId1077"/>
    <hyperlink xmlns:r="http://schemas.openxmlformats.org/officeDocument/2006/relationships" ref="D540" r:id="rId1078"/>
    <hyperlink xmlns:r="http://schemas.openxmlformats.org/officeDocument/2006/relationships" ref="C541" r:id="rId1079"/>
    <hyperlink xmlns:r="http://schemas.openxmlformats.org/officeDocument/2006/relationships" ref="D541" r:id="rId1080"/>
    <hyperlink xmlns:r="http://schemas.openxmlformats.org/officeDocument/2006/relationships" ref="C542" r:id="rId1081"/>
    <hyperlink xmlns:r="http://schemas.openxmlformats.org/officeDocument/2006/relationships" ref="D542" r:id="rId1082"/>
    <hyperlink xmlns:r="http://schemas.openxmlformats.org/officeDocument/2006/relationships" ref="C543" r:id="rId1083"/>
    <hyperlink xmlns:r="http://schemas.openxmlformats.org/officeDocument/2006/relationships" ref="D543" r:id="rId1084"/>
    <hyperlink xmlns:r="http://schemas.openxmlformats.org/officeDocument/2006/relationships" ref="C544" r:id="rId1085"/>
    <hyperlink xmlns:r="http://schemas.openxmlformats.org/officeDocument/2006/relationships" ref="D544" r:id="rId1086"/>
    <hyperlink xmlns:r="http://schemas.openxmlformats.org/officeDocument/2006/relationships" ref="C545" r:id="rId1087"/>
    <hyperlink xmlns:r="http://schemas.openxmlformats.org/officeDocument/2006/relationships" ref="D545" r:id="rId1088"/>
    <hyperlink xmlns:r="http://schemas.openxmlformats.org/officeDocument/2006/relationships" ref="C546" r:id="rId1089"/>
    <hyperlink xmlns:r="http://schemas.openxmlformats.org/officeDocument/2006/relationships" ref="D546" r:id="rId1090"/>
    <hyperlink xmlns:r="http://schemas.openxmlformats.org/officeDocument/2006/relationships" ref="C547" r:id="rId1091"/>
    <hyperlink xmlns:r="http://schemas.openxmlformats.org/officeDocument/2006/relationships" ref="D547" r:id="rId1092"/>
    <hyperlink xmlns:r="http://schemas.openxmlformats.org/officeDocument/2006/relationships" ref="C548" r:id="rId1093"/>
    <hyperlink xmlns:r="http://schemas.openxmlformats.org/officeDocument/2006/relationships" ref="D548" r:id="rId1094"/>
    <hyperlink xmlns:r="http://schemas.openxmlformats.org/officeDocument/2006/relationships" ref="C549" r:id="rId1095"/>
    <hyperlink xmlns:r="http://schemas.openxmlformats.org/officeDocument/2006/relationships" ref="D549" r:id="rId1096"/>
    <hyperlink xmlns:r="http://schemas.openxmlformats.org/officeDocument/2006/relationships" ref="C550" r:id="rId1097"/>
    <hyperlink xmlns:r="http://schemas.openxmlformats.org/officeDocument/2006/relationships" ref="D550" r:id="rId1098"/>
    <hyperlink xmlns:r="http://schemas.openxmlformats.org/officeDocument/2006/relationships" ref="C551" r:id="rId1099"/>
    <hyperlink xmlns:r="http://schemas.openxmlformats.org/officeDocument/2006/relationships" ref="D551" r:id="rId1100"/>
    <hyperlink xmlns:r="http://schemas.openxmlformats.org/officeDocument/2006/relationships" ref="C552" r:id="rId1101"/>
    <hyperlink xmlns:r="http://schemas.openxmlformats.org/officeDocument/2006/relationships" ref="D552" r:id="rId1102"/>
    <hyperlink xmlns:r="http://schemas.openxmlformats.org/officeDocument/2006/relationships" ref="C553" r:id="rId1103"/>
    <hyperlink xmlns:r="http://schemas.openxmlformats.org/officeDocument/2006/relationships" ref="D553" r:id="rId1104"/>
    <hyperlink xmlns:r="http://schemas.openxmlformats.org/officeDocument/2006/relationships" ref="C554" r:id="rId1105"/>
    <hyperlink xmlns:r="http://schemas.openxmlformats.org/officeDocument/2006/relationships" ref="D554" r:id="rId1106"/>
    <hyperlink xmlns:r="http://schemas.openxmlformats.org/officeDocument/2006/relationships" ref="C555" r:id="rId1107"/>
    <hyperlink xmlns:r="http://schemas.openxmlformats.org/officeDocument/2006/relationships" ref="D555" r:id="rId1108"/>
    <hyperlink xmlns:r="http://schemas.openxmlformats.org/officeDocument/2006/relationships" ref="C556" r:id="rId1109"/>
    <hyperlink xmlns:r="http://schemas.openxmlformats.org/officeDocument/2006/relationships" ref="D556" r:id="rId1110"/>
    <hyperlink xmlns:r="http://schemas.openxmlformats.org/officeDocument/2006/relationships" ref="C557" r:id="rId1111"/>
    <hyperlink xmlns:r="http://schemas.openxmlformats.org/officeDocument/2006/relationships" ref="D557" r:id="rId1112"/>
    <hyperlink xmlns:r="http://schemas.openxmlformats.org/officeDocument/2006/relationships" ref="C558" r:id="rId1113"/>
    <hyperlink xmlns:r="http://schemas.openxmlformats.org/officeDocument/2006/relationships" ref="D558" r:id="rId1114"/>
    <hyperlink xmlns:r="http://schemas.openxmlformats.org/officeDocument/2006/relationships" ref="C559" r:id="rId1115"/>
    <hyperlink xmlns:r="http://schemas.openxmlformats.org/officeDocument/2006/relationships" ref="D559" r:id="rId1116"/>
    <hyperlink xmlns:r="http://schemas.openxmlformats.org/officeDocument/2006/relationships" ref="C560" r:id="rId1117"/>
    <hyperlink xmlns:r="http://schemas.openxmlformats.org/officeDocument/2006/relationships" ref="D560" r:id="rId1118"/>
    <hyperlink xmlns:r="http://schemas.openxmlformats.org/officeDocument/2006/relationships" ref="C561" r:id="rId1119"/>
    <hyperlink xmlns:r="http://schemas.openxmlformats.org/officeDocument/2006/relationships" ref="D561" r:id="rId1120"/>
    <hyperlink xmlns:r="http://schemas.openxmlformats.org/officeDocument/2006/relationships" ref="C562" r:id="rId1121"/>
    <hyperlink xmlns:r="http://schemas.openxmlformats.org/officeDocument/2006/relationships" ref="D562" r:id="rId1122"/>
    <hyperlink xmlns:r="http://schemas.openxmlformats.org/officeDocument/2006/relationships" ref="C563" r:id="rId1123"/>
    <hyperlink xmlns:r="http://schemas.openxmlformats.org/officeDocument/2006/relationships" ref="D563" r:id="rId1124"/>
    <hyperlink xmlns:r="http://schemas.openxmlformats.org/officeDocument/2006/relationships" ref="C564" r:id="rId1125"/>
    <hyperlink xmlns:r="http://schemas.openxmlformats.org/officeDocument/2006/relationships" ref="D564" r:id="rId1126"/>
    <hyperlink xmlns:r="http://schemas.openxmlformats.org/officeDocument/2006/relationships" ref="C565" r:id="rId1127"/>
    <hyperlink xmlns:r="http://schemas.openxmlformats.org/officeDocument/2006/relationships" ref="D565" r:id="rId1128"/>
    <hyperlink xmlns:r="http://schemas.openxmlformats.org/officeDocument/2006/relationships" ref="C566" r:id="rId1129"/>
    <hyperlink xmlns:r="http://schemas.openxmlformats.org/officeDocument/2006/relationships" ref="D566" r:id="rId1130"/>
    <hyperlink xmlns:r="http://schemas.openxmlformats.org/officeDocument/2006/relationships" ref="C567" r:id="rId1131"/>
    <hyperlink xmlns:r="http://schemas.openxmlformats.org/officeDocument/2006/relationships" ref="D567" r:id="rId1132"/>
    <hyperlink xmlns:r="http://schemas.openxmlformats.org/officeDocument/2006/relationships" ref="C568" r:id="rId1133"/>
    <hyperlink xmlns:r="http://schemas.openxmlformats.org/officeDocument/2006/relationships" ref="D568" r:id="rId1134"/>
    <hyperlink xmlns:r="http://schemas.openxmlformats.org/officeDocument/2006/relationships" ref="C569" r:id="rId1135"/>
    <hyperlink xmlns:r="http://schemas.openxmlformats.org/officeDocument/2006/relationships" ref="D569" r:id="rId1136"/>
    <hyperlink xmlns:r="http://schemas.openxmlformats.org/officeDocument/2006/relationships" ref="C570" r:id="rId1137"/>
    <hyperlink xmlns:r="http://schemas.openxmlformats.org/officeDocument/2006/relationships" ref="D570" r:id="rId1138"/>
    <hyperlink xmlns:r="http://schemas.openxmlformats.org/officeDocument/2006/relationships" ref="C571" r:id="rId1139"/>
    <hyperlink xmlns:r="http://schemas.openxmlformats.org/officeDocument/2006/relationships" ref="D571" r:id="rId1140"/>
    <hyperlink xmlns:r="http://schemas.openxmlformats.org/officeDocument/2006/relationships" ref="C572" r:id="rId1141"/>
    <hyperlink xmlns:r="http://schemas.openxmlformats.org/officeDocument/2006/relationships" ref="D572" r:id="rId1142"/>
    <hyperlink xmlns:r="http://schemas.openxmlformats.org/officeDocument/2006/relationships" ref="C573" r:id="rId1143"/>
    <hyperlink xmlns:r="http://schemas.openxmlformats.org/officeDocument/2006/relationships" ref="D573" r:id="rId1144"/>
    <hyperlink xmlns:r="http://schemas.openxmlformats.org/officeDocument/2006/relationships" ref="C574" r:id="rId1145"/>
    <hyperlink xmlns:r="http://schemas.openxmlformats.org/officeDocument/2006/relationships" ref="D574" r:id="rId1146"/>
    <hyperlink xmlns:r="http://schemas.openxmlformats.org/officeDocument/2006/relationships" ref="C575" r:id="rId1147"/>
    <hyperlink xmlns:r="http://schemas.openxmlformats.org/officeDocument/2006/relationships" ref="D575" r:id="rId1148"/>
    <hyperlink xmlns:r="http://schemas.openxmlformats.org/officeDocument/2006/relationships" ref="C576" r:id="rId1149"/>
    <hyperlink xmlns:r="http://schemas.openxmlformats.org/officeDocument/2006/relationships" ref="D576" r:id="rId1150"/>
    <hyperlink xmlns:r="http://schemas.openxmlformats.org/officeDocument/2006/relationships" ref="C577" r:id="rId1151"/>
    <hyperlink xmlns:r="http://schemas.openxmlformats.org/officeDocument/2006/relationships" ref="D577" r:id="rId1152"/>
    <hyperlink xmlns:r="http://schemas.openxmlformats.org/officeDocument/2006/relationships" ref="C578" r:id="rId1153"/>
    <hyperlink xmlns:r="http://schemas.openxmlformats.org/officeDocument/2006/relationships" ref="D578" r:id="rId1154"/>
    <hyperlink xmlns:r="http://schemas.openxmlformats.org/officeDocument/2006/relationships" ref="C579" r:id="rId1155"/>
    <hyperlink xmlns:r="http://schemas.openxmlformats.org/officeDocument/2006/relationships" ref="D579" r:id="rId1156"/>
    <hyperlink xmlns:r="http://schemas.openxmlformats.org/officeDocument/2006/relationships" ref="C580" r:id="rId1157"/>
    <hyperlink xmlns:r="http://schemas.openxmlformats.org/officeDocument/2006/relationships" ref="D580" r:id="rId1158"/>
    <hyperlink xmlns:r="http://schemas.openxmlformats.org/officeDocument/2006/relationships" ref="C581" r:id="rId1159"/>
    <hyperlink xmlns:r="http://schemas.openxmlformats.org/officeDocument/2006/relationships" ref="D581" r:id="rId1160"/>
    <hyperlink xmlns:r="http://schemas.openxmlformats.org/officeDocument/2006/relationships" ref="C582" r:id="rId1161"/>
    <hyperlink xmlns:r="http://schemas.openxmlformats.org/officeDocument/2006/relationships" ref="D582" r:id="rId1162"/>
    <hyperlink xmlns:r="http://schemas.openxmlformats.org/officeDocument/2006/relationships" ref="C583" r:id="rId1163"/>
    <hyperlink xmlns:r="http://schemas.openxmlformats.org/officeDocument/2006/relationships" ref="D583" r:id="rId1164"/>
    <hyperlink xmlns:r="http://schemas.openxmlformats.org/officeDocument/2006/relationships" ref="C584" r:id="rId1165"/>
    <hyperlink xmlns:r="http://schemas.openxmlformats.org/officeDocument/2006/relationships" ref="D584" r:id="rId1166"/>
    <hyperlink xmlns:r="http://schemas.openxmlformats.org/officeDocument/2006/relationships" ref="C585" r:id="rId1167"/>
    <hyperlink xmlns:r="http://schemas.openxmlformats.org/officeDocument/2006/relationships" ref="D585" r:id="rId1168"/>
    <hyperlink xmlns:r="http://schemas.openxmlformats.org/officeDocument/2006/relationships" ref="C586" r:id="rId1169"/>
    <hyperlink xmlns:r="http://schemas.openxmlformats.org/officeDocument/2006/relationships" ref="D586" r:id="rId1170"/>
    <hyperlink xmlns:r="http://schemas.openxmlformats.org/officeDocument/2006/relationships" ref="C587" r:id="rId1171"/>
    <hyperlink xmlns:r="http://schemas.openxmlformats.org/officeDocument/2006/relationships" ref="D587" r:id="rId1172"/>
    <hyperlink xmlns:r="http://schemas.openxmlformats.org/officeDocument/2006/relationships" ref="C588" r:id="rId1173"/>
    <hyperlink xmlns:r="http://schemas.openxmlformats.org/officeDocument/2006/relationships" ref="D588" r:id="rId1174"/>
    <hyperlink xmlns:r="http://schemas.openxmlformats.org/officeDocument/2006/relationships" ref="C589" r:id="rId1175"/>
    <hyperlink xmlns:r="http://schemas.openxmlformats.org/officeDocument/2006/relationships" ref="D589" r:id="rId1176"/>
    <hyperlink xmlns:r="http://schemas.openxmlformats.org/officeDocument/2006/relationships" ref="C590" r:id="rId1177"/>
    <hyperlink xmlns:r="http://schemas.openxmlformats.org/officeDocument/2006/relationships" ref="D590" r:id="rId1178"/>
    <hyperlink xmlns:r="http://schemas.openxmlformats.org/officeDocument/2006/relationships" ref="C591" r:id="rId1179"/>
    <hyperlink xmlns:r="http://schemas.openxmlformats.org/officeDocument/2006/relationships" ref="D591" r:id="rId1180"/>
    <hyperlink xmlns:r="http://schemas.openxmlformats.org/officeDocument/2006/relationships" ref="C592" r:id="rId1181"/>
    <hyperlink xmlns:r="http://schemas.openxmlformats.org/officeDocument/2006/relationships" ref="D592" r:id="rId1182"/>
    <hyperlink xmlns:r="http://schemas.openxmlformats.org/officeDocument/2006/relationships" ref="C593" r:id="rId1183"/>
    <hyperlink xmlns:r="http://schemas.openxmlformats.org/officeDocument/2006/relationships" ref="D593" r:id="rId1184"/>
    <hyperlink xmlns:r="http://schemas.openxmlformats.org/officeDocument/2006/relationships" ref="C594" r:id="rId1185"/>
    <hyperlink xmlns:r="http://schemas.openxmlformats.org/officeDocument/2006/relationships" ref="D594" r:id="rId1186"/>
    <hyperlink xmlns:r="http://schemas.openxmlformats.org/officeDocument/2006/relationships" ref="C595" r:id="rId1187"/>
    <hyperlink xmlns:r="http://schemas.openxmlformats.org/officeDocument/2006/relationships" ref="D595" r:id="rId1188"/>
    <hyperlink xmlns:r="http://schemas.openxmlformats.org/officeDocument/2006/relationships" ref="C596" r:id="rId1189"/>
    <hyperlink xmlns:r="http://schemas.openxmlformats.org/officeDocument/2006/relationships" ref="D596" r:id="rId1190"/>
    <hyperlink xmlns:r="http://schemas.openxmlformats.org/officeDocument/2006/relationships" ref="C597" r:id="rId1191"/>
    <hyperlink xmlns:r="http://schemas.openxmlformats.org/officeDocument/2006/relationships" ref="D597" r:id="rId1192"/>
    <hyperlink xmlns:r="http://schemas.openxmlformats.org/officeDocument/2006/relationships" ref="C598" r:id="rId1193"/>
    <hyperlink xmlns:r="http://schemas.openxmlformats.org/officeDocument/2006/relationships" ref="D598" r:id="rId1194"/>
    <hyperlink xmlns:r="http://schemas.openxmlformats.org/officeDocument/2006/relationships" ref="C599" r:id="rId1195"/>
    <hyperlink xmlns:r="http://schemas.openxmlformats.org/officeDocument/2006/relationships" ref="D599" r:id="rId1196"/>
    <hyperlink xmlns:r="http://schemas.openxmlformats.org/officeDocument/2006/relationships" ref="C600" r:id="rId1197"/>
    <hyperlink xmlns:r="http://schemas.openxmlformats.org/officeDocument/2006/relationships" ref="D600" r:id="rId1198"/>
    <hyperlink xmlns:r="http://schemas.openxmlformats.org/officeDocument/2006/relationships" ref="C601" r:id="rId1199"/>
    <hyperlink xmlns:r="http://schemas.openxmlformats.org/officeDocument/2006/relationships" ref="D601" r:id="rId1200"/>
    <hyperlink xmlns:r="http://schemas.openxmlformats.org/officeDocument/2006/relationships" ref="C602" r:id="rId1201"/>
    <hyperlink xmlns:r="http://schemas.openxmlformats.org/officeDocument/2006/relationships" ref="D602" r:id="rId1202"/>
    <hyperlink xmlns:r="http://schemas.openxmlformats.org/officeDocument/2006/relationships" ref="C603" r:id="rId1203"/>
    <hyperlink xmlns:r="http://schemas.openxmlformats.org/officeDocument/2006/relationships" ref="D603" r:id="rId1204"/>
    <hyperlink xmlns:r="http://schemas.openxmlformats.org/officeDocument/2006/relationships" ref="C604" r:id="rId1205"/>
    <hyperlink xmlns:r="http://schemas.openxmlformats.org/officeDocument/2006/relationships" ref="D604" r:id="rId1206"/>
    <hyperlink xmlns:r="http://schemas.openxmlformats.org/officeDocument/2006/relationships" ref="C605" r:id="rId1207"/>
    <hyperlink xmlns:r="http://schemas.openxmlformats.org/officeDocument/2006/relationships" ref="D605" r:id="rId1208"/>
    <hyperlink xmlns:r="http://schemas.openxmlformats.org/officeDocument/2006/relationships" ref="C606" r:id="rId1209"/>
    <hyperlink xmlns:r="http://schemas.openxmlformats.org/officeDocument/2006/relationships" ref="D606" r:id="rId1210"/>
    <hyperlink xmlns:r="http://schemas.openxmlformats.org/officeDocument/2006/relationships" ref="C607" r:id="rId1211"/>
    <hyperlink xmlns:r="http://schemas.openxmlformats.org/officeDocument/2006/relationships" ref="D607" r:id="rId1212"/>
    <hyperlink xmlns:r="http://schemas.openxmlformats.org/officeDocument/2006/relationships" ref="C608" r:id="rId1213"/>
    <hyperlink xmlns:r="http://schemas.openxmlformats.org/officeDocument/2006/relationships" ref="D608" r:id="rId1214"/>
    <hyperlink xmlns:r="http://schemas.openxmlformats.org/officeDocument/2006/relationships" ref="C609" r:id="rId1215"/>
    <hyperlink xmlns:r="http://schemas.openxmlformats.org/officeDocument/2006/relationships" ref="D609" r:id="rId1216"/>
    <hyperlink xmlns:r="http://schemas.openxmlformats.org/officeDocument/2006/relationships" ref="C610" r:id="rId1217"/>
    <hyperlink xmlns:r="http://schemas.openxmlformats.org/officeDocument/2006/relationships" ref="D610" r:id="rId1218"/>
    <hyperlink xmlns:r="http://schemas.openxmlformats.org/officeDocument/2006/relationships" ref="C611" r:id="rId1219"/>
    <hyperlink xmlns:r="http://schemas.openxmlformats.org/officeDocument/2006/relationships" ref="D611" r:id="rId1220"/>
    <hyperlink xmlns:r="http://schemas.openxmlformats.org/officeDocument/2006/relationships" ref="C612" r:id="rId1221"/>
    <hyperlink xmlns:r="http://schemas.openxmlformats.org/officeDocument/2006/relationships" ref="D612" r:id="rId1222"/>
    <hyperlink xmlns:r="http://schemas.openxmlformats.org/officeDocument/2006/relationships" ref="C613" r:id="rId1223"/>
    <hyperlink xmlns:r="http://schemas.openxmlformats.org/officeDocument/2006/relationships" ref="D613" r:id="rId1224"/>
    <hyperlink xmlns:r="http://schemas.openxmlformats.org/officeDocument/2006/relationships" ref="C614" r:id="rId1225"/>
    <hyperlink xmlns:r="http://schemas.openxmlformats.org/officeDocument/2006/relationships" ref="D614" r:id="rId1226"/>
    <hyperlink xmlns:r="http://schemas.openxmlformats.org/officeDocument/2006/relationships" ref="C615" r:id="rId1227"/>
    <hyperlink xmlns:r="http://schemas.openxmlformats.org/officeDocument/2006/relationships" ref="D615" r:id="rId1228"/>
    <hyperlink xmlns:r="http://schemas.openxmlformats.org/officeDocument/2006/relationships" ref="C616" r:id="rId1229"/>
    <hyperlink xmlns:r="http://schemas.openxmlformats.org/officeDocument/2006/relationships" ref="D616" r:id="rId1230"/>
    <hyperlink xmlns:r="http://schemas.openxmlformats.org/officeDocument/2006/relationships" ref="C617" r:id="rId1231"/>
    <hyperlink xmlns:r="http://schemas.openxmlformats.org/officeDocument/2006/relationships" ref="D617" r:id="rId1232"/>
    <hyperlink xmlns:r="http://schemas.openxmlformats.org/officeDocument/2006/relationships" ref="C618" r:id="rId1233"/>
    <hyperlink xmlns:r="http://schemas.openxmlformats.org/officeDocument/2006/relationships" ref="D618" r:id="rId1234"/>
    <hyperlink xmlns:r="http://schemas.openxmlformats.org/officeDocument/2006/relationships" ref="C619" r:id="rId1235"/>
    <hyperlink xmlns:r="http://schemas.openxmlformats.org/officeDocument/2006/relationships" ref="D619" r:id="rId1236"/>
    <hyperlink xmlns:r="http://schemas.openxmlformats.org/officeDocument/2006/relationships" ref="C620" r:id="rId1237"/>
    <hyperlink xmlns:r="http://schemas.openxmlformats.org/officeDocument/2006/relationships" ref="D620" r:id="rId1238"/>
    <hyperlink xmlns:r="http://schemas.openxmlformats.org/officeDocument/2006/relationships" ref="C621" r:id="rId1239"/>
    <hyperlink xmlns:r="http://schemas.openxmlformats.org/officeDocument/2006/relationships" ref="D621" r:id="rId1240"/>
    <hyperlink xmlns:r="http://schemas.openxmlformats.org/officeDocument/2006/relationships" ref="C622" r:id="rId1241"/>
    <hyperlink xmlns:r="http://schemas.openxmlformats.org/officeDocument/2006/relationships" ref="D622" r:id="rId1242"/>
    <hyperlink xmlns:r="http://schemas.openxmlformats.org/officeDocument/2006/relationships" ref="C623" r:id="rId1243"/>
    <hyperlink xmlns:r="http://schemas.openxmlformats.org/officeDocument/2006/relationships" ref="D623" r:id="rId1244"/>
    <hyperlink xmlns:r="http://schemas.openxmlformats.org/officeDocument/2006/relationships" ref="C624" r:id="rId1245"/>
    <hyperlink xmlns:r="http://schemas.openxmlformats.org/officeDocument/2006/relationships" ref="D624" r:id="rId1246"/>
    <hyperlink xmlns:r="http://schemas.openxmlformats.org/officeDocument/2006/relationships" ref="C625" r:id="rId1247"/>
    <hyperlink xmlns:r="http://schemas.openxmlformats.org/officeDocument/2006/relationships" ref="D625" r:id="rId1248"/>
    <hyperlink xmlns:r="http://schemas.openxmlformats.org/officeDocument/2006/relationships" ref="C626" r:id="rId1249"/>
    <hyperlink xmlns:r="http://schemas.openxmlformats.org/officeDocument/2006/relationships" ref="D626" r:id="rId1250"/>
    <hyperlink xmlns:r="http://schemas.openxmlformats.org/officeDocument/2006/relationships" ref="C627" r:id="rId1251"/>
    <hyperlink xmlns:r="http://schemas.openxmlformats.org/officeDocument/2006/relationships" ref="D627" r:id="rId1252"/>
    <hyperlink xmlns:r="http://schemas.openxmlformats.org/officeDocument/2006/relationships" ref="C628" r:id="rId1253"/>
    <hyperlink xmlns:r="http://schemas.openxmlformats.org/officeDocument/2006/relationships" ref="D628" r:id="rId1254"/>
    <hyperlink xmlns:r="http://schemas.openxmlformats.org/officeDocument/2006/relationships" ref="C629" r:id="rId1255"/>
    <hyperlink xmlns:r="http://schemas.openxmlformats.org/officeDocument/2006/relationships" ref="D629" r:id="rId1256"/>
    <hyperlink xmlns:r="http://schemas.openxmlformats.org/officeDocument/2006/relationships" ref="C630" r:id="rId1257"/>
    <hyperlink xmlns:r="http://schemas.openxmlformats.org/officeDocument/2006/relationships" ref="D630" r:id="rId1258"/>
    <hyperlink xmlns:r="http://schemas.openxmlformats.org/officeDocument/2006/relationships" ref="C631" r:id="rId1259"/>
    <hyperlink xmlns:r="http://schemas.openxmlformats.org/officeDocument/2006/relationships" ref="D631" r:id="rId1260"/>
    <hyperlink xmlns:r="http://schemas.openxmlformats.org/officeDocument/2006/relationships" ref="C632" r:id="rId1261"/>
    <hyperlink xmlns:r="http://schemas.openxmlformats.org/officeDocument/2006/relationships" ref="D632" r:id="rId1262"/>
    <hyperlink xmlns:r="http://schemas.openxmlformats.org/officeDocument/2006/relationships" ref="C633" r:id="rId1263"/>
    <hyperlink xmlns:r="http://schemas.openxmlformats.org/officeDocument/2006/relationships" ref="D633" r:id="rId1264"/>
    <hyperlink xmlns:r="http://schemas.openxmlformats.org/officeDocument/2006/relationships" ref="C634" r:id="rId1265"/>
    <hyperlink xmlns:r="http://schemas.openxmlformats.org/officeDocument/2006/relationships" ref="D634" r:id="rId1266"/>
    <hyperlink xmlns:r="http://schemas.openxmlformats.org/officeDocument/2006/relationships" ref="C635" r:id="rId1267"/>
    <hyperlink xmlns:r="http://schemas.openxmlformats.org/officeDocument/2006/relationships" ref="D635" r:id="rId1268"/>
    <hyperlink xmlns:r="http://schemas.openxmlformats.org/officeDocument/2006/relationships" ref="C636" r:id="rId1269"/>
    <hyperlink xmlns:r="http://schemas.openxmlformats.org/officeDocument/2006/relationships" ref="D636" r:id="rId1270"/>
    <hyperlink xmlns:r="http://schemas.openxmlformats.org/officeDocument/2006/relationships" ref="C637" r:id="rId1271"/>
    <hyperlink xmlns:r="http://schemas.openxmlformats.org/officeDocument/2006/relationships" ref="D637" r:id="rId1272"/>
    <hyperlink xmlns:r="http://schemas.openxmlformats.org/officeDocument/2006/relationships" ref="C638" r:id="rId1273"/>
    <hyperlink xmlns:r="http://schemas.openxmlformats.org/officeDocument/2006/relationships" ref="D638" r:id="rId1274"/>
    <hyperlink xmlns:r="http://schemas.openxmlformats.org/officeDocument/2006/relationships" ref="C639" r:id="rId1275"/>
    <hyperlink xmlns:r="http://schemas.openxmlformats.org/officeDocument/2006/relationships" ref="D639" r:id="rId1276"/>
    <hyperlink xmlns:r="http://schemas.openxmlformats.org/officeDocument/2006/relationships" ref="C640" r:id="rId1277"/>
    <hyperlink xmlns:r="http://schemas.openxmlformats.org/officeDocument/2006/relationships" ref="D640" r:id="rId1278"/>
    <hyperlink xmlns:r="http://schemas.openxmlformats.org/officeDocument/2006/relationships" ref="C641" r:id="rId1279"/>
    <hyperlink xmlns:r="http://schemas.openxmlformats.org/officeDocument/2006/relationships" ref="D641" r:id="rId1280"/>
    <hyperlink xmlns:r="http://schemas.openxmlformats.org/officeDocument/2006/relationships" ref="C642" r:id="rId1281"/>
    <hyperlink xmlns:r="http://schemas.openxmlformats.org/officeDocument/2006/relationships" ref="D642" r:id="rId1282"/>
    <hyperlink xmlns:r="http://schemas.openxmlformats.org/officeDocument/2006/relationships" ref="C643" r:id="rId1283"/>
    <hyperlink xmlns:r="http://schemas.openxmlformats.org/officeDocument/2006/relationships" ref="D643" r:id="rId1284"/>
    <hyperlink xmlns:r="http://schemas.openxmlformats.org/officeDocument/2006/relationships" ref="C644" r:id="rId1285"/>
    <hyperlink xmlns:r="http://schemas.openxmlformats.org/officeDocument/2006/relationships" ref="D644" r:id="rId1286"/>
    <hyperlink xmlns:r="http://schemas.openxmlformats.org/officeDocument/2006/relationships" ref="C645" r:id="rId1287"/>
    <hyperlink xmlns:r="http://schemas.openxmlformats.org/officeDocument/2006/relationships" ref="D645" r:id="rId1288"/>
    <hyperlink xmlns:r="http://schemas.openxmlformats.org/officeDocument/2006/relationships" ref="C646" r:id="rId1289"/>
    <hyperlink xmlns:r="http://schemas.openxmlformats.org/officeDocument/2006/relationships" ref="D646" r:id="rId1290"/>
    <hyperlink xmlns:r="http://schemas.openxmlformats.org/officeDocument/2006/relationships" ref="C647" r:id="rId1291"/>
    <hyperlink xmlns:r="http://schemas.openxmlformats.org/officeDocument/2006/relationships" ref="D647" r:id="rId1292"/>
    <hyperlink xmlns:r="http://schemas.openxmlformats.org/officeDocument/2006/relationships" ref="C648" r:id="rId1293"/>
    <hyperlink xmlns:r="http://schemas.openxmlformats.org/officeDocument/2006/relationships" ref="D648" r:id="rId1294"/>
    <hyperlink xmlns:r="http://schemas.openxmlformats.org/officeDocument/2006/relationships" ref="C649" r:id="rId1295"/>
    <hyperlink xmlns:r="http://schemas.openxmlformats.org/officeDocument/2006/relationships" ref="D649" r:id="rId1296"/>
    <hyperlink xmlns:r="http://schemas.openxmlformats.org/officeDocument/2006/relationships" ref="C650" r:id="rId1297"/>
    <hyperlink xmlns:r="http://schemas.openxmlformats.org/officeDocument/2006/relationships" ref="D650" r:id="rId1298"/>
    <hyperlink xmlns:r="http://schemas.openxmlformats.org/officeDocument/2006/relationships" ref="C651" r:id="rId1299"/>
    <hyperlink xmlns:r="http://schemas.openxmlformats.org/officeDocument/2006/relationships" ref="D651" r:id="rId1300"/>
    <hyperlink xmlns:r="http://schemas.openxmlformats.org/officeDocument/2006/relationships" ref="C652" r:id="rId1301"/>
    <hyperlink xmlns:r="http://schemas.openxmlformats.org/officeDocument/2006/relationships" ref="D652" r:id="rId1302"/>
    <hyperlink xmlns:r="http://schemas.openxmlformats.org/officeDocument/2006/relationships" ref="C653" r:id="rId1303"/>
    <hyperlink xmlns:r="http://schemas.openxmlformats.org/officeDocument/2006/relationships" ref="D653" r:id="rId1304"/>
    <hyperlink xmlns:r="http://schemas.openxmlformats.org/officeDocument/2006/relationships" ref="C654" r:id="rId1305"/>
    <hyperlink xmlns:r="http://schemas.openxmlformats.org/officeDocument/2006/relationships" ref="D654" r:id="rId1306"/>
    <hyperlink xmlns:r="http://schemas.openxmlformats.org/officeDocument/2006/relationships" ref="C655" r:id="rId1307"/>
    <hyperlink xmlns:r="http://schemas.openxmlformats.org/officeDocument/2006/relationships" ref="D655" r:id="rId1308"/>
    <hyperlink xmlns:r="http://schemas.openxmlformats.org/officeDocument/2006/relationships" ref="C656" r:id="rId1309"/>
    <hyperlink xmlns:r="http://schemas.openxmlformats.org/officeDocument/2006/relationships" ref="D656" r:id="rId1310"/>
    <hyperlink xmlns:r="http://schemas.openxmlformats.org/officeDocument/2006/relationships" ref="C657" r:id="rId1311"/>
    <hyperlink xmlns:r="http://schemas.openxmlformats.org/officeDocument/2006/relationships" ref="D657" r:id="rId1312"/>
    <hyperlink xmlns:r="http://schemas.openxmlformats.org/officeDocument/2006/relationships" ref="C658" r:id="rId1313"/>
    <hyperlink xmlns:r="http://schemas.openxmlformats.org/officeDocument/2006/relationships" ref="D658" r:id="rId1314"/>
    <hyperlink xmlns:r="http://schemas.openxmlformats.org/officeDocument/2006/relationships" ref="C659" r:id="rId1315"/>
    <hyperlink xmlns:r="http://schemas.openxmlformats.org/officeDocument/2006/relationships" ref="D659" r:id="rId1316"/>
    <hyperlink xmlns:r="http://schemas.openxmlformats.org/officeDocument/2006/relationships" ref="C660" r:id="rId1317"/>
    <hyperlink xmlns:r="http://schemas.openxmlformats.org/officeDocument/2006/relationships" ref="D660" r:id="rId1318"/>
    <hyperlink xmlns:r="http://schemas.openxmlformats.org/officeDocument/2006/relationships" ref="C661" r:id="rId1319"/>
    <hyperlink xmlns:r="http://schemas.openxmlformats.org/officeDocument/2006/relationships" ref="D661" r:id="rId1320"/>
    <hyperlink xmlns:r="http://schemas.openxmlformats.org/officeDocument/2006/relationships" ref="C662" r:id="rId1321"/>
    <hyperlink xmlns:r="http://schemas.openxmlformats.org/officeDocument/2006/relationships" ref="D662" r:id="rId1322"/>
    <hyperlink xmlns:r="http://schemas.openxmlformats.org/officeDocument/2006/relationships" ref="C663" r:id="rId1323"/>
    <hyperlink xmlns:r="http://schemas.openxmlformats.org/officeDocument/2006/relationships" ref="D663" r:id="rId1324"/>
    <hyperlink xmlns:r="http://schemas.openxmlformats.org/officeDocument/2006/relationships" ref="C664" r:id="rId1325"/>
    <hyperlink xmlns:r="http://schemas.openxmlformats.org/officeDocument/2006/relationships" ref="D664" r:id="rId1326"/>
    <hyperlink xmlns:r="http://schemas.openxmlformats.org/officeDocument/2006/relationships" ref="C665" r:id="rId1327"/>
    <hyperlink xmlns:r="http://schemas.openxmlformats.org/officeDocument/2006/relationships" ref="D665" r:id="rId1328"/>
    <hyperlink xmlns:r="http://schemas.openxmlformats.org/officeDocument/2006/relationships" ref="C666" r:id="rId1329"/>
    <hyperlink xmlns:r="http://schemas.openxmlformats.org/officeDocument/2006/relationships" ref="D666" r:id="rId1330"/>
    <hyperlink xmlns:r="http://schemas.openxmlformats.org/officeDocument/2006/relationships" ref="C667" r:id="rId1331"/>
    <hyperlink xmlns:r="http://schemas.openxmlformats.org/officeDocument/2006/relationships" ref="D667" r:id="rId1332"/>
    <hyperlink xmlns:r="http://schemas.openxmlformats.org/officeDocument/2006/relationships" ref="C668" r:id="rId1333"/>
    <hyperlink xmlns:r="http://schemas.openxmlformats.org/officeDocument/2006/relationships" ref="D668" r:id="rId1334"/>
    <hyperlink xmlns:r="http://schemas.openxmlformats.org/officeDocument/2006/relationships" ref="C669" r:id="rId1335"/>
    <hyperlink xmlns:r="http://schemas.openxmlformats.org/officeDocument/2006/relationships" ref="D669" r:id="rId1336"/>
    <hyperlink xmlns:r="http://schemas.openxmlformats.org/officeDocument/2006/relationships" ref="C670" r:id="rId1337"/>
    <hyperlink xmlns:r="http://schemas.openxmlformats.org/officeDocument/2006/relationships" ref="D670" r:id="rId1338"/>
    <hyperlink xmlns:r="http://schemas.openxmlformats.org/officeDocument/2006/relationships" ref="C671" r:id="rId1339"/>
    <hyperlink xmlns:r="http://schemas.openxmlformats.org/officeDocument/2006/relationships" ref="D671" r:id="rId1340"/>
    <hyperlink xmlns:r="http://schemas.openxmlformats.org/officeDocument/2006/relationships" ref="C672" r:id="rId1341"/>
    <hyperlink xmlns:r="http://schemas.openxmlformats.org/officeDocument/2006/relationships" ref="D672" r:id="rId1342"/>
    <hyperlink xmlns:r="http://schemas.openxmlformats.org/officeDocument/2006/relationships" ref="C673" r:id="rId1343"/>
    <hyperlink xmlns:r="http://schemas.openxmlformats.org/officeDocument/2006/relationships" ref="D673" r:id="rId1344"/>
    <hyperlink xmlns:r="http://schemas.openxmlformats.org/officeDocument/2006/relationships" ref="C674" r:id="rId1345"/>
    <hyperlink xmlns:r="http://schemas.openxmlformats.org/officeDocument/2006/relationships" ref="D674" r:id="rId1346"/>
    <hyperlink xmlns:r="http://schemas.openxmlformats.org/officeDocument/2006/relationships" ref="C675" r:id="rId1347"/>
    <hyperlink xmlns:r="http://schemas.openxmlformats.org/officeDocument/2006/relationships" ref="D675" r:id="rId1348"/>
    <hyperlink xmlns:r="http://schemas.openxmlformats.org/officeDocument/2006/relationships" ref="C676" r:id="rId1349"/>
    <hyperlink xmlns:r="http://schemas.openxmlformats.org/officeDocument/2006/relationships" ref="D676" r:id="rId1350"/>
    <hyperlink xmlns:r="http://schemas.openxmlformats.org/officeDocument/2006/relationships" ref="C677" r:id="rId1351"/>
    <hyperlink xmlns:r="http://schemas.openxmlformats.org/officeDocument/2006/relationships" ref="D677" r:id="rId1352"/>
    <hyperlink xmlns:r="http://schemas.openxmlformats.org/officeDocument/2006/relationships" ref="C678" r:id="rId1353"/>
    <hyperlink xmlns:r="http://schemas.openxmlformats.org/officeDocument/2006/relationships" ref="D678" r:id="rId1354"/>
    <hyperlink xmlns:r="http://schemas.openxmlformats.org/officeDocument/2006/relationships" ref="C679" r:id="rId1355"/>
    <hyperlink xmlns:r="http://schemas.openxmlformats.org/officeDocument/2006/relationships" ref="D679" r:id="rId1356"/>
    <hyperlink xmlns:r="http://schemas.openxmlformats.org/officeDocument/2006/relationships" ref="C680" r:id="rId1357"/>
    <hyperlink xmlns:r="http://schemas.openxmlformats.org/officeDocument/2006/relationships" ref="D680" r:id="rId1358"/>
    <hyperlink xmlns:r="http://schemas.openxmlformats.org/officeDocument/2006/relationships" ref="C681" r:id="rId1359"/>
    <hyperlink xmlns:r="http://schemas.openxmlformats.org/officeDocument/2006/relationships" ref="D681" r:id="rId1360"/>
    <hyperlink xmlns:r="http://schemas.openxmlformats.org/officeDocument/2006/relationships" ref="C682" r:id="rId1361"/>
    <hyperlink xmlns:r="http://schemas.openxmlformats.org/officeDocument/2006/relationships" ref="D682" r:id="rId1362"/>
    <hyperlink xmlns:r="http://schemas.openxmlformats.org/officeDocument/2006/relationships" ref="C683" r:id="rId1363"/>
    <hyperlink xmlns:r="http://schemas.openxmlformats.org/officeDocument/2006/relationships" ref="D683" r:id="rId1364"/>
    <hyperlink xmlns:r="http://schemas.openxmlformats.org/officeDocument/2006/relationships" ref="C684" r:id="rId1365"/>
    <hyperlink xmlns:r="http://schemas.openxmlformats.org/officeDocument/2006/relationships" ref="D684" r:id="rId1366"/>
    <hyperlink xmlns:r="http://schemas.openxmlformats.org/officeDocument/2006/relationships" ref="C685" r:id="rId1367"/>
    <hyperlink xmlns:r="http://schemas.openxmlformats.org/officeDocument/2006/relationships" ref="D685" r:id="rId1368"/>
    <hyperlink xmlns:r="http://schemas.openxmlformats.org/officeDocument/2006/relationships" ref="C686" r:id="rId1369"/>
    <hyperlink xmlns:r="http://schemas.openxmlformats.org/officeDocument/2006/relationships" ref="D686" r:id="rId1370"/>
    <hyperlink xmlns:r="http://schemas.openxmlformats.org/officeDocument/2006/relationships" ref="C687" r:id="rId1371"/>
    <hyperlink xmlns:r="http://schemas.openxmlformats.org/officeDocument/2006/relationships" ref="D687" r:id="rId1372"/>
    <hyperlink xmlns:r="http://schemas.openxmlformats.org/officeDocument/2006/relationships" ref="C688" r:id="rId1373"/>
    <hyperlink xmlns:r="http://schemas.openxmlformats.org/officeDocument/2006/relationships" ref="D688" r:id="rId1374"/>
    <hyperlink xmlns:r="http://schemas.openxmlformats.org/officeDocument/2006/relationships" ref="C689" r:id="rId1375"/>
    <hyperlink xmlns:r="http://schemas.openxmlformats.org/officeDocument/2006/relationships" ref="D689" r:id="rId1376"/>
    <hyperlink xmlns:r="http://schemas.openxmlformats.org/officeDocument/2006/relationships" ref="C690" r:id="rId1377"/>
    <hyperlink xmlns:r="http://schemas.openxmlformats.org/officeDocument/2006/relationships" ref="D690" r:id="rId1378"/>
    <hyperlink xmlns:r="http://schemas.openxmlformats.org/officeDocument/2006/relationships" ref="C691" r:id="rId1379"/>
    <hyperlink xmlns:r="http://schemas.openxmlformats.org/officeDocument/2006/relationships" ref="D691" r:id="rId1380"/>
    <hyperlink xmlns:r="http://schemas.openxmlformats.org/officeDocument/2006/relationships" ref="C692" r:id="rId1381"/>
    <hyperlink xmlns:r="http://schemas.openxmlformats.org/officeDocument/2006/relationships" ref="D692" r:id="rId1382"/>
    <hyperlink xmlns:r="http://schemas.openxmlformats.org/officeDocument/2006/relationships" ref="C693" r:id="rId1383"/>
    <hyperlink xmlns:r="http://schemas.openxmlformats.org/officeDocument/2006/relationships" ref="D693" r:id="rId1384"/>
    <hyperlink xmlns:r="http://schemas.openxmlformats.org/officeDocument/2006/relationships" ref="C694" r:id="rId1385"/>
    <hyperlink xmlns:r="http://schemas.openxmlformats.org/officeDocument/2006/relationships" ref="D694" r:id="rId1386"/>
    <hyperlink xmlns:r="http://schemas.openxmlformats.org/officeDocument/2006/relationships" ref="C695" r:id="rId1387"/>
    <hyperlink xmlns:r="http://schemas.openxmlformats.org/officeDocument/2006/relationships" ref="D695" r:id="rId1388"/>
    <hyperlink xmlns:r="http://schemas.openxmlformats.org/officeDocument/2006/relationships" ref="C696" r:id="rId1389"/>
    <hyperlink xmlns:r="http://schemas.openxmlformats.org/officeDocument/2006/relationships" ref="D696" r:id="rId1390"/>
    <hyperlink xmlns:r="http://schemas.openxmlformats.org/officeDocument/2006/relationships" ref="C697" r:id="rId1391"/>
    <hyperlink xmlns:r="http://schemas.openxmlformats.org/officeDocument/2006/relationships" ref="D697" r:id="rId1392"/>
    <hyperlink xmlns:r="http://schemas.openxmlformats.org/officeDocument/2006/relationships" ref="C698" r:id="rId1393"/>
    <hyperlink xmlns:r="http://schemas.openxmlformats.org/officeDocument/2006/relationships" ref="D698" r:id="rId1394"/>
    <hyperlink xmlns:r="http://schemas.openxmlformats.org/officeDocument/2006/relationships" ref="C699" r:id="rId1395"/>
    <hyperlink xmlns:r="http://schemas.openxmlformats.org/officeDocument/2006/relationships" ref="D699" r:id="rId1396"/>
    <hyperlink xmlns:r="http://schemas.openxmlformats.org/officeDocument/2006/relationships" ref="C700" r:id="rId1397"/>
    <hyperlink xmlns:r="http://schemas.openxmlformats.org/officeDocument/2006/relationships" ref="D700" r:id="rId1398"/>
    <hyperlink xmlns:r="http://schemas.openxmlformats.org/officeDocument/2006/relationships" ref="C701" r:id="rId1399"/>
    <hyperlink xmlns:r="http://schemas.openxmlformats.org/officeDocument/2006/relationships" ref="D701" r:id="rId1400"/>
    <hyperlink xmlns:r="http://schemas.openxmlformats.org/officeDocument/2006/relationships" ref="C702" r:id="rId1401"/>
    <hyperlink xmlns:r="http://schemas.openxmlformats.org/officeDocument/2006/relationships" ref="D702" r:id="rId1402"/>
    <hyperlink xmlns:r="http://schemas.openxmlformats.org/officeDocument/2006/relationships" ref="C703" r:id="rId1403"/>
    <hyperlink xmlns:r="http://schemas.openxmlformats.org/officeDocument/2006/relationships" ref="D703" r:id="rId1404"/>
    <hyperlink xmlns:r="http://schemas.openxmlformats.org/officeDocument/2006/relationships" ref="C704" r:id="rId1405"/>
    <hyperlink xmlns:r="http://schemas.openxmlformats.org/officeDocument/2006/relationships" ref="D704" r:id="rId1406"/>
    <hyperlink xmlns:r="http://schemas.openxmlformats.org/officeDocument/2006/relationships" ref="C705" r:id="rId1407"/>
    <hyperlink xmlns:r="http://schemas.openxmlformats.org/officeDocument/2006/relationships" ref="D705" r:id="rId1408"/>
    <hyperlink xmlns:r="http://schemas.openxmlformats.org/officeDocument/2006/relationships" ref="C706" r:id="rId1409"/>
    <hyperlink xmlns:r="http://schemas.openxmlformats.org/officeDocument/2006/relationships" ref="D706" r:id="rId1410"/>
    <hyperlink xmlns:r="http://schemas.openxmlformats.org/officeDocument/2006/relationships" ref="C707" r:id="rId1411"/>
    <hyperlink xmlns:r="http://schemas.openxmlformats.org/officeDocument/2006/relationships" ref="D707" r:id="rId1412"/>
    <hyperlink xmlns:r="http://schemas.openxmlformats.org/officeDocument/2006/relationships" ref="C708" r:id="rId1413"/>
    <hyperlink xmlns:r="http://schemas.openxmlformats.org/officeDocument/2006/relationships" ref="D708" r:id="rId1414"/>
    <hyperlink xmlns:r="http://schemas.openxmlformats.org/officeDocument/2006/relationships" ref="C709" r:id="rId1415"/>
    <hyperlink xmlns:r="http://schemas.openxmlformats.org/officeDocument/2006/relationships" ref="D709" r:id="rId1416"/>
    <hyperlink xmlns:r="http://schemas.openxmlformats.org/officeDocument/2006/relationships" ref="C710" r:id="rId1417"/>
    <hyperlink xmlns:r="http://schemas.openxmlformats.org/officeDocument/2006/relationships" ref="D710" r:id="rId1418"/>
    <hyperlink xmlns:r="http://schemas.openxmlformats.org/officeDocument/2006/relationships" ref="C711" r:id="rId1419"/>
    <hyperlink xmlns:r="http://schemas.openxmlformats.org/officeDocument/2006/relationships" ref="D711" r:id="rId1420"/>
    <hyperlink xmlns:r="http://schemas.openxmlformats.org/officeDocument/2006/relationships" ref="C712" r:id="rId1421"/>
    <hyperlink xmlns:r="http://schemas.openxmlformats.org/officeDocument/2006/relationships" ref="D712" r:id="rId1422"/>
    <hyperlink xmlns:r="http://schemas.openxmlformats.org/officeDocument/2006/relationships" ref="C713" r:id="rId1423"/>
    <hyperlink xmlns:r="http://schemas.openxmlformats.org/officeDocument/2006/relationships" ref="D713" r:id="rId1424"/>
    <hyperlink xmlns:r="http://schemas.openxmlformats.org/officeDocument/2006/relationships" ref="C714" r:id="rId1425"/>
    <hyperlink xmlns:r="http://schemas.openxmlformats.org/officeDocument/2006/relationships" ref="D714" r:id="rId1426"/>
    <hyperlink xmlns:r="http://schemas.openxmlformats.org/officeDocument/2006/relationships" ref="C715" r:id="rId1427"/>
    <hyperlink xmlns:r="http://schemas.openxmlformats.org/officeDocument/2006/relationships" ref="D715" r:id="rId1428"/>
    <hyperlink xmlns:r="http://schemas.openxmlformats.org/officeDocument/2006/relationships" ref="C716" r:id="rId1429"/>
    <hyperlink xmlns:r="http://schemas.openxmlformats.org/officeDocument/2006/relationships" ref="D716" r:id="rId1430"/>
    <hyperlink xmlns:r="http://schemas.openxmlformats.org/officeDocument/2006/relationships" ref="C717" r:id="rId1431"/>
    <hyperlink xmlns:r="http://schemas.openxmlformats.org/officeDocument/2006/relationships" ref="D717" r:id="rId1432"/>
    <hyperlink xmlns:r="http://schemas.openxmlformats.org/officeDocument/2006/relationships" ref="C718" r:id="rId1433"/>
    <hyperlink xmlns:r="http://schemas.openxmlformats.org/officeDocument/2006/relationships" ref="D718" r:id="rId1434"/>
    <hyperlink xmlns:r="http://schemas.openxmlformats.org/officeDocument/2006/relationships" ref="C719" r:id="rId1435"/>
    <hyperlink xmlns:r="http://schemas.openxmlformats.org/officeDocument/2006/relationships" ref="D719" r:id="rId1436"/>
    <hyperlink xmlns:r="http://schemas.openxmlformats.org/officeDocument/2006/relationships" ref="C720" r:id="rId1437"/>
    <hyperlink xmlns:r="http://schemas.openxmlformats.org/officeDocument/2006/relationships" ref="D720" r:id="rId1438"/>
    <hyperlink xmlns:r="http://schemas.openxmlformats.org/officeDocument/2006/relationships" ref="C721" r:id="rId1439"/>
    <hyperlink xmlns:r="http://schemas.openxmlformats.org/officeDocument/2006/relationships" ref="D721" r:id="rId1440"/>
    <hyperlink xmlns:r="http://schemas.openxmlformats.org/officeDocument/2006/relationships" ref="C722" r:id="rId1441"/>
    <hyperlink xmlns:r="http://schemas.openxmlformats.org/officeDocument/2006/relationships" ref="D722" r:id="rId1442"/>
    <hyperlink xmlns:r="http://schemas.openxmlformats.org/officeDocument/2006/relationships" ref="C723" r:id="rId1443"/>
    <hyperlink xmlns:r="http://schemas.openxmlformats.org/officeDocument/2006/relationships" ref="D723" r:id="rId1444"/>
    <hyperlink xmlns:r="http://schemas.openxmlformats.org/officeDocument/2006/relationships" ref="C724" r:id="rId1445"/>
    <hyperlink xmlns:r="http://schemas.openxmlformats.org/officeDocument/2006/relationships" ref="D724" r:id="rId1446"/>
    <hyperlink xmlns:r="http://schemas.openxmlformats.org/officeDocument/2006/relationships" ref="C725" r:id="rId1447"/>
    <hyperlink xmlns:r="http://schemas.openxmlformats.org/officeDocument/2006/relationships" ref="D725" r:id="rId1448"/>
    <hyperlink xmlns:r="http://schemas.openxmlformats.org/officeDocument/2006/relationships" ref="C726" r:id="rId1449"/>
    <hyperlink xmlns:r="http://schemas.openxmlformats.org/officeDocument/2006/relationships" ref="D726" r:id="rId1450"/>
    <hyperlink xmlns:r="http://schemas.openxmlformats.org/officeDocument/2006/relationships" ref="C727" r:id="rId1451"/>
    <hyperlink xmlns:r="http://schemas.openxmlformats.org/officeDocument/2006/relationships" ref="D727" r:id="rId1452"/>
    <hyperlink xmlns:r="http://schemas.openxmlformats.org/officeDocument/2006/relationships" ref="C728" r:id="rId1453"/>
    <hyperlink xmlns:r="http://schemas.openxmlformats.org/officeDocument/2006/relationships" ref="D728" r:id="rId1454"/>
    <hyperlink xmlns:r="http://schemas.openxmlformats.org/officeDocument/2006/relationships" ref="C729" r:id="rId1455"/>
    <hyperlink xmlns:r="http://schemas.openxmlformats.org/officeDocument/2006/relationships" ref="D729" r:id="rId1456"/>
    <hyperlink xmlns:r="http://schemas.openxmlformats.org/officeDocument/2006/relationships" ref="C730" r:id="rId1457"/>
    <hyperlink xmlns:r="http://schemas.openxmlformats.org/officeDocument/2006/relationships" ref="D730" r:id="rId1458"/>
    <hyperlink xmlns:r="http://schemas.openxmlformats.org/officeDocument/2006/relationships" ref="C731" r:id="rId1459"/>
    <hyperlink xmlns:r="http://schemas.openxmlformats.org/officeDocument/2006/relationships" ref="D731" r:id="rId1460"/>
    <hyperlink xmlns:r="http://schemas.openxmlformats.org/officeDocument/2006/relationships" ref="C732" r:id="rId1461"/>
    <hyperlink xmlns:r="http://schemas.openxmlformats.org/officeDocument/2006/relationships" ref="D732" r:id="rId1462"/>
    <hyperlink xmlns:r="http://schemas.openxmlformats.org/officeDocument/2006/relationships" ref="C733" r:id="rId1463"/>
    <hyperlink xmlns:r="http://schemas.openxmlformats.org/officeDocument/2006/relationships" ref="D733" r:id="rId1464"/>
    <hyperlink xmlns:r="http://schemas.openxmlformats.org/officeDocument/2006/relationships" ref="C734" r:id="rId1465"/>
    <hyperlink xmlns:r="http://schemas.openxmlformats.org/officeDocument/2006/relationships" ref="D734" r:id="rId1466"/>
    <hyperlink xmlns:r="http://schemas.openxmlformats.org/officeDocument/2006/relationships" ref="C735" r:id="rId1467"/>
    <hyperlink xmlns:r="http://schemas.openxmlformats.org/officeDocument/2006/relationships" ref="D735" r:id="rId1468"/>
    <hyperlink xmlns:r="http://schemas.openxmlformats.org/officeDocument/2006/relationships" ref="C736" r:id="rId1469"/>
    <hyperlink xmlns:r="http://schemas.openxmlformats.org/officeDocument/2006/relationships" ref="D736" r:id="rId1470"/>
    <hyperlink xmlns:r="http://schemas.openxmlformats.org/officeDocument/2006/relationships" ref="C737" r:id="rId1471"/>
    <hyperlink xmlns:r="http://schemas.openxmlformats.org/officeDocument/2006/relationships" ref="D737" r:id="rId1472"/>
    <hyperlink xmlns:r="http://schemas.openxmlformats.org/officeDocument/2006/relationships" ref="C738" r:id="rId1473"/>
    <hyperlink xmlns:r="http://schemas.openxmlformats.org/officeDocument/2006/relationships" ref="D738" r:id="rId1474"/>
    <hyperlink xmlns:r="http://schemas.openxmlformats.org/officeDocument/2006/relationships" ref="C739" r:id="rId1475"/>
    <hyperlink xmlns:r="http://schemas.openxmlformats.org/officeDocument/2006/relationships" ref="D739" r:id="rId1476"/>
    <hyperlink xmlns:r="http://schemas.openxmlformats.org/officeDocument/2006/relationships" ref="C740" r:id="rId1477"/>
    <hyperlink xmlns:r="http://schemas.openxmlformats.org/officeDocument/2006/relationships" ref="D740" r:id="rId1478"/>
    <hyperlink xmlns:r="http://schemas.openxmlformats.org/officeDocument/2006/relationships" ref="C741" r:id="rId1479"/>
    <hyperlink xmlns:r="http://schemas.openxmlformats.org/officeDocument/2006/relationships" ref="D741" r:id="rId1480"/>
    <hyperlink xmlns:r="http://schemas.openxmlformats.org/officeDocument/2006/relationships" ref="C742" r:id="rId1481"/>
    <hyperlink xmlns:r="http://schemas.openxmlformats.org/officeDocument/2006/relationships" ref="D742" r:id="rId1482"/>
    <hyperlink xmlns:r="http://schemas.openxmlformats.org/officeDocument/2006/relationships" ref="C743" r:id="rId1483"/>
    <hyperlink xmlns:r="http://schemas.openxmlformats.org/officeDocument/2006/relationships" ref="D743" r:id="rId1484"/>
    <hyperlink xmlns:r="http://schemas.openxmlformats.org/officeDocument/2006/relationships" ref="C744" r:id="rId1485"/>
    <hyperlink xmlns:r="http://schemas.openxmlformats.org/officeDocument/2006/relationships" ref="D744" r:id="rId1486"/>
    <hyperlink xmlns:r="http://schemas.openxmlformats.org/officeDocument/2006/relationships" ref="C745" r:id="rId1487"/>
    <hyperlink xmlns:r="http://schemas.openxmlformats.org/officeDocument/2006/relationships" ref="D745" r:id="rId1488"/>
    <hyperlink xmlns:r="http://schemas.openxmlformats.org/officeDocument/2006/relationships" ref="C746" r:id="rId1489"/>
    <hyperlink xmlns:r="http://schemas.openxmlformats.org/officeDocument/2006/relationships" ref="D746" r:id="rId1490"/>
    <hyperlink xmlns:r="http://schemas.openxmlformats.org/officeDocument/2006/relationships" ref="C747" r:id="rId1491"/>
    <hyperlink xmlns:r="http://schemas.openxmlformats.org/officeDocument/2006/relationships" ref="D747" r:id="rId1492"/>
    <hyperlink xmlns:r="http://schemas.openxmlformats.org/officeDocument/2006/relationships" ref="C748" r:id="rId1493"/>
    <hyperlink xmlns:r="http://schemas.openxmlformats.org/officeDocument/2006/relationships" ref="D748" r:id="rId1494"/>
    <hyperlink xmlns:r="http://schemas.openxmlformats.org/officeDocument/2006/relationships" ref="C749" r:id="rId1495"/>
    <hyperlink xmlns:r="http://schemas.openxmlformats.org/officeDocument/2006/relationships" ref="D749" r:id="rId1496"/>
    <hyperlink xmlns:r="http://schemas.openxmlformats.org/officeDocument/2006/relationships" ref="C750" r:id="rId1497"/>
    <hyperlink xmlns:r="http://schemas.openxmlformats.org/officeDocument/2006/relationships" ref="D750" r:id="rId1498"/>
    <hyperlink xmlns:r="http://schemas.openxmlformats.org/officeDocument/2006/relationships" ref="C751" r:id="rId1499"/>
    <hyperlink xmlns:r="http://schemas.openxmlformats.org/officeDocument/2006/relationships" ref="D751" r:id="rId1500"/>
    <hyperlink xmlns:r="http://schemas.openxmlformats.org/officeDocument/2006/relationships" ref="C752" r:id="rId1501"/>
    <hyperlink xmlns:r="http://schemas.openxmlformats.org/officeDocument/2006/relationships" ref="D752" r:id="rId1502"/>
    <hyperlink xmlns:r="http://schemas.openxmlformats.org/officeDocument/2006/relationships" ref="C753" r:id="rId1503"/>
    <hyperlink xmlns:r="http://schemas.openxmlformats.org/officeDocument/2006/relationships" ref="D753" r:id="rId1504"/>
    <hyperlink xmlns:r="http://schemas.openxmlformats.org/officeDocument/2006/relationships" ref="C754" r:id="rId1505"/>
    <hyperlink xmlns:r="http://schemas.openxmlformats.org/officeDocument/2006/relationships" ref="D754" r:id="rId1506"/>
    <hyperlink xmlns:r="http://schemas.openxmlformats.org/officeDocument/2006/relationships" ref="C755" r:id="rId1507"/>
    <hyperlink xmlns:r="http://schemas.openxmlformats.org/officeDocument/2006/relationships" ref="D755" r:id="rId1508"/>
    <hyperlink xmlns:r="http://schemas.openxmlformats.org/officeDocument/2006/relationships" ref="C756" r:id="rId1509"/>
    <hyperlink xmlns:r="http://schemas.openxmlformats.org/officeDocument/2006/relationships" ref="D756" r:id="rId1510"/>
    <hyperlink xmlns:r="http://schemas.openxmlformats.org/officeDocument/2006/relationships" ref="C757" r:id="rId1511"/>
    <hyperlink xmlns:r="http://schemas.openxmlformats.org/officeDocument/2006/relationships" ref="D757" r:id="rId1512"/>
    <hyperlink xmlns:r="http://schemas.openxmlformats.org/officeDocument/2006/relationships" ref="C758" r:id="rId1513"/>
    <hyperlink xmlns:r="http://schemas.openxmlformats.org/officeDocument/2006/relationships" ref="D758" r:id="rId1514"/>
    <hyperlink xmlns:r="http://schemas.openxmlformats.org/officeDocument/2006/relationships" ref="C759" r:id="rId1515"/>
    <hyperlink xmlns:r="http://schemas.openxmlformats.org/officeDocument/2006/relationships" ref="D759" r:id="rId1516"/>
    <hyperlink xmlns:r="http://schemas.openxmlformats.org/officeDocument/2006/relationships" ref="C760" r:id="rId1517"/>
    <hyperlink xmlns:r="http://schemas.openxmlformats.org/officeDocument/2006/relationships" ref="D760" r:id="rId1518"/>
    <hyperlink xmlns:r="http://schemas.openxmlformats.org/officeDocument/2006/relationships" ref="C761" r:id="rId1519"/>
    <hyperlink xmlns:r="http://schemas.openxmlformats.org/officeDocument/2006/relationships" ref="D761" r:id="rId1520"/>
    <hyperlink xmlns:r="http://schemas.openxmlformats.org/officeDocument/2006/relationships" ref="C762" r:id="rId1521"/>
    <hyperlink xmlns:r="http://schemas.openxmlformats.org/officeDocument/2006/relationships" ref="D762" r:id="rId1522"/>
    <hyperlink xmlns:r="http://schemas.openxmlformats.org/officeDocument/2006/relationships" ref="C763" r:id="rId1523"/>
    <hyperlink xmlns:r="http://schemas.openxmlformats.org/officeDocument/2006/relationships" ref="D763" r:id="rId1524"/>
    <hyperlink xmlns:r="http://schemas.openxmlformats.org/officeDocument/2006/relationships" ref="C764" r:id="rId1525"/>
    <hyperlink xmlns:r="http://schemas.openxmlformats.org/officeDocument/2006/relationships" ref="D764" r:id="rId1526"/>
    <hyperlink xmlns:r="http://schemas.openxmlformats.org/officeDocument/2006/relationships" ref="C765" r:id="rId1527"/>
    <hyperlink xmlns:r="http://schemas.openxmlformats.org/officeDocument/2006/relationships" ref="D765" r:id="rId1528"/>
    <hyperlink xmlns:r="http://schemas.openxmlformats.org/officeDocument/2006/relationships" ref="C766" r:id="rId1529"/>
    <hyperlink xmlns:r="http://schemas.openxmlformats.org/officeDocument/2006/relationships" ref="D766" r:id="rId1530"/>
    <hyperlink xmlns:r="http://schemas.openxmlformats.org/officeDocument/2006/relationships" ref="C767" r:id="rId1531"/>
    <hyperlink xmlns:r="http://schemas.openxmlformats.org/officeDocument/2006/relationships" ref="D767" r:id="rId1532"/>
    <hyperlink xmlns:r="http://schemas.openxmlformats.org/officeDocument/2006/relationships" ref="C768" r:id="rId1533"/>
    <hyperlink xmlns:r="http://schemas.openxmlformats.org/officeDocument/2006/relationships" ref="D768" r:id="rId1534"/>
    <hyperlink xmlns:r="http://schemas.openxmlformats.org/officeDocument/2006/relationships" ref="C769" r:id="rId1535"/>
    <hyperlink xmlns:r="http://schemas.openxmlformats.org/officeDocument/2006/relationships" ref="D769" r:id="rId1536"/>
    <hyperlink xmlns:r="http://schemas.openxmlformats.org/officeDocument/2006/relationships" ref="C770" r:id="rId1537"/>
    <hyperlink xmlns:r="http://schemas.openxmlformats.org/officeDocument/2006/relationships" ref="D770" r:id="rId1538"/>
    <hyperlink xmlns:r="http://schemas.openxmlformats.org/officeDocument/2006/relationships" ref="C771" r:id="rId1539"/>
    <hyperlink xmlns:r="http://schemas.openxmlformats.org/officeDocument/2006/relationships" ref="D771" r:id="rId1540"/>
    <hyperlink xmlns:r="http://schemas.openxmlformats.org/officeDocument/2006/relationships" ref="C772" r:id="rId1541"/>
    <hyperlink xmlns:r="http://schemas.openxmlformats.org/officeDocument/2006/relationships" ref="D772" r:id="rId1542"/>
    <hyperlink xmlns:r="http://schemas.openxmlformats.org/officeDocument/2006/relationships" ref="C773" r:id="rId1543"/>
    <hyperlink xmlns:r="http://schemas.openxmlformats.org/officeDocument/2006/relationships" ref="D773" r:id="rId1544"/>
    <hyperlink xmlns:r="http://schemas.openxmlformats.org/officeDocument/2006/relationships" ref="C774" r:id="rId1545"/>
    <hyperlink xmlns:r="http://schemas.openxmlformats.org/officeDocument/2006/relationships" ref="D774" r:id="rId1546"/>
    <hyperlink xmlns:r="http://schemas.openxmlformats.org/officeDocument/2006/relationships" ref="C775" r:id="rId1547"/>
    <hyperlink xmlns:r="http://schemas.openxmlformats.org/officeDocument/2006/relationships" ref="D775" r:id="rId1548"/>
    <hyperlink xmlns:r="http://schemas.openxmlformats.org/officeDocument/2006/relationships" ref="C776" r:id="rId1549"/>
    <hyperlink xmlns:r="http://schemas.openxmlformats.org/officeDocument/2006/relationships" ref="D776" r:id="rId1550"/>
    <hyperlink xmlns:r="http://schemas.openxmlformats.org/officeDocument/2006/relationships" ref="C777" r:id="rId1551"/>
    <hyperlink xmlns:r="http://schemas.openxmlformats.org/officeDocument/2006/relationships" ref="D777" r:id="rId1552"/>
    <hyperlink xmlns:r="http://schemas.openxmlformats.org/officeDocument/2006/relationships" ref="C778" r:id="rId1553"/>
    <hyperlink xmlns:r="http://schemas.openxmlformats.org/officeDocument/2006/relationships" ref="D778" r:id="rId1554"/>
    <hyperlink xmlns:r="http://schemas.openxmlformats.org/officeDocument/2006/relationships" ref="C779" r:id="rId1555"/>
    <hyperlink xmlns:r="http://schemas.openxmlformats.org/officeDocument/2006/relationships" ref="D779" r:id="rId1556"/>
    <hyperlink xmlns:r="http://schemas.openxmlformats.org/officeDocument/2006/relationships" ref="C780" r:id="rId1557"/>
    <hyperlink xmlns:r="http://schemas.openxmlformats.org/officeDocument/2006/relationships" ref="D780" r:id="rId1558"/>
    <hyperlink xmlns:r="http://schemas.openxmlformats.org/officeDocument/2006/relationships" ref="C781" r:id="rId1559"/>
    <hyperlink xmlns:r="http://schemas.openxmlformats.org/officeDocument/2006/relationships" ref="D781" r:id="rId1560"/>
    <hyperlink xmlns:r="http://schemas.openxmlformats.org/officeDocument/2006/relationships" ref="C782" r:id="rId1561"/>
    <hyperlink xmlns:r="http://schemas.openxmlformats.org/officeDocument/2006/relationships" ref="D782" r:id="rId1562"/>
    <hyperlink xmlns:r="http://schemas.openxmlformats.org/officeDocument/2006/relationships" ref="C783" r:id="rId1563"/>
    <hyperlink xmlns:r="http://schemas.openxmlformats.org/officeDocument/2006/relationships" ref="D783" r:id="rId1564"/>
    <hyperlink xmlns:r="http://schemas.openxmlformats.org/officeDocument/2006/relationships" ref="C784" r:id="rId1565"/>
    <hyperlink xmlns:r="http://schemas.openxmlformats.org/officeDocument/2006/relationships" ref="D784" r:id="rId1566"/>
    <hyperlink xmlns:r="http://schemas.openxmlformats.org/officeDocument/2006/relationships" ref="C785" r:id="rId1567"/>
    <hyperlink xmlns:r="http://schemas.openxmlformats.org/officeDocument/2006/relationships" ref="D785" r:id="rId1568"/>
    <hyperlink xmlns:r="http://schemas.openxmlformats.org/officeDocument/2006/relationships" ref="C786" r:id="rId1569"/>
    <hyperlink xmlns:r="http://schemas.openxmlformats.org/officeDocument/2006/relationships" ref="D786" r:id="rId1570"/>
    <hyperlink xmlns:r="http://schemas.openxmlformats.org/officeDocument/2006/relationships" ref="C787" r:id="rId1571"/>
    <hyperlink xmlns:r="http://schemas.openxmlformats.org/officeDocument/2006/relationships" ref="D787" r:id="rId1572"/>
    <hyperlink xmlns:r="http://schemas.openxmlformats.org/officeDocument/2006/relationships" ref="C788" r:id="rId1573"/>
    <hyperlink xmlns:r="http://schemas.openxmlformats.org/officeDocument/2006/relationships" ref="D788" r:id="rId1574"/>
    <hyperlink xmlns:r="http://schemas.openxmlformats.org/officeDocument/2006/relationships" ref="C789" r:id="rId1575"/>
    <hyperlink xmlns:r="http://schemas.openxmlformats.org/officeDocument/2006/relationships" ref="D789" r:id="rId1576"/>
    <hyperlink xmlns:r="http://schemas.openxmlformats.org/officeDocument/2006/relationships" ref="C790" r:id="rId1577"/>
    <hyperlink xmlns:r="http://schemas.openxmlformats.org/officeDocument/2006/relationships" ref="D790" r:id="rId1578"/>
    <hyperlink xmlns:r="http://schemas.openxmlformats.org/officeDocument/2006/relationships" ref="C791" r:id="rId1579"/>
    <hyperlink xmlns:r="http://schemas.openxmlformats.org/officeDocument/2006/relationships" ref="D791" r:id="rId1580"/>
    <hyperlink xmlns:r="http://schemas.openxmlformats.org/officeDocument/2006/relationships" ref="C792" r:id="rId1581"/>
    <hyperlink xmlns:r="http://schemas.openxmlformats.org/officeDocument/2006/relationships" ref="D792" r:id="rId1582"/>
    <hyperlink xmlns:r="http://schemas.openxmlformats.org/officeDocument/2006/relationships" ref="C793" r:id="rId1583"/>
    <hyperlink xmlns:r="http://schemas.openxmlformats.org/officeDocument/2006/relationships" ref="D793" r:id="rId158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585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9" customWidth="1" min="2" max="2"/>
    <col width="33" customWidth="1" min="3" max="3"/>
    <col width="20" customWidth="1" min="4" max="4"/>
    <col width="13" customWidth="1" min="5" max="5"/>
    <col width="12" customWidth="1" min="6" max="6"/>
    <col width="12" customWidth="1" min="7" max="7"/>
    <col width="105" customWidth="1" min="8" max="8"/>
    <col width="18" customWidth="1" min="9" max="9"/>
    <col width="18" customWidth="1" min="10" max="10"/>
    <col width="22" customWidth="1" min="11" max="11"/>
    <col width="22" customWidth="1" min="12" max="12"/>
  </cols>
  <sheetData>
    <row r="1" ht="34" customHeight="1">
      <c r="A1" s="8" t="inlineStr">
        <is>
          <t>Versão</t>
        </is>
      </c>
      <c r="B1" s="8" t="inlineStr">
        <is>
          <t>Nome</t>
        </is>
      </c>
      <c r="C1" s="8" t="inlineStr">
        <is>
          <t>Maturidade</t>
        </is>
      </c>
      <c r="D1" s="8" t="inlineStr">
        <is>
          <t>Sprints</t>
        </is>
      </c>
      <c r="E1" s="8" t="inlineStr">
        <is>
          <t>Nº sprints</t>
        </is>
      </c>
      <c r="F1" s="8" t="inlineStr">
        <is>
          <t>Tarefas</t>
        </is>
      </c>
      <c r="G1" s="8" t="inlineStr">
        <is>
          <t>Gates</t>
        </is>
      </c>
      <c r="H1" s="8" t="inlineStr">
        <is>
          <t>Entregável diferente</t>
        </is>
      </c>
      <c r="I1" s="8" t="inlineStr">
        <is>
          <t>Tarefas aceitas</t>
        </is>
      </c>
      <c r="J1" s="8" t="inlineStr">
        <is>
          <t>Gates aceitos</t>
        </is>
      </c>
      <c r="K1" s="8" t="inlineStr">
        <is>
          <t>Tarefas dispensadas</t>
        </is>
      </c>
      <c r="L1" s="8" t="inlineStr">
        <is>
          <t>Progresso aplicável</t>
        </is>
      </c>
    </row>
    <row r="2" ht="68" customHeight="1">
      <c r="A2" s="3" t="inlineStr">
        <is>
          <t>v0.0.1</t>
        </is>
      </c>
      <c r="B2" s="3" t="inlineStr">
        <is>
          <t>Arquitetura executável</t>
        </is>
      </c>
      <c r="C2" s="3" t="inlineStr">
        <is>
          <t>Interna</t>
        </is>
      </c>
      <c r="D2" s="3" t="inlineStr">
        <is>
          <t>S01–S03</t>
        </is>
      </c>
      <c r="E2" s="3" t="n">
        <v>3</v>
      </c>
      <c r="F2" s="3" t="n">
        <v>30</v>
      </c>
      <c r="G2" s="3" t="n">
        <v>3</v>
      </c>
      <c r="H2" s="3" t="inlineStr">
        <is>
          <t>Decisões, contratos de dados e inventário de origem aprovados; nenhuma funcionalidade de produto prometida.</t>
        </is>
      </c>
      <c r="I2" s="3">
        <f>COUNTIFS(Tarefas!$C$2:$C$793,A2,Tarefas!$G$2:$G$793,"&lt;&gt;Gate",Tarefas!$X$2:$X$793,"OK")</f>
        <v/>
      </c>
      <c r="J2" s="3">
        <f>COUNTIFS(Tarefas!$C$2:$C$793,A2,Tarefas!$G$2:$G$793,"Gate",Tarefas!$X$2:$X$793,"OK")</f>
        <v/>
      </c>
      <c r="K2" s="3">
        <f>COUNTIFS(Tarefas!$C$2:$C$793,A2,Tarefas!$G$2:$G$793,"&lt;&gt;Gate",Tarefas!$X$2:$X$793,"DISPENSADO")</f>
        <v/>
      </c>
      <c r="L2" s="13">
        <f>IFERROR(I2/(F2-K2),0)</f>
        <v/>
      </c>
    </row>
    <row r="3" ht="68" customHeight="1">
      <c r="A3" s="3" t="inlineStr">
        <is>
          <t>v0.0.2</t>
        </is>
      </c>
      <c r="B3" s="3" t="inlineStr">
        <is>
          <t>Bancada reproduzível</t>
        </is>
      </c>
      <c r="C3" s="3" t="inlineStr">
        <is>
          <t>Interna</t>
        </is>
      </c>
      <c r="D3" s="3" t="inlineStr">
        <is>
          <t>S04–S06</t>
        </is>
      </c>
      <c r="E3" s="3" t="n">
        <v>3</v>
      </c>
      <c r="F3" s="3" t="n">
        <v>30</v>
      </c>
      <c r="G3" s="3" t="n">
        <v>3</v>
      </c>
      <c r="H3" s="3" t="inlineStr">
        <is>
          <t>Repositório, CI, fixtures e shell desktop compiláveis sem importar aplicações completas.</t>
        </is>
      </c>
      <c r="I3" s="3">
        <f>COUNTIFS(Tarefas!$C$2:$C$793,A3,Tarefas!$G$2:$G$793,"&lt;&gt;Gate",Tarefas!$X$2:$X$793,"OK")</f>
        <v/>
      </c>
      <c r="J3" s="3">
        <f>COUNTIFS(Tarefas!$C$2:$C$793,A3,Tarefas!$G$2:$G$793,"Gate",Tarefas!$X$2:$X$793,"OK")</f>
        <v/>
      </c>
      <c r="K3" s="3">
        <f>COUNTIFS(Tarefas!$C$2:$C$793,A3,Tarefas!$G$2:$G$793,"&lt;&gt;Gate",Tarefas!$X$2:$X$793,"DISPENSADO")</f>
        <v/>
      </c>
      <c r="L3" s="13">
        <f>IFERROR(I3/(F3-K3),0)</f>
        <v/>
      </c>
    </row>
    <row r="4" ht="68" customHeight="1">
      <c r="A4" s="3" t="inlineStr">
        <is>
          <t>v0.1.0</t>
        </is>
      </c>
      <c r="B4" s="3" t="inlineStr">
        <is>
          <t>Vault recuperável</t>
        </is>
      </c>
      <c r="C4" s="3" t="inlineStr">
        <is>
          <t>Alpha técnica</t>
        </is>
      </c>
      <c r="D4" s="3" t="inlineStr">
        <is>
          <t>S07–S11</t>
        </is>
      </c>
      <c r="E4" s="3" t="n">
        <v>5</v>
      </c>
      <c r="F4" s="3" t="n">
        <v>50</v>
      </c>
      <c r="G4" s="3" t="n">
        <v>5</v>
      </c>
      <c r="H4" s="3" t="inlineStr">
        <is>
          <t>Criar, alterar, recuperar e reconstruir conhecimento local com ferramenta de diagnóstico.</t>
        </is>
      </c>
      <c r="I4" s="3">
        <f>COUNTIFS(Tarefas!$C$2:$C$793,A4,Tarefas!$G$2:$G$793,"&lt;&gt;Gate",Tarefas!$X$2:$X$793,"OK")</f>
        <v/>
      </c>
      <c r="J4" s="3">
        <f>COUNTIFS(Tarefas!$C$2:$C$793,A4,Tarefas!$G$2:$G$793,"Gate",Tarefas!$X$2:$X$793,"OK")</f>
        <v/>
      </c>
      <c r="K4" s="3">
        <f>COUNTIFS(Tarefas!$C$2:$C$793,A4,Tarefas!$G$2:$G$793,"&lt;&gt;Gate",Tarefas!$X$2:$X$793,"DISPENSADO")</f>
        <v/>
      </c>
      <c r="L4" s="13">
        <f>IFERROR(I4/(F4-K4),0)</f>
        <v/>
      </c>
    </row>
    <row r="5" ht="68" customHeight="1">
      <c r="A5" s="3" t="inlineStr">
        <is>
          <t>v0.2.0</t>
        </is>
      </c>
      <c r="B5" s="3" t="inlineStr">
        <is>
          <t>Editor local BlockSuite</t>
        </is>
      </c>
      <c r="C5" s="3" t="inlineStr">
        <is>
          <t>Alpha de autoria</t>
        </is>
      </c>
      <c r="D5" s="3" t="inlineStr">
        <is>
          <t>S12–S15</t>
        </is>
      </c>
      <c r="E5" s="3" t="n">
        <v>4</v>
      </c>
      <c r="F5" s="3" t="n">
        <v>40</v>
      </c>
      <c r="G5" s="3" t="n">
        <v>4</v>
      </c>
      <c r="H5" s="3" t="inlineStr">
        <is>
          <t>Editar notas no perfil Markdown suportado e reabrir sem depender do estado interno do editor.</t>
        </is>
      </c>
      <c r="I5" s="3">
        <f>COUNTIFS(Tarefas!$C$2:$C$793,A5,Tarefas!$G$2:$G$793,"&lt;&gt;Gate",Tarefas!$X$2:$X$793,"OK")</f>
        <v/>
      </c>
      <c r="J5" s="3">
        <f>COUNTIFS(Tarefas!$C$2:$C$793,A5,Tarefas!$G$2:$G$793,"Gate",Tarefas!$X$2:$X$793,"OK")</f>
        <v/>
      </c>
      <c r="K5" s="3">
        <f>COUNTIFS(Tarefas!$C$2:$C$793,A5,Tarefas!$G$2:$G$793,"&lt;&gt;Gate",Tarefas!$X$2:$X$793,"DISPENSADO")</f>
        <v/>
      </c>
      <c r="L5" s="13">
        <f>IFERROR(I5/(F5-K5),0)</f>
        <v/>
      </c>
    </row>
    <row r="6" ht="68" customHeight="1">
      <c r="A6" s="3" t="inlineStr">
        <is>
          <t>v0.3.0</t>
        </is>
      </c>
      <c r="B6" s="3" t="inlineStr">
        <is>
          <t>Mesa espacial</t>
        </is>
      </c>
      <c r="C6" s="3" t="inlineStr">
        <is>
          <t>Alpha de autoria</t>
        </is>
      </c>
      <c r="D6" s="3" t="inlineStr">
        <is>
          <t>S16–S19</t>
        </is>
      </c>
      <c r="E6" s="3" t="n">
        <v>4</v>
      </c>
      <c r="F6" s="3" t="n">
        <v>40</v>
      </c>
      <c r="G6" s="3" t="n">
        <v>4</v>
      </c>
      <c r="H6" s="3" t="inlineStr">
        <is>
          <t>Organizar células, grupos e relações com PixiJS e edição BlockSuite integrada.</t>
        </is>
      </c>
      <c r="I6" s="3">
        <f>COUNTIFS(Tarefas!$C$2:$C$793,A6,Tarefas!$G$2:$G$793,"&lt;&gt;Gate",Tarefas!$X$2:$X$793,"OK")</f>
        <v/>
      </c>
      <c r="J6" s="3">
        <f>COUNTIFS(Tarefas!$C$2:$C$793,A6,Tarefas!$G$2:$G$793,"Gate",Tarefas!$X$2:$X$793,"OK")</f>
        <v/>
      </c>
      <c r="K6" s="3">
        <f>COUNTIFS(Tarefas!$C$2:$C$793,A6,Tarefas!$G$2:$G$793,"&lt;&gt;Gate",Tarefas!$X$2:$X$793,"DISPENSADO")</f>
        <v/>
      </c>
      <c r="L6" s="13">
        <f>IFERROR(I6/(F6-K6),0)</f>
        <v/>
      </c>
    </row>
    <row r="7" ht="68" customHeight="1">
      <c r="A7" s="3" t="inlineStr">
        <is>
          <t>v0.4.0</t>
        </is>
      </c>
      <c r="B7" s="3" t="inlineStr">
        <is>
          <t>Peça e proveniência</t>
        </is>
      </c>
      <c r="C7" s="3" t="inlineStr">
        <is>
          <t>Alpha funcional sem IA</t>
        </is>
      </c>
      <c r="D7" s="3" t="inlineStr">
        <is>
          <t>S20–S22</t>
        </is>
      </c>
      <c r="E7" s="3" t="n">
        <v>3</v>
      </c>
      <c r="F7" s="3" t="n">
        <v>30</v>
      </c>
      <c r="G7" s="3" t="n">
        <v>3</v>
      </c>
      <c r="H7" s="3" t="inlineStr">
        <is>
          <t>Produzir texto editorial a partir da Mesa com fork-on-insert, referências e exportação.</t>
        </is>
      </c>
      <c r="I7" s="3">
        <f>COUNTIFS(Tarefas!$C$2:$C$793,A7,Tarefas!$G$2:$G$793,"&lt;&gt;Gate",Tarefas!$X$2:$X$793,"OK")</f>
        <v/>
      </c>
      <c r="J7" s="3">
        <f>COUNTIFS(Tarefas!$C$2:$C$793,A7,Tarefas!$G$2:$G$793,"Gate",Tarefas!$X$2:$X$793,"OK")</f>
        <v/>
      </c>
      <c r="K7" s="3">
        <f>COUNTIFS(Tarefas!$C$2:$C$793,A7,Tarefas!$G$2:$G$793,"&lt;&gt;Gate",Tarefas!$X$2:$X$793,"DISPENSADO")</f>
        <v/>
      </c>
      <c r="L7" s="13">
        <f>IFERROR(I7/(F7-K7),0)</f>
        <v/>
      </c>
    </row>
    <row r="8" ht="68" customHeight="1">
      <c r="A8" s="3" t="inlineStr">
        <is>
          <t>v0.5.0</t>
        </is>
      </c>
      <c r="B8" s="3" t="inlineStr">
        <is>
          <t>Ingestão segura</t>
        </is>
      </c>
      <c r="C8" s="3" t="inlineStr">
        <is>
          <t>Alpha de acervo</t>
        </is>
      </c>
      <c r="D8" s="3" t="inlineStr">
        <is>
          <t>S23–S30</t>
        </is>
      </c>
      <c r="E8" s="3" t="n">
        <v>8</v>
      </c>
      <c r="F8" s="3" t="n">
        <v>80</v>
      </c>
      <c r="G8" s="3" t="n">
        <v>8</v>
      </c>
      <c r="H8" s="3" t="inlineStr">
        <is>
          <t>Capturar arquivos/HTML, extrair texto e OCR em workers confinados e organizar o acervo.</t>
        </is>
      </c>
      <c r="I8" s="3">
        <f>COUNTIFS(Tarefas!$C$2:$C$793,A8,Tarefas!$G$2:$G$793,"&lt;&gt;Gate",Tarefas!$X$2:$X$793,"OK")</f>
        <v/>
      </c>
      <c r="J8" s="3">
        <f>COUNTIFS(Tarefas!$C$2:$C$793,A8,Tarefas!$G$2:$G$793,"Gate",Tarefas!$X$2:$X$793,"OK")</f>
        <v/>
      </c>
      <c r="K8" s="3">
        <f>COUNTIFS(Tarefas!$C$2:$C$793,A8,Tarefas!$G$2:$G$793,"&lt;&gt;Gate",Tarefas!$X$2:$X$793,"DISPENSADO")</f>
        <v/>
      </c>
      <c r="L8" s="13">
        <f>IFERROR(I8/(F8-K8),0)</f>
        <v/>
      </c>
    </row>
    <row r="9" ht="68" customHeight="1">
      <c r="A9" s="3" t="inlineStr">
        <is>
          <t>v0.6.0</t>
        </is>
      </c>
      <c r="B9" s="3" t="inlineStr">
        <is>
          <t>Enriquecimento e modelos</t>
        </is>
      </c>
      <c r="C9" s="3" t="inlineStr">
        <is>
          <t>Alpha assistida</t>
        </is>
      </c>
      <c r="D9" s="3" t="inlineStr">
        <is>
          <t>S31–S36</t>
        </is>
      </c>
      <c r="E9" s="3" t="n">
        <v>6</v>
      </c>
      <c r="F9" s="3" t="n">
        <v>60</v>
      </c>
      <c r="G9" s="3" t="n">
        <v>6</v>
      </c>
      <c r="H9" s="3" t="inlineStr">
        <is>
          <t>LocalAI gerenciado, resumos, Jev autorizado, fallback local e transcrição homologada.</t>
        </is>
      </c>
      <c r="I9" s="3">
        <f>COUNTIFS(Tarefas!$C$2:$C$793,A9,Tarefas!$G$2:$G$793,"&lt;&gt;Gate",Tarefas!$X$2:$X$793,"OK")</f>
        <v/>
      </c>
      <c r="J9" s="3">
        <f>COUNTIFS(Tarefas!$C$2:$C$793,A9,Tarefas!$G$2:$G$793,"Gate",Tarefas!$X$2:$X$793,"OK")</f>
        <v/>
      </c>
      <c r="K9" s="3">
        <f>COUNTIFS(Tarefas!$C$2:$C$793,A9,Tarefas!$G$2:$G$793,"&lt;&gt;Gate",Tarefas!$X$2:$X$793,"DISPENSADO")</f>
        <v/>
      </c>
      <c r="L9" s="13">
        <f>IFERROR(I9/(F9-K9),0)</f>
        <v/>
      </c>
    </row>
    <row r="10" ht="68" customHeight="1">
      <c r="A10" s="3" t="inlineStr">
        <is>
          <t>v0.7.0</t>
        </is>
      </c>
      <c r="B10" s="3" t="inlineStr">
        <is>
          <t>Busca híbrida</t>
        </is>
      </c>
      <c r="C10" s="3" t="inlineStr">
        <is>
          <t>Alpha integrada</t>
        </is>
      </c>
      <c r="D10" s="3" t="inlineStr">
        <is>
          <t>S37–S41</t>
        </is>
      </c>
      <c r="E10" s="3" t="n">
        <v>5</v>
      </c>
      <c r="F10" s="3" t="n">
        <v>50</v>
      </c>
      <c r="G10" s="3" t="n">
        <v>5</v>
      </c>
      <c r="H10" s="3" t="inlineStr">
        <is>
          <t>Escolher Qdrant OU HelixDB e recuperar materiais/Peças com índices descartáveis e revisões válidas.</t>
        </is>
      </c>
      <c r="I10" s="3">
        <f>COUNTIFS(Tarefas!$C$2:$C$793,A10,Tarefas!$G$2:$G$793,"&lt;&gt;Gate",Tarefas!$X$2:$X$793,"OK")</f>
        <v/>
      </c>
      <c r="J10" s="3">
        <f>COUNTIFS(Tarefas!$C$2:$C$793,A10,Tarefas!$G$2:$G$793,"Gate",Tarefas!$X$2:$X$793,"OK")</f>
        <v/>
      </c>
      <c r="K10" s="3">
        <f>COUNTIFS(Tarefas!$C$2:$C$793,A10,Tarefas!$G$2:$G$793,"&lt;&gt;Gate",Tarefas!$X$2:$X$793,"DISPENSADO")</f>
        <v/>
      </c>
      <c r="L10" s="13">
        <f>IFERROR(I10/(F10-K10),0)</f>
        <v/>
      </c>
    </row>
    <row r="11" ht="68" customHeight="1">
      <c r="A11" s="3" t="inlineStr">
        <is>
          <t>v0.8.0</t>
        </is>
      </c>
      <c r="B11" s="3" t="inlineStr">
        <is>
          <t>Contexto estrutural</t>
        </is>
      </c>
      <c r="C11" s="3" t="inlineStr">
        <is>
          <t>Alpha de raciocínio</t>
        </is>
      </c>
      <c r="D11" s="3" t="inlineStr">
        <is>
          <t>S42–S46</t>
        </is>
      </c>
      <c r="E11" s="3" t="n">
        <v>5</v>
      </c>
      <c r="F11" s="3" t="n">
        <v>50</v>
      </c>
      <c r="G11" s="3" t="n">
        <v>5</v>
      </c>
      <c r="H11" s="3" t="inlineStr">
        <is>
          <t>PageIndex adaptado às células, Skeleton Map e recuperação relacional limitada por escopo e orçamento.</t>
        </is>
      </c>
      <c r="I11" s="3">
        <f>COUNTIFS(Tarefas!$C$2:$C$793,A11,Tarefas!$G$2:$G$793,"&lt;&gt;Gate",Tarefas!$X$2:$X$793,"OK")</f>
        <v/>
      </c>
      <c r="J11" s="3">
        <f>COUNTIFS(Tarefas!$C$2:$C$793,A11,Tarefas!$G$2:$G$793,"Gate",Tarefas!$X$2:$X$793,"OK")</f>
        <v/>
      </c>
      <c r="K11" s="3">
        <f>COUNTIFS(Tarefas!$C$2:$C$793,A11,Tarefas!$G$2:$G$793,"&lt;&gt;Gate",Tarefas!$X$2:$X$793,"DISPENSADO")</f>
        <v/>
      </c>
      <c r="L11" s="13">
        <f>IFERROR(I11/(F11-K11),0)</f>
        <v/>
      </c>
    </row>
    <row r="12" ht="68" customHeight="1">
      <c r="A12" s="3" t="inlineStr">
        <is>
          <t>v0.9.0</t>
        </is>
      </c>
      <c r="B12" s="3" t="inlineStr">
        <is>
          <t>Ciclo analítico completo</t>
        </is>
      </c>
      <c r="C12" s="3" t="inlineStr">
        <is>
          <t>Alpha de ciclo completo</t>
        </is>
      </c>
      <c r="D12" s="3" t="inlineStr">
        <is>
          <t>S47–S53</t>
        </is>
      </c>
      <c r="E12" s="3" t="n">
        <v>7</v>
      </c>
      <c r="F12" s="3" t="n">
        <v>70</v>
      </c>
      <c r="G12" s="3" t="n">
        <v>7</v>
      </c>
      <c r="H12" s="3" t="inlineStr">
        <is>
          <t>Pesquisa web, widget, copiloto, chat e intenções conectam Captura → Mesa → Peça.</t>
        </is>
      </c>
      <c r="I12" s="3">
        <f>COUNTIFS(Tarefas!$C$2:$C$793,A12,Tarefas!$G$2:$G$793,"&lt;&gt;Gate",Tarefas!$X$2:$X$793,"OK")</f>
        <v/>
      </c>
      <c r="J12" s="3">
        <f>COUNTIFS(Tarefas!$C$2:$C$793,A12,Tarefas!$G$2:$G$793,"Gate",Tarefas!$X$2:$X$793,"OK")</f>
        <v/>
      </c>
      <c r="K12" s="3">
        <f>COUNTIFS(Tarefas!$C$2:$C$793,A12,Tarefas!$G$2:$G$793,"&lt;&gt;Gate",Tarefas!$X$2:$X$793,"DISPENSADO")</f>
        <v/>
      </c>
      <c r="L12" s="13">
        <f>IFERROR(I12/(F12-K12),0)</f>
        <v/>
      </c>
    </row>
    <row r="13" ht="68" customHeight="1">
      <c r="A13" s="3" t="inlineStr">
        <is>
          <t>v1.0.0-beta.1</t>
        </is>
      </c>
      <c r="B13" s="3" t="inlineStr">
        <is>
          <t>Homologação multiplataforma</t>
        </is>
      </c>
      <c r="C13" s="3" t="inlineStr">
        <is>
          <t>Beta</t>
        </is>
      </c>
      <c r="D13" s="3" t="inlineStr">
        <is>
          <t>S54–S57</t>
        </is>
      </c>
      <c r="E13" s="3" t="n">
        <v>4</v>
      </c>
      <c r="F13" s="3" t="n">
        <v>40</v>
      </c>
      <c r="G13" s="3" t="n">
        <v>4</v>
      </c>
      <c r="H13" s="3" t="inlineStr">
        <is>
          <t>Segurança, performance e pacotes validados nos cinco alvos, sem presumir paridade de aceleração.</t>
        </is>
      </c>
      <c r="I13" s="3">
        <f>COUNTIFS(Tarefas!$C$2:$C$793,A13,Tarefas!$G$2:$G$793,"&lt;&gt;Gate",Tarefas!$X$2:$X$793,"OK")</f>
        <v/>
      </c>
      <c r="J13" s="3">
        <f>COUNTIFS(Tarefas!$C$2:$C$793,A13,Tarefas!$G$2:$G$793,"Gate",Tarefas!$X$2:$X$793,"OK")</f>
        <v/>
      </c>
      <c r="K13" s="3">
        <f>COUNTIFS(Tarefas!$C$2:$C$793,A13,Tarefas!$G$2:$G$793,"&lt;&gt;Gate",Tarefas!$X$2:$X$793,"DISPENSADO")</f>
        <v/>
      </c>
      <c r="L13" s="13">
        <f>IFERROR(I13/(F13-K13),0)</f>
        <v/>
      </c>
    </row>
    <row r="14" ht="68" customHeight="1">
      <c r="A14" s="3" t="inlineStr">
        <is>
          <t>v1.0.0-rc.1</t>
        </is>
      </c>
      <c r="B14" s="3" t="inlineStr">
        <is>
          <t>Candidata à estabilidade</t>
        </is>
      </c>
      <c r="C14" s="3" t="inlineStr">
        <is>
          <t>RC</t>
        </is>
      </c>
      <c r="D14" s="3" t="inlineStr">
        <is>
          <t>S58–S59</t>
        </is>
      </c>
      <c r="E14" s="3" t="n">
        <v>2</v>
      </c>
      <c r="F14" s="3" t="n">
        <v>20</v>
      </c>
      <c r="G14" s="3" t="n">
        <v>2</v>
      </c>
      <c r="H14" s="3" t="inlineStr">
        <is>
          <t>Migrações, backup/Git, documentação, acessibilidade e instalação limpa avaliados.</t>
        </is>
      </c>
      <c r="I14" s="3">
        <f>COUNTIFS(Tarefas!$C$2:$C$793,A14,Tarefas!$G$2:$G$793,"&lt;&gt;Gate",Tarefas!$X$2:$X$793,"OK")</f>
        <v/>
      </c>
      <c r="J14" s="3">
        <f>COUNTIFS(Tarefas!$C$2:$C$793,A14,Tarefas!$G$2:$G$793,"Gate",Tarefas!$X$2:$X$793,"OK")</f>
        <v/>
      </c>
      <c r="K14" s="3">
        <f>COUNTIFS(Tarefas!$C$2:$C$793,A14,Tarefas!$G$2:$G$793,"&lt;&gt;Gate",Tarefas!$X$2:$X$793,"DISPENSADO")</f>
        <v/>
      </c>
      <c r="L14" s="13">
        <f>IFERROR(I14/(F14-K14),0)</f>
        <v/>
      </c>
    </row>
    <row r="15" ht="68" customHeight="1">
      <c r="A15" s="3" t="inlineStr">
        <is>
          <t>v1.0.0</t>
        </is>
      </c>
      <c r="B15" s="3" t="inlineStr">
        <is>
          <t>Escopo integral estável</t>
        </is>
      </c>
      <c r="C15" s="3" t="inlineStr">
        <is>
          <t>Estável</t>
        </is>
      </c>
      <c r="D15" s="3" t="inlineStr">
        <is>
          <t>S60–S60</t>
        </is>
      </c>
      <c r="E15" s="3" t="n">
        <v>1</v>
      </c>
      <c r="F15" s="3" t="n">
        <v>10</v>
      </c>
      <c r="G15" s="3" t="n">
        <v>1</v>
      </c>
      <c r="H15" s="3" t="inlineStr">
        <is>
          <t>Todos os requisitos do escopo aprovado, evidências e condições de distribuição satisfeitos.</t>
        </is>
      </c>
      <c r="I15" s="3">
        <f>COUNTIFS(Tarefas!$C$2:$C$793,A15,Tarefas!$G$2:$G$793,"&lt;&gt;Gate",Tarefas!$X$2:$X$793,"OK")</f>
        <v/>
      </c>
      <c r="J15" s="3">
        <f>COUNTIFS(Tarefas!$C$2:$C$793,A15,Tarefas!$G$2:$G$793,"Gate",Tarefas!$X$2:$X$793,"OK")</f>
        <v/>
      </c>
      <c r="K15" s="3">
        <f>COUNTIFS(Tarefas!$C$2:$C$793,A15,Tarefas!$G$2:$G$793,"&lt;&gt;Gate",Tarefas!$X$2:$X$793,"DISPENSADO")</f>
        <v/>
      </c>
      <c r="L15" s="13">
        <f>IFERROR(I15/(F15-K15),0)</f>
        <v/>
      </c>
    </row>
    <row r="16" ht="68" customHeight="1">
      <c r="A16" s="3" t="inlineStr">
        <is>
          <t>v1.1.0</t>
        </is>
      </c>
      <c r="B16" s="3" t="inlineStr">
        <is>
          <t>Confiabilidade operacional</t>
        </is>
      </c>
      <c r="C16" s="3" t="inlineStr">
        <is>
          <t>Estável — maturação</t>
        </is>
      </c>
      <c r="D16" s="3" t="inlineStr">
        <is>
          <t>S61–S63</t>
        </is>
      </c>
      <c r="E16" s="3" t="n">
        <v>3</v>
      </c>
      <c r="F16" s="3" t="n">
        <v>30</v>
      </c>
      <c r="G16" s="3" t="n">
        <v>3</v>
      </c>
      <c r="H16" s="3" t="inlineStr">
        <is>
          <t>Correções do uso real, recuperação assistida e manutenção upstream sem perda de dados.</t>
        </is>
      </c>
      <c r="I16" s="3">
        <f>COUNTIFS(Tarefas!$C$2:$C$793,A16,Tarefas!$G$2:$G$793,"&lt;&gt;Gate",Tarefas!$X$2:$X$793,"OK")</f>
        <v/>
      </c>
      <c r="J16" s="3">
        <f>COUNTIFS(Tarefas!$C$2:$C$793,A16,Tarefas!$G$2:$G$793,"Gate",Tarefas!$X$2:$X$793,"OK")</f>
        <v/>
      </c>
      <c r="K16" s="3">
        <f>COUNTIFS(Tarefas!$C$2:$C$793,A16,Tarefas!$G$2:$G$793,"&lt;&gt;Gate",Tarefas!$X$2:$X$793,"DISPENSADO")</f>
        <v/>
      </c>
      <c r="L16" s="13">
        <f>IFERROR(I16/(F16-K16),0)</f>
        <v/>
      </c>
    </row>
    <row r="17" ht="68" customHeight="1">
      <c r="A17" s="3" t="inlineStr">
        <is>
          <t>v1.2.0</t>
        </is>
      </c>
      <c r="B17" s="3" t="inlineStr">
        <is>
          <t>Escala e portabilidade</t>
        </is>
      </c>
      <c r="C17" s="3" t="inlineStr">
        <is>
          <t>Estável — evolução proposta</t>
        </is>
      </c>
      <c r="D17" s="3" t="inlineStr">
        <is>
          <t>S64–S66</t>
        </is>
      </c>
      <c r="E17" s="3" t="n">
        <v>3</v>
      </c>
      <c r="F17" s="3" t="n">
        <v>30</v>
      </c>
      <c r="G17" s="3" t="n">
        <v>3</v>
      </c>
      <c r="H17" s="3" t="inlineStr">
        <is>
          <t>Acervos maiores, pacotes offline e interoperabilidade ampliada, mediante ratificação de escopo.</t>
        </is>
      </c>
      <c r="I17" s="3">
        <f>COUNTIFS(Tarefas!$C$2:$C$793,A17,Tarefas!$G$2:$G$793,"&lt;&gt;Gate",Tarefas!$X$2:$X$793,"OK")</f>
        <v/>
      </c>
      <c r="J17" s="3">
        <f>COUNTIFS(Tarefas!$C$2:$C$793,A17,Tarefas!$G$2:$G$793,"Gate",Tarefas!$X$2:$X$793,"OK")</f>
        <v/>
      </c>
      <c r="K17" s="3">
        <f>COUNTIFS(Tarefas!$C$2:$C$793,A17,Tarefas!$G$2:$G$793,"&lt;&gt;Gate",Tarefas!$X$2:$X$793,"DISPENSADO")</f>
        <v/>
      </c>
      <c r="L17" s="13">
        <f>IFERROR(I17/(F17-K17),0)</f>
        <v/>
      </c>
    </row>
    <row r="18" ht="68" customHeight="1">
      <c r="A18" s="3" t="inlineStr">
        <is>
          <t>v2.0.0-beta.1</t>
        </is>
      </c>
      <c r="B18" s="3" t="inlineStr">
        <is>
          <t>Extensibilidade controlada</t>
        </is>
      </c>
      <c r="C18" s="3" t="inlineStr">
        <is>
          <t>Beta — evolução proposta</t>
        </is>
      </c>
      <c r="D18" s="3" t="inlineStr">
        <is>
          <t>S67–S70</t>
        </is>
      </c>
      <c r="E18" s="3" t="n">
        <v>4</v>
      </c>
      <c r="F18" s="3" t="n">
        <v>40</v>
      </c>
      <c r="G18" s="3" t="n">
        <v>4</v>
      </c>
      <c r="H18" s="3" t="inlineStr">
        <is>
          <t>Contratos de provedores, kit de conformidade e instalação de extensões com permissões explícitas.</t>
        </is>
      </c>
      <c r="I18" s="3">
        <f>COUNTIFS(Tarefas!$C$2:$C$793,A18,Tarefas!$G$2:$G$793,"&lt;&gt;Gate",Tarefas!$X$2:$X$793,"OK")</f>
        <v/>
      </c>
      <c r="J18" s="3">
        <f>COUNTIFS(Tarefas!$C$2:$C$793,A18,Tarefas!$G$2:$G$793,"Gate",Tarefas!$X$2:$X$793,"OK")</f>
        <v/>
      </c>
      <c r="K18" s="3">
        <f>COUNTIFS(Tarefas!$C$2:$C$793,A18,Tarefas!$G$2:$G$793,"&lt;&gt;Gate",Tarefas!$X$2:$X$793,"DISPENSADO")</f>
        <v/>
      </c>
      <c r="L18" s="13">
        <f>IFERROR(I18/(F18-K18),0)</f>
        <v/>
      </c>
    </row>
    <row r="19" ht="68" customHeight="1">
      <c r="A19" s="3" t="inlineStr">
        <is>
          <t>v2.0.0-rc.1</t>
        </is>
      </c>
      <c r="B19" s="3" t="inlineStr">
        <is>
          <t>Compatibilidade consolidada</t>
        </is>
      </c>
      <c r="C19" s="3" t="inlineStr">
        <is>
          <t>RC</t>
        </is>
      </c>
      <c r="D19" s="3" t="inlineStr">
        <is>
          <t>S71–S71</t>
        </is>
      </c>
      <c r="E19" s="3" t="n">
        <v>1</v>
      </c>
      <c r="F19" s="3" t="n">
        <v>10</v>
      </c>
      <c r="G19" s="3" t="n">
        <v>1</v>
      </c>
      <c r="H19" s="3" t="inlineStr">
        <is>
          <t>Migração de v1.x, rollback e matriz completa de regressão de motores/formatos.</t>
        </is>
      </c>
      <c r="I19" s="3">
        <f>COUNTIFS(Tarefas!$C$2:$C$793,A19,Tarefas!$G$2:$G$793,"&lt;&gt;Gate",Tarefas!$X$2:$X$793,"OK")</f>
        <v/>
      </c>
      <c r="J19" s="3">
        <f>COUNTIFS(Tarefas!$C$2:$C$793,A19,Tarefas!$G$2:$G$793,"Gate",Tarefas!$X$2:$X$793,"OK")</f>
        <v/>
      </c>
      <c r="K19" s="3">
        <f>COUNTIFS(Tarefas!$C$2:$C$793,A19,Tarefas!$G$2:$G$793,"&lt;&gt;Gate",Tarefas!$X$2:$X$793,"DISPENSADO")</f>
        <v/>
      </c>
      <c r="L19" s="13">
        <f>IFERROR(I19/(F19-K19),0)</f>
        <v/>
      </c>
    </row>
    <row r="20" ht="68" customHeight="1">
      <c r="A20" s="3" t="inlineStr">
        <is>
          <t>v2.0.0</t>
        </is>
      </c>
      <c r="B20" s="3" t="inlineStr">
        <is>
          <t>Plataforma estável e sustentável</t>
        </is>
      </c>
      <c r="C20" s="3" t="inlineStr">
        <is>
          <t>Estável — fim do horizonte</t>
        </is>
      </c>
      <c r="D20" s="3" t="inlineStr">
        <is>
          <t>S72–S72</t>
        </is>
      </c>
      <c r="E20" s="3" t="n">
        <v>1</v>
      </c>
      <c r="F20" s="3" t="n">
        <v>10</v>
      </c>
      <c r="G20" s="3" t="n">
        <v>1</v>
      </c>
      <c r="H20" s="3" t="inlineStr">
        <is>
          <t>Base madura, interoperável e extensível; continuidade de manutenção, não fim definitivo do projeto.</t>
        </is>
      </c>
      <c r="I20" s="3">
        <f>COUNTIFS(Tarefas!$C$2:$C$793,A20,Tarefas!$G$2:$G$793,"&lt;&gt;Gate",Tarefas!$X$2:$X$793,"OK")</f>
        <v/>
      </c>
      <c r="J20" s="3">
        <f>COUNTIFS(Tarefas!$C$2:$C$793,A20,Tarefas!$G$2:$G$793,"Gate",Tarefas!$X$2:$X$793,"OK")</f>
        <v/>
      </c>
      <c r="K20" s="3">
        <f>COUNTIFS(Tarefas!$C$2:$C$793,A20,Tarefas!$G$2:$G$793,"&lt;&gt;Gate",Tarefas!$X$2:$X$793,"DISPENSADO")</f>
        <v/>
      </c>
      <c r="L20" s="13">
        <f>IFERROR(I20/(F20-K20),0)</f>
        <v/>
      </c>
    </row>
  </sheetData>
  <conditionalFormatting sqref="L2:L20">
    <cfRule type="dataBar" priority="1">
      <dataBar>
        <cfvo type="num" val="0"/>
        <cfvo type="num" val="1"/>
        <color rgb="000F766E"/>
      </dataBar>
    </cfRule>
  </conditionalFormatting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64" customWidth="1" min="3" max="3"/>
    <col width="100" customWidth="1" min="4" max="4"/>
    <col width="40" customWidth="1" min="5" max="5"/>
    <col width="24" customWidth="1" min="6" max="6"/>
    <col width="29" customWidth="1" min="7" max="7"/>
    <col width="33" customWidth="1" min="8" max="8"/>
    <col width="92" customWidth="1" min="9" max="9"/>
    <col width="116" customWidth="1" min="10" max="10"/>
    <col width="22" customWidth="1" min="11" max="11"/>
    <col width="14" customWidth="1" min="12" max="12"/>
    <col width="102" customWidth="1" min="13" max="13"/>
    <col width="19" customWidth="1" min="14" max="14"/>
    <col width="16" customWidth="1" min="15" max="15"/>
    <col width="20" customWidth="1" min="16" max="16"/>
    <col width="19" customWidth="1" min="17" max="17"/>
  </cols>
  <sheetData>
    <row r="1" ht="34" customHeight="1">
      <c r="A1" s="8" t="inlineStr">
        <is>
          <t>Sprint</t>
        </is>
      </c>
      <c r="B1" s="8" t="inlineStr">
        <is>
          <t>Versão</t>
        </is>
      </c>
      <c r="C1" s="8" t="inlineStr">
        <is>
          <t>Objetivo curto</t>
        </is>
      </c>
      <c r="D1" s="8" t="inlineStr">
        <is>
          <t>Objetivo verificável</t>
        </is>
      </c>
      <c r="E1" s="8" t="inlineStr">
        <is>
          <t>Componente</t>
        </is>
      </c>
      <c r="F1" s="8" t="inlineStr">
        <is>
          <t>Forma</t>
        </is>
      </c>
      <c r="G1" s="8" t="inlineStr">
        <is>
          <t>Pré-requisitos técnicos</t>
        </is>
      </c>
      <c r="H1" s="8" t="inlineStr">
        <is>
          <t>Requisitos</t>
        </is>
      </c>
      <c r="I1" s="8" t="inlineStr">
        <is>
          <t>Entrega</t>
        </is>
      </c>
      <c r="J1" s="8" t="inlineStr">
        <is>
          <t>Demonstração de aceite</t>
        </is>
      </c>
      <c r="K1" s="8" t="inlineStr">
        <is>
          <t>Gate</t>
        </is>
      </c>
      <c r="L1" s="8" t="inlineStr">
        <is>
          <t>Risco</t>
        </is>
      </c>
      <c r="M1" s="8" t="inlineStr">
        <is>
          <t>Observação</t>
        </is>
      </c>
      <c r="N1" s="8" t="inlineStr">
        <is>
          <t>Tarefas aceitas</t>
        </is>
      </c>
      <c r="O1" s="8" t="inlineStr">
        <is>
          <t>Total tarefas</t>
        </is>
      </c>
      <c r="P1" s="8" t="inlineStr">
        <is>
          <t>Dispensadas válidas</t>
        </is>
      </c>
      <c r="Q1" s="8" t="inlineStr">
        <is>
          <t>Progresso aplicável</t>
        </is>
      </c>
    </row>
    <row r="2" ht="98" customHeight="1">
      <c r="A2" s="3" t="inlineStr">
        <is>
          <t>S01</t>
        </is>
      </c>
      <c r="B2" s="3" t="inlineStr">
        <is>
          <t>v0.0.1</t>
        </is>
      </c>
      <c r="C2" s="3" t="inlineStr">
        <is>
          <t>Ratificar escopo, soberania e composição</t>
        </is>
      </c>
      <c r="D2" s="3" t="inlineStr">
        <is>
          <t>Eliminar decisões contraditórias antes de criar dependências de implementação.</t>
        </is>
      </c>
      <c r="E2" s="3" t="inlineStr">
        <is>
          <t>Arquitetura / produto</t>
        </is>
      </c>
      <c r="F2" s="3" t="inlineStr">
        <is>
          <t>Próprio</t>
        </is>
      </c>
      <c r="G2" s="3" t="inlineStr"/>
      <c r="H2" s="3" t="inlineStr">
        <is>
          <t>R01; R03; R07; R08; R33; R34</t>
        </is>
      </c>
      <c r="I2" s="3" t="inlineStr">
        <is>
          <t>Escopo v1.0 e registro de decisões iniciais.</t>
        </is>
      </c>
      <c r="J2" s="3" t="inlineStr">
        <is>
          <t>Autor consegue explicar offline, Jev, workers e cinco alvos sem contradições.</t>
        </is>
      </c>
      <c r="K2" s="9" t="inlineStr">
        <is>
          <t>SL-S01-GATE</t>
        </is>
      </c>
      <c r="L2" s="3" t="inlineStr">
        <is>
          <t>Crítico</t>
        </is>
      </c>
      <c r="M2" s="3" t="inlineStr"/>
      <c r="N2" s="3">
        <f>COUNTIFS(Tarefas!$D$2:$D$793,A2,Tarefas!$G$2:$G$793,"&lt;&gt;Gate",Tarefas!$X$2:$X$793,"OK")</f>
        <v/>
      </c>
      <c r="O2" s="3" t="n">
        <v>10</v>
      </c>
      <c r="P2" s="3">
        <f>COUNTIFS(Tarefas!$D$2:$D$793,A2,Tarefas!$G$2:$G$793,"&lt;&gt;Gate",Tarefas!$X$2:$X$793,"DISPENSADO")</f>
        <v/>
      </c>
      <c r="Q2" s="13">
        <f>IFERROR(N2/(O2-P2),0)</f>
        <v/>
      </c>
    </row>
    <row r="3" ht="98" customHeight="1">
      <c r="A3" s="3" t="inlineStr">
        <is>
          <t>S02</t>
        </is>
      </c>
      <c r="B3" s="3" t="inlineStr">
        <is>
          <t>v0.0.1</t>
        </is>
      </c>
      <c r="C3" s="3" t="inlineStr">
        <is>
          <t>Definir formatos, identidade e autoridade</t>
        </is>
      </c>
      <c r="D3" s="3" t="inlineStr">
        <is>
          <t>Especificar representação persistente antes do editor e dos índices.</t>
        </is>
      </c>
      <c r="E3" s="3" t="inlineStr">
        <is>
          <t>Vault / contratos</t>
        </is>
      </c>
      <c r="F3" s="3" t="inlineStr">
        <is>
          <t>Próprio</t>
        </is>
      </c>
      <c r="G3" s="3" t="inlineStr">
        <is>
          <t>S01</t>
        </is>
      </c>
      <c r="H3" s="3" t="inlineStr">
        <is>
          <t>R02; R04; R05; R11; R13; R32; R37</t>
        </is>
      </c>
      <c r="I3" s="3" t="inlineStr">
        <is>
          <t>Schemas v0 do Vault, board, eventos, células e evidências.</t>
        </is>
      </c>
      <c r="J3" s="3" t="inlineStr">
        <is>
          <t>Fixtures independentes dos motores representam uma mesa e uma Peça completas.</t>
        </is>
      </c>
      <c r="K3" s="9" t="inlineStr">
        <is>
          <t>SL-S02-GATE</t>
        </is>
      </c>
      <c r="L3" s="3" t="inlineStr">
        <is>
          <t>Crítico</t>
        </is>
      </c>
      <c r="M3" s="3" t="inlineStr"/>
      <c r="N3" s="3">
        <f>COUNTIFS(Tarefas!$D$2:$D$793,A3,Tarefas!$G$2:$G$793,"&lt;&gt;Gate",Tarefas!$X$2:$X$793,"OK")</f>
        <v/>
      </c>
      <c r="O3" s="3" t="n">
        <v>10</v>
      </c>
      <c r="P3" s="3">
        <f>COUNTIFS(Tarefas!$D$2:$D$793,A3,Tarefas!$G$2:$G$793,"&lt;&gt;Gate",Tarefas!$X$2:$X$793,"DISPENSADO")</f>
        <v/>
      </c>
      <c r="Q3" s="13">
        <f>IFERROR(N3/(O3-P3),0)</f>
        <v/>
      </c>
    </row>
    <row r="4" ht="98" customHeight="1">
      <c r="A4" s="3" t="inlineStr">
        <is>
          <t>S03</t>
        </is>
      </c>
      <c r="B4" s="3" t="inlineStr">
        <is>
          <t>v0.0.1</t>
        </is>
      </c>
      <c r="C4" s="3" t="inlineStr">
        <is>
          <t>Inventariar upstreams e definir recortes</t>
        </is>
      </c>
      <c r="D4" s="3" t="inlineStr">
        <is>
          <t>Fixar origem, licenças e modo de integração sem criar forks indiscriminados.</t>
        </is>
      </c>
      <c r="E4" s="3" t="inlineStr">
        <is>
          <t>Todos os motores / licenças</t>
        </is>
      </c>
      <c r="F4" s="3" t="inlineStr">
        <is>
          <t>Desconstrução</t>
        </is>
      </c>
      <c r="G4" s="3" t="inlineStr">
        <is>
          <t>S01; S02</t>
        </is>
      </c>
      <c r="H4" s="3" t="inlineStr">
        <is>
          <t>R03; R30; R33; R34</t>
        </is>
      </c>
      <c r="I4" s="3" t="inlineStr">
        <is>
          <t>Catálogo de componentes e política de manutenção upstream.</t>
        </is>
      </c>
      <c r="J4" s="3" t="inlineStr">
        <is>
          <t>Cada motor tem origem rastreável, fronteira proposta e decisão de manter/extrair/adaptar.</t>
        </is>
      </c>
      <c r="K4" s="9" t="inlineStr">
        <is>
          <t>SL-S03-GATE</t>
        </is>
      </c>
      <c r="L4" s="3" t="inlineStr">
        <is>
          <t>Crítico</t>
        </is>
      </c>
      <c r="M4" s="3" t="inlineStr"/>
      <c r="N4" s="3">
        <f>COUNTIFS(Tarefas!$D$2:$D$793,A4,Tarefas!$G$2:$G$793,"&lt;&gt;Gate",Tarefas!$X$2:$X$793,"OK")</f>
        <v/>
      </c>
      <c r="O4" s="3" t="n">
        <v>10</v>
      </c>
      <c r="P4" s="3">
        <f>COUNTIFS(Tarefas!$D$2:$D$793,A4,Tarefas!$G$2:$G$793,"&lt;&gt;Gate",Tarefas!$X$2:$X$793,"DISPENSADO")</f>
        <v/>
      </c>
      <c r="Q4" s="13">
        <f>IFERROR(N4/(O4-P4),0)</f>
        <v/>
      </c>
    </row>
    <row r="5" ht="98" customHeight="1">
      <c r="A5" s="3" t="inlineStr">
        <is>
          <t>S04</t>
        </is>
      </c>
      <c r="B5" s="3" t="inlineStr">
        <is>
          <t>v0.0.2</t>
        </is>
      </c>
      <c r="C5" s="3" t="inlineStr">
        <is>
          <t>Montar repositório e fluxo solo com IA</t>
        </is>
      </c>
      <c r="D5" s="3" t="inlineStr">
        <is>
          <t>Tornar alterações pequenas, revisáveis e reproduzíveis por um único mantenedor.</t>
        </is>
      </c>
      <c r="E5" s="3" t="inlineStr">
        <is>
          <t>Ferramentas / governança</t>
        </is>
      </c>
      <c r="F5" s="3" t="inlineStr">
        <is>
          <t>Próprio</t>
        </is>
      </c>
      <c r="G5" s="3" t="inlineStr">
        <is>
          <t>S03</t>
        </is>
      </c>
      <c r="H5" s="3" t="inlineStr">
        <is>
          <t>R03; R30; R33; R34</t>
        </is>
      </c>
      <c r="I5" s="3" t="inlineStr">
        <is>
          <t>Monorepo de trabalho e instruções de contribuição/agentes.</t>
        </is>
      </c>
      <c r="J5" s="3" t="inlineStr">
        <is>
          <t>Um agente implementa uma tarefa isolada e o autor consegue revisar o patch e seus testes.</t>
        </is>
      </c>
      <c r="K5" s="9" t="inlineStr">
        <is>
          <t>SL-S04-GATE</t>
        </is>
      </c>
      <c r="L5" s="3" t="inlineStr">
        <is>
          <t>Crítico</t>
        </is>
      </c>
      <c r="M5" s="3" t="inlineStr"/>
      <c r="N5" s="3">
        <f>COUNTIFS(Tarefas!$D$2:$D$793,A5,Tarefas!$G$2:$G$793,"&lt;&gt;Gate",Tarefas!$X$2:$X$793,"OK")</f>
        <v/>
      </c>
      <c r="O5" s="3" t="n">
        <v>10</v>
      </c>
      <c r="P5" s="3">
        <f>COUNTIFS(Tarefas!$D$2:$D$793,A5,Tarefas!$G$2:$G$793,"&lt;&gt;Gate",Tarefas!$X$2:$X$793,"DISPENSADO")</f>
        <v/>
      </c>
      <c r="Q5" s="13">
        <f>IFERROR(N5/(O5-P5),0)</f>
        <v/>
      </c>
    </row>
    <row r="6" ht="98" customHeight="1">
      <c r="A6" s="3" t="inlineStr">
        <is>
          <t>S05</t>
        </is>
      </c>
      <c r="B6" s="3" t="inlineStr">
        <is>
          <t>v0.0.2</t>
        </is>
      </c>
      <c r="C6" s="3" t="inlineStr">
        <is>
          <t>Construir CI, corpus e protocolo de medição</t>
        </is>
      </c>
      <c r="D6" s="3" t="inlineStr">
        <is>
          <t>Criar a bancada que impedirá promessas de qualidade ou recursos sem medição.</t>
        </is>
      </c>
      <c r="E6" s="3" t="inlineStr">
        <is>
          <t>Qualidade / desempenho</t>
        </is>
      </c>
      <c r="F6" s="3" t="inlineStr">
        <is>
          <t>Próprio</t>
        </is>
      </c>
      <c r="G6" s="3" t="inlineStr">
        <is>
          <t>S04</t>
        </is>
      </c>
      <c r="H6" s="3" t="inlineStr">
        <is>
          <t>R01; R09; R12; R15; R20; R34</t>
        </is>
      </c>
      <c r="I6" s="3" t="inlineStr">
        <is>
          <t>CI inicial, corpus licenciado e perfis mensuráveis.</t>
        </is>
      </c>
      <c r="J6" s="3" t="inlineStr">
        <is>
          <t>Falha introduzida em contrato bloqueia pipeline e um benchmark gera dados reproduzíveis.</t>
        </is>
      </c>
      <c r="K6" s="9" t="inlineStr">
        <is>
          <t>SL-S05-GATE</t>
        </is>
      </c>
      <c r="L6" s="3" t="inlineStr">
        <is>
          <t>Alto</t>
        </is>
      </c>
      <c r="M6" s="3" t="inlineStr"/>
      <c r="N6" s="3">
        <f>COUNTIFS(Tarefas!$D$2:$D$793,A6,Tarefas!$G$2:$G$793,"&lt;&gt;Gate",Tarefas!$X$2:$X$793,"OK")</f>
        <v/>
      </c>
      <c r="O6" s="3" t="n">
        <v>10</v>
      </c>
      <c r="P6" s="3">
        <f>COUNTIFS(Tarefas!$D$2:$D$793,A6,Tarefas!$G$2:$G$793,"&lt;&gt;Gate",Tarefas!$X$2:$X$793,"DISPENSADO")</f>
        <v/>
      </c>
      <c r="Q6" s="13">
        <f>IFERROR(N6/(O6-P6),0)</f>
        <v/>
      </c>
    </row>
    <row r="7" ht="98" customHeight="1">
      <c r="A7" s="3" t="inlineStr">
        <is>
          <t>S06</t>
        </is>
      </c>
      <c r="B7" s="3" t="inlineStr">
        <is>
          <t>v0.0.2</t>
        </is>
      </c>
      <c r="C7" s="3" t="inlineStr">
        <is>
          <t>Criar shell desktop e contratos IPC</t>
        </is>
      </c>
      <c r="D7" s="3" t="inlineStr">
        <is>
          <t>Abrir um app local mínimo sem antecipar a integração de todos os motores.</t>
        </is>
      </c>
      <c r="E7" s="3" t="inlineStr">
        <is>
          <t>Tauri / apresentação</t>
        </is>
      </c>
      <c r="F7" s="3" t="inlineStr">
        <is>
          <t>Integração</t>
        </is>
      </c>
      <c r="G7" s="3" t="inlineStr">
        <is>
          <t>S04; S05</t>
        </is>
      </c>
      <c r="H7" s="3" t="inlineStr">
        <is>
          <t>R01; R03; R07; R08; R31; R34</t>
        </is>
      </c>
      <c r="I7" s="3" t="inlineStr">
        <is>
          <t>Shell Tauri com navegação Ingest/Mesa/Peça e IPC validado.</t>
        </is>
      </c>
      <c r="J7" s="3" t="inlineStr">
        <is>
          <t>Instalar build de desenvolvimento, navegar e selecionar um diretório sem rede.</t>
        </is>
      </c>
      <c r="K7" s="9" t="inlineStr">
        <is>
          <t>SL-S06-GATE</t>
        </is>
      </c>
      <c r="L7" s="3" t="inlineStr">
        <is>
          <t>Crítico</t>
        </is>
      </c>
      <c r="M7" s="3" t="inlineStr"/>
      <c r="N7" s="3">
        <f>COUNTIFS(Tarefas!$D$2:$D$793,A7,Tarefas!$G$2:$G$793,"&lt;&gt;Gate",Tarefas!$X$2:$X$793,"OK")</f>
        <v/>
      </c>
      <c r="O7" s="3" t="n">
        <v>10</v>
      </c>
      <c r="P7" s="3">
        <f>COUNTIFS(Tarefas!$D$2:$D$793,A7,Tarefas!$G$2:$G$793,"&lt;&gt;Gate",Tarefas!$X$2:$X$793,"DISPENSADO")</f>
        <v/>
      </c>
      <c r="Q7" s="13">
        <f>IFERROR(N7/(O7-P7),0)</f>
        <v/>
      </c>
    </row>
    <row r="8" ht="98" customHeight="1">
      <c r="A8" s="3" t="inlineStr">
        <is>
          <t>S07</t>
        </is>
      </c>
      <c r="B8" s="3" t="inlineStr">
        <is>
          <t>v0.1.0</t>
        </is>
      </c>
      <c r="C8" s="3" t="inlineStr">
        <is>
          <t>Implementar Vault, identidade e assets</t>
        </is>
      </c>
      <c r="D8" s="3" t="inlineStr">
        <is>
          <t>Criar a primeira autoridade persistente do produto.</t>
        </is>
      </c>
      <c r="E8" s="3" t="inlineStr">
        <is>
          <t>VaultStore / CAS</t>
        </is>
      </c>
      <c r="F8" s="3" t="inlineStr">
        <is>
          <t>Próprio</t>
        </is>
      </c>
      <c r="G8" s="3" t="inlineStr">
        <is>
          <t>S02; S06</t>
        </is>
      </c>
      <c r="H8" s="3" t="inlineStr">
        <is>
          <t>R02; R04; R05; R07</t>
        </is>
      </c>
      <c r="I8" s="3" t="inlineStr">
        <is>
          <t>VaultStore básico, manifest e armazenamento de assets por hash.</t>
        </is>
      </c>
      <c r="J8" s="3" t="inlineStr">
        <is>
          <t>Criar Vault, salvar nota/asset, fechar e listar os mesmos IDs ao reabrir.</t>
        </is>
      </c>
      <c r="K8" s="9" t="inlineStr">
        <is>
          <t>SL-S07-GATE</t>
        </is>
      </c>
      <c r="L8" s="3" t="inlineStr">
        <is>
          <t>Crítico</t>
        </is>
      </c>
      <c r="M8" s="3" t="inlineStr"/>
      <c r="N8" s="3">
        <f>COUNTIFS(Tarefas!$D$2:$D$793,A8,Tarefas!$G$2:$G$793,"&lt;&gt;Gate",Tarefas!$X$2:$X$793,"OK")</f>
        <v/>
      </c>
      <c r="O8" s="3" t="n">
        <v>10</v>
      </c>
      <c r="P8" s="3">
        <f>COUNTIFS(Tarefas!$D$2:$D$793,A8,Tarefas!$G$2:$G$793,"&lt;&gt;Gate",Tarefas!$X$2:$X$793,"DISPENSADO")</f>
        <v/>
      </c>
      <c r="Q8" s="13">
        <f>IFERROR(N8/(O8-P8),0)</f>
        <v/>
      </c>
    </row>
    <row r="9" ht="98" customHeight="1">
      <c r="A9" s="3" t="inlineStr">
        <is>
          <t>S08</t>
        </is>
      </c>
      <c r="B9" s="3" t="inlineStr">
        <is>
          <t>v0.1.0</t>
        </is>
      </c>
      <c r="C9" s="3" t="inlineStr">
        <is>
          <t>Implementar transações de arquivos e histórico</t>
        </is>
      </c>
      <c r="D9" s="3" t="inlineStr">
        <is>
          <t>Tornar confirmação, replay e desfazer independentes de bancos descartáveis.</t>
        </is>
      </c>
      <c r="E9" s="3" t="inlineStr">
        <is>
          <t>Journal / RevisionStore</t>
        </is>
      </c>
      <c r="F9" s="3" t="inlineStr">
        <is>
          <t>Próprio</t>
        </is>
      </c>
      <c r="G9" s="3" t="inlineStr">
        <is>
          <t>S07</t>
        </is>
      </c>
      <c r="H9" s="3" t="inlineStr">
        <is>
          <t>R02; R05; R13; R37</t>
        </is>
      </c>
      <c r="I9" s="3" t="inlineStr">
        <is>
          <t>Journal durável e protocolo de publicação de revisões.</t>
        </is>
      </c>
      <c r="J9" s="3" t="inlineStr">
        <is>
          <t>Interromper cada etapa de uma edição e recuperar o último estado confirmado.</t>
        </is>
      </c>
      <c r="K9" s="9" t="inlineStr">
        <is>
          <t>SL-S08-GATE</t>
        </is>
      </c>
      <c r="L9" s="3" t="inlineStr">
        <is>
          <t>Crítico</t>
        </is>
      </c>
      <c r="M9" s="3" t="inlineStr"/>
      <c r="N9" s="3">
        <f>COUNTIFS(Tarefas!$D$2:$D$793,A9,Tarefas!$G$2:$G$793,"&lt;&gt;Gate",Tarefas!$X$2:$X$793,"OK")</f>
        <v/>
      </c>
      <c r="O9" s="3" t="n">
        <v>10</v>
      </c>
      <c r="P9" s="3">
        <f>COUNTIFS(Tarefas!$D$2:$D$793,A9,Tarefas!$G$2:$G$793,"&lt;&gt;Gate",Tarefas!$X$2:$X$793,"DISPENSADO")</f>
        <v/>
      </c>
      <c r="Q9" s="13">
        <f>IFERROR(N9/(O9-P9),0)</f>
        <v/>
      </c>
    </row>
    <row r="10" ht="98" customHeight="1">
      <c r="A10" s="3" t="inlineStr">
        <is>
          <t>S09</t>
        </is>
      </c>
      <c r="B10" s="3" t="inlineStr">
        <is>
          <t>v0.1.0</t>
        </is>
      </c>
      <c r="C10" s="3" t="inlineStr">
        <is>
          <t>Implementar broker de arquivos e defesa TOCTOU</t>
        </is>
      </c>
      <c r="D10" s="3" t="inlineStr">
        <is>
          <t>Eliminar validação de path separada da abertura antes de integrar workers.</t>
        </is>
      </c>
      <c r="E10" s="3" t="inlineStr">
        <is>
          <t>VaultGuard / ToolBroker</t>
        </is>
      </c>
      <c r="F10" s="3" t="inlineStr">
        <is>
          <t>Próprio</t>
        </is>
      </c>
      <c r="G10" s="3" t="inlineStr">
        <is>
          <t>S07; S08</t>
        </is>
      </c>
      <c r="H10" s="3" t="inlineStr">
        <is>
          <t>R06; R08; R34</t>
        </is>
      </c>
      <c r="I10" s="3" t="inlineStr">
        <is>
          <t>I/O autorizado por referências/handles e suíte de ataques de paths.</t>
        </is>
      </c>
      <c r="J10" s="3" t="inlineStr">
        <is>
          <t>Solicitar um arquivo permitido e negar escapes durante resolução e concorrência.</t>
        </is>
      </c>
      <c r="K10" s="9" t="inlineStr">
        <is>
          <t>SL-S09-GATE</t>
        </is>
      </c>
      <c r="L10" s="3" t="inlineStr">
        <is>
          <t>Crítico</t>
        </is>
      </c>
      <c r="M10" s="3" t="inlineStr"/>
      <c r="N10" s="3">
        <f>COUNTIFS(Tarefas!$D$2:$D$793,A10,Tarefas!$G$2:$G$793,"&lt;&gt;Gate",Tarefas!$X$2:$X$793,"OK")</f>
        <v/>
      </c>
      <c r="O10" s="3" t="n">
        <v>10</v>
      </c>
      <c r="P10" s="3">
        <f>COUNTIFS(Tarefas!$D$2:$D$793,A10,Tarefas!$G$2:$G$793,"&lt;&gt;Gate",Tarefas!$X$2:$X$793,"DISPENSADO")</f>
        <v/>
      </c>
      <c r="Q10" s="13">
        <f>IFERROR(N10/(O10-P10),0)</f>
        <v/>
      </c>
    </row>
    <row r="11" ht="98" customHeight="1">
      <c r="A11" s="3" t="inlineStr">
        <is>
          <t>S10</t>
        </is>
      </c>
      <c r="B11" s="3" t="inlineStr">
        <is>
          <t>v0.1.0</t>
        </is>
      </c>
      <c r="C11" s="3" t="inlineStr">
        <is>
          <t>Reconciliar alterações externas e reconstruir índices</t>
        </is>
      </c>
      <c r="D11" s="3" t="inlineStr">
        <is>
          <t>Manter o disco como autoridade mesmo com edição externa e perda de notificações.</t>
        </is>
      </c>
      <c r="E11" s="3" t="inlineStr">
        <is>
          <t>Watcher / projeções</t>
        </is>
      </c>
      <c r="F11" s="3" t="inlineStr">
        <is>
          <t>Próprio</t>
        </is>
      </c>
      <c r="G11" s="3" t="inlineStr">
        <is>
          <t>S08; S09</t>
        </is>
      </c>
      <c r="H11" s="3" t="inlineStr">
        <is>
          <t>R02; R04; R05; R21</t>
        </is>
      </c>
      <c r="I11" s="3" t="inlineStr">
        <is>
          <t>Reconciliação incremental e cache de inventário descartável.</t>
        </is>
      </c>
      <c r="J11" s="3" t="inlineStr">
        <is>
          <t>Editar/renomear fora do app, perder um evento de watcher e reconciliar sem perda.</t>
        </is>
      </c>
      <c r="K11" s="9" t="inlineStr">
        <is>
          <t>SL-S10-GATE</t>
        </is>
      </c>
      <c r="L11" s="3" t="inlineStr">
        <is>
          <t>Crítico</t>
        </is>
      </c>
      <c r="M11" s="3" t="inlineStr"/>
      <c r="N11" s="3">
        <f>COUNTIFS(Tarefas!$D$2:$D$793,A11,Tarefas!$G$2:$G$793,"&lt;&gt;Gate",Tarefas!$X$2:$X$793,"OK")</f>
        <v/>
      </c>
      <c r="O11" s="3" t="n">
        <v>10</v>
      </c>
      <c r="P11" s="3">
        <f>COUNTIFS(Tarefas!$D$2:$D$793,A11,Tarefas!$G$2:$G$793,"&lt;&gt;Gate",Tarefas!$X$2:$X$793,"DISPENSADO")</f>
        <v/>
      </c>
      <c r="Q11" s="13">
        <f>IFERROR(N11/(O11-P11),0)</f>
        <v/>
      </c>
    </row>
    <row r="12" ht="98" customHeight="1">
      <c r="A12" s="3" t="inlineStr">
        <is>
          <t>S11</t>
        </is>
      </c>
      <c r="B12" s="3" t="inlineStr">
        <is>
          <t>v0.1.0</t>
        </is>
      </c>
      <c r="C12" s="3" t="inlineStr">
        <is>
          <t>Concluir v0.1: recuperação e diagnóstico do Vault</t>
        </is>
      </c>
      <c r="D12" s="3" t="inlineStr">
        <is>
          <t>Entregar um núcleo de dados utilizável antes de adicionar complexidade visual.</t>
        </is>
      </c>
      <c r="E12" s="3" t="inlineStr">
        <is>
          <t>Vault / integração</t>
        </is>
      </c>
      <c r="F12" s="3" t="inlineStr">
        <is>
          <t>Próprio</t>
        </is>
      </c>
      <c r="G12" s="3" t="inlineStr">
        <is>
          <t>S07; S08; S09; S10</t>
        </is>
      </c>
      <c r="H12" s="3" t="inlineStr">
        <is>
          <t>R02; R05; R06; R07; R29; R34</t>
        </is>
      </c>
      <c r="I12" s="3" t="inlineStr">
        <is>
          <t>v0.1.0 alpha técnica e utilitário de recuperação.</t>
        </is>
      </c>
      <c r="J12" s="3" t="inlineStr">
        <is>
          <t>Criar, modificar, corromper um cache, reconstruir e exportar um Vault local.</t>
        </is>
      </c>
      <c r="K12" s="9" t="inlineStr">
        <is>
          <t>SL-S11-GATE</t>
        </is>
      </c>
      <c r="L12" s="3" t="inlineStr">
        <is>
          <t>Crítico</t>
        </is>
      </c>
      <c r="M12" s="3" t="inlineStr"/>
      <c r="N12" s="3">
        <f>COUNTIFS(Tarefas!$D$2:$D$793,A12,Tarefas!$G$2:$G$793,"&lt;&gt;Gate",Tarefas!$X$2:$X$793,"OK")</f>
        <v/>
      </c>
      <c r="O12" s="3" t="n">
        <v>10</v>
      </c>
      <c r="P12" s="3">
        <f>COUNTIFS(Tarefas!$D$2:$D$793,A12,Tarefas!$G$2:$G$793,"&lt;&gt;Gate",Tarefas!$X$2:$X$793,"DISPENSADO")</f>
        <v/>
      </c>
      <c r="Q12" s="13">
        <f>IFERROR(N12/(O12-P12),0)</f>
        <v/>
      </c>
    </row>
    <row r="13" ht="98" customHeight="1">
      <c r="A13" s="3" t="inlineStr">
        <is>
          <t>S12</t>
        </is>
      </c>
      <c r="B13" s="3" t="inlineStr">
        <is>
          <t>v0.2.0</t>
        </is>
      </c>
      <c r="C13" s="3" t="inlineStr">
        <is>
          <t>Extrair o recorte editorial do BlockSuite</t>
        </is>
      </c>
      <c r="D13" s="3" t="inlineStr">
        <is>
          <t>Reproduzir a edição mínima sem importar o produto AFFiNE.</t>
        </is>
      </c>
      <c r="E13" s="3" t="inlineStr">
        <is>
          <t>BlockSuite / upstream</t>
        </is>
      </c>
      <c r="F13" s="3" t="inlineStr">
        <is>
          <t>Desconstrução</t>
        </is>
      </c>
      <c r="G13" s="3" t="inlineStr">
        <is>
          <t>S03; S04; S06; S11</t>
        </is>
      </c>
      <c r="H13" s="3" t="inlineStr">
        <is>
          <t>R03; R10; R30; R33; R34</t>
        </is>
      </c>
      <c r="I13" s="3" t="inlineStr">
        <is>
          <t>Pacote editorial isolado e ADR do recorte.</t>
        </is>
      </c>
      <c r="J13" s="3" t="inlineStr">
        <is>
          <t>Editor mínimo funciona fora do monorepo de origem e sua origem/licença é rastreável.</t>
        </is>
      </c>
      <c r="K13" s="9" t="inlineStr">
        <is>
          <t>SL-S12-GATE</t>
        </is>
      </c>
      <c r="L13" s="3" t="inlineStr">
        <is>
          <t>Crítico</t>
        </is>
      </c>
      <c r="M13" s="3" t="inlineStr"/>
      <c r="N13" s="3">
        <f>COUNTIFS(Tarefas!$D$2:$D$793,A13,Tarefas!$G$2:$G$793,"&lt;&gt;Gate",Tarefas!$X$2:$X$793,"OK")</f>
        <v/>
      </c>
      <c r="O13" s="3" t="n">
        <v>10</v>
      </c>
      <c r="P13" s="3">
        <f>COUNTIFS(Tarefas!$D$2:$D$793,A13,Tarefas!$G$2:$G$793,"&lt;&gt;Gate",Tarefas!$X$2:$X$793,"DISPENSADO")</f>
        <v/>
      </c>
      <c r="Q13" s="13">
        <f>IFERROR(N13/(O13-P13),0)</f>
        <v/>
      </c>
    </row>
    <row r="14" ht="98" customHeight="1">
      <c r="A14" s="3" t="inlineStr">
        <is>
          <t>S13</t>
        </is>
      </c>
      <c r="B14" s="3" t="inlineStr">
        <is>
          <t>v0.2.0</t>
        </is>
      </c>
      <c r="C14" s="3" t="inlineStr">
        <is>
          <t>Implementar ponte Markdown ↔ BlockSuite</t>
        </is>
      </c>
      <c r="D14" s="3" t="inlineStr">
        <is>
          <t>Conectar o modelo editorial ao formato autoral sem perda silenciosa.</t>
        </is>
      </c>
      <c r="E14" s="3" t="inlineStr">
        <is>
          <t>EditorBridge / formato</t>
        </is>
      </c>
      <c r="F14" s="3" t="inlineStr">
        <is>
          <t>Adaptação</t>
        </is>
      </c>
      <c r="G14" s="3" t="inlineStr">
        <is>
          <t>S02; S12</t>
        </is>
      </c>
      <c r="H14" s="3" t="inlineStr">
        <is>
          <t>R02; R04; R10; R13; R32</t>
        </is>
      </c>
      <c r="I14" s="3" t="inlineStr">
        <is>
          <t>Serializer/deserializer e fixtures de round-trip.</t>
        </is>
      </c>
      <c r="J14" s="3" t="inlineStr">
        <is>
          <t>Abrir Markdown externo, editar no BlockSuite e preservar a semântica e metadados.</t>
        </is>
      </c>
      <c r="K14" s="9" t="inlineStr">
        <is>
          <t>SL-S13-GATE</t>
        </is>
      </c>
      <c r="L14" s="3" t="inlineStr">
        <is>
          <t>Alto</t>
        </is>
      </c>
      <c r="M14" s="3" t="inlineStr"/>
      <c r="N14" s="3">
        <f>COUNTIFS(Tarefas!$D$2:$D$793,A14,Tarefas!$G$2:$G$793,"&lt;&gt;Gate",Tarefas!$X$2:$X$793,"OK")</f>
        <v/>
      </c>
      <c r="O14" s="3" t="n">
        <v>10</v>
      </c>
      <c r="P14" s="3">
        <f>COUNTIFS(Tarefas!$D$2:$D$793,A14,Tarefas!$G$2:$G$793,"&lt;&gt;Gate",Tarefas!$X$2:$X$793,"DISPENSADO")</f>
        <v/>
      </c>
      <c r="Q14" s="13">
        <f>IFERROR(N14/(O14-P14),0)</f>
        <v/>
      </c>
    </row>
    <row r="15" ht="98" customHeight="1">
      <c r="A15" s="3" t="inlineStr">
        <is>
          <t>S14</t>
        </is>
      </c>
      <c r="B15" s="3" t="inlineStr">
        <is>
          <t>v0.2.0</t>
        </is>
      </c>
      <c r="C15" s="3" t="inlineStr">
        <is>
          <t>Integrar comandos, salvamento e undo editorial</t>
        </is>
      </c>
      <c r="D15" s="3" t="inlineStr">
        <is>
          <t>Fazer o editor participar do protocolo de revisão do Sandland.</t>
        </is>
      </c>
      <c r="E15" s="3" t="inlineStr">
        <is>
          <t>BlockSuite / domínio</t>
        </is>
      </c>
      <c r="F15" s="3" t="inlineStr">
        <is>
          <t>Integração</t>
        </is>
      </c>
      <c r="G15" s="3" t="inlineStr">
        <is>
          <t>S08; S10; S13</t>
        </is>
      </c>
      <c r="H15" s="3" t="inlineStr">
        <is>
          <t>R04; R05; R10; R31</t>
        </is>
      </c>
      <c r="I15" s="3" t="inlineStr">
        <is>
          <t>Edição de notas com salvamento confiável e undo de produto.</t>
        </is>
      </c>
      <c r="J15" s="3" t="inlineStr">
        <is>
          <t>Editar, desfazer, conflitar com editor externo e recuperar sem cópia oculta no Yjs.</t>
        </is>
      </c>
      <c r="K15" s="9" t="inlineStr">
        <is>
          <t>SL-S14-GATE</t>
        </is>
      </c>
      <c r="L15" s="3" t="inlineStr">
        <is>
          <t>Crítico</t>
        </is>
      </c>
      <c r="M15" s="3" t="inlineStr"/>
      <c r="N15" s="3">
        <f>COUNTIFS(Tarefas!$D$2:$D$793,A15,Tarefas!$G$2:$G$793,"&lt;&gt;Gate",Tarefas!$X$2:$X$793,"OK")</f>
        <v/>
      </c>
      <c r="O15" s="3" t="n">
        <v>10</v>
      </c>
      <c r="P15" s="3">
        <f>COUNTIFS(Tarefas!$D$2:$D$793,A15,Tarefas!$G$2:$G$793,"&lt;&gt;Gate",Tarefas!$X$2:$X$793,"DISPENSADO")</f>
        <v/>
      </c>
      <c r="Q15" s="13">
        <f>IFERROR(N15/(O15-P15),0)</f>
        <v/>
      </c>
    </row>
    <row r="16" ht="98" customHeight="1">
      <c r="A16" s="3" t="inlineStr">
        <is>
          <t>S15</t>
        </is>
      </c>
      <c r="B16" s="3" t="inlineStr">
        <is>
          <t>v0.2.0</t>
        </is>
      </c>
      <c r="C16" s="3" t="inlineStr">
        <is>
          <t>Entregar notas locais e homologar editor</t>
        </is>
      </c>
      <c r="D16" s="3" t="inlineStr">
        <is>
          <t>Concluir um produto de autoria textual útil antes de adicionar a mesa.</t>
        </is>
      </c>
      <c r="E16" s="3" t="inlineStr">
        <is>
          <t>Editor / Tauri</t>
        </is>
      </c>
      <c r="F16" s="3" t="inlineStr">
        <is>
          <t>Integração</t>
        </is>
      </c>
      <c r="G16" s="3" t="inlineStr">
        <is>
          <t>S14</t>
        </is>
      </c>
      <c r="H16" s="3" t="inlineStr">
        <is>
          <t>R07; R09; R10; R31; R34</t>
        </is>
      </c>
      <c r="I16" s="3" t="inlineStr">
        <is>
          <t>v0.2.0 alpha de notas locais.</t>
        </is>
      </c>
      <c r="J16" s="3" t="inlineStr">
        <is>
          <t>Instalação limpa permite criar, editar, pesquisar por título e reabrir notas sem rede.</t>
        </is>
      </c>
      <c r="K16" s="9" t="inlineStr">
        <is>
          <t>SL-S15-GATE</t>
        </is>
      </c>
      <c r="L16" s="3" t="inlineStr">
        <is>
          <t>Alto</t>
        </is>
      </c>
      <c r="M16" s="3" t="inlineStr"/>
      <c r="N16" s="3">
        <f>COUNTIFS(Tarefas!$D$2:$D$793,A16,Tarefas!$G$2:$G$793,"&lt;&gt;Gate",Tarefas!$X$2:$X$793,"OK")</f>
        <v/>
      </c>
      <c r="O16" s="3" t="n">
        <v>10</v>
      </c>
      <c r="P16" s="3">
        <f>COUNTIFS(Tarefas!$D$2:$D$793,A16,Tarefas!$G$2:$G$793,"&lt;&gt;Gate",Tarefas!$X$2:$X$793,"DISPENSADO")</f>
        <v/>
      </c>
      <c r="Q16" s="13">
        <f>IFERROR(N16/(O16-P16),0)</f>
        <v/>
      </c>
    </row>
    <row r="17" ht="98" customHeight="1">
      <c r="A17" s="3" t="inlineStr">
        <is>
          <t>S16</t>
        </is>
      </c>
      <c r="B17" s="3" t="inlineStr">
        <is>
          <t>v0.3.0</t>
        </is>
      </c>
      <c r="C17" s="3" t="inlineStr">
        <is>
          <t>Construir cena PixiJS e interação básica</t>
        </is>
      </c>
      <c r="D17" s="3" t="inlineStr">
        <is>
          <t>Criar espaço de trabalho visual sem delegar a semântica do board a um motor externo.</t>
        </is>
      </c>
      <c r="E17" s="3" t="inlineStr">
        <is>
          <t>PixiJS / Whiteboard</t>
        </is>
      </c>
      <c r="F17" s="3" t="inlineStr">
        <is>
          <t>Integração</t>
        </is>
      </c>
      <c r="G17" s="3" t="inlineStr">
        <is>
          <t>S06; S07; S15</t>
        </is>
      </c>
      <c r="H17" s="3" t="inlineStr">
        <is>
          <t>R11; R12; R31</t>
        </is>
      </c>
      <c r="I17" s="3" t="inlineStr">
        <is>
          <t>Viewport com cartões, câmera, seleção e previews.</t>
        </is>
      </c>
      <c r="J17" s="3" t="inlineStr">
        <is>
          <t>Criar e navegar por cartões mantendo coordenadas consistentes em diferentes zooms.</t>
        </is>
      </c>
      <c r="K17" s="9" t="inlineStr">
        <is>
          <t>SL-S16-GATE</t>
        </is>
      </c>
      <c r="L17" s="3" t="inlineStr">
        <is>
          <t>Alto</t>
        </is>
      </c>
      <c r="M17" s="3" t="inlineStr"/>
      <c r="N17" s="3">
        <f>COUNTIFS(Tarefas!$D$2:$D$793,A17,Tarefas!$G$2:$G$793,"&lt;&gt;Gate",Tarefas!$X$2:$X$793,"OK")</f>
        <v/>
      </c>
      <c r="O17" s="3" t="n">
        <v>10</v>
      </c>
      <c r="P17" s="3">
        <f>COUNTIFS(Tarefas!$D$2:$D$793,A17,Tarefas!$G$2:$G$793,"&lt;&gt;Gate",Tarefas!$X$2:$X$793,"DISPENSADO")</f>
        <v/>
      </c>
      <c r="Q17" s="13">
        <f>IFERROR(N17/(O17-P17),0)</f>
        <v/>
      </c>
    </row>
    <row r="18" ht="98" customHeight="1">
      <c r="A18" s="3" t="inlineStr">
        <is>
          <t>S17</t>
        </is>
      </c>
      <c r="B18" s="3" t="inlineStr">
        <is>
          <t>v0.3.0</t>
        </is>
      </c>
      <c r="C18" s="3" t="inlineStr">
        <is>
          <t>Persistir topologia, grupos e relações</t>
        </is>
      </c>
      <c r="D18" s="3" t="inlineStr">
        <is>
          <t>Transformar a cena em conhecimento espacial persistente.</t>
        </is>
      </c>
      <c r="E18" s="3" t="inlineStr">
        <is>
          <t>BoardService / topologia</t>
        </is>
      </c>
      <c r="F18" s="3" t="inlineStr">
        <is>
          <t>Próprio</t>
        </is>
      </c>
      <c r="G18" s="3" t="inlineStr">
        <is>
          <t>S08; S10; S16</t>
        </is>
      </c>
      <c r="H18" s="3" t="inlineStr">
        <is>
          <t>R02; R05; R11; R22</t>
        </is>
      </c>
      <c r="I18" s="3" t="inlineStr">
        <is>
          <t>BoardService canônico e cache MPK validado por revisão.</t>
        </is>
      </c>
      <c r="J18" s="3" t="inlineStr">
        <is>
          <t>Criar ciclo de relações, agrupar, fechar, apagar MPK e reconstruir a mesma mesa.</t>
        </is>
      </c>
      <c r="K18" s="9" t="inlineStr">
        <is>
          <t>SL-S17-GATE</t>
        </is>
      </c>
      <c r="L18" s="3" t="inlineStr">
        <is>
          <t>Crítico</t>
        </is>
      </c>
      <c r="M18" s="3" t="inlineStr"/>
      <c r="N18" s="3">
        <f>COUNTIFS(Tarefas!$D$2:$D$793,A18,Tarefas!$G$2:$G$793,"&lt;&gt;Gate",Tarefas!$X$2:$X$793,"OK")</f>
        <v/>
      </c>
      <c r="O18" s="3" t="n">
        <v>10</v>
      </c>
      <c r="P18" s="3">
        <f>COUNTIFS(Tarefas!$D$2:$D$793,A18,Tarefas!$G$2:$G$793,"&lt;&gt;Gate",Tarefas!$X$2:$X$793,"DISPENSADO")</f>
        <v/>
      </c>
      <c r="Q18" s="13">
        <f>IFERROR(N18/(O18-P18),0)</f>
        <v/>
      </c>
    </row>
    <row r="19" ht="98" customHeight="1">
      <c r="A19" s="3" t="inlineStr">
        <is>
          <t>S18</t>
        </is>
      </c>
      <c r="B19" s="3" t="inlineStr">
        <is>
          <t>v0.3.0</t>
        </is>
      </c>
      <c r="C19" s="3" t="inlineStr">
        <is>
          <t>Integrar overlay BlockSuite à Mesa</t>
        </is>
      </c>
      <c r="D19" s="3" t="inlineStr">
        <is>
          <t>Editar conteúdo no espaço visual sem instanciar um editor completo por nó.</t>
        </is>
      </c>
      <c r="E19" s="3" t="inlineStr">
        <is>
          <t>PixiJS + BlockSuite</t>
        </is>
      </c>
      <c r="F19" s="3" t="inlineStr">
        <is>
          <t>Adaptação</t>
        </is>
      </c>
      <c r="G19" s="3" t="inlineStr">
        <is>
          <t>S14; S17</t>
        </is>
      </c>
      <c r="H19" s="3" t="inlineStr">
        <is>
          <t>R04; R10; R11; R12; R31</t>
        </is>
      </c>
      <c r="I19" s="3" t="inlineStr">
        <is>
          <t>Overlay DOM sincronizado à câmera e política de editores ativos.</t>
        </is>
      </c>
      <c r="J19" s="3" t="inlineStr">
        <is>
          <t>Editar uma célula em diferentes zooms e voltar à cena sem perder caret ou conteúdo.</t>
        </is>
      </c>
      <c r="K19" s="9" t="inlineStr">
        <is>
          <t>SL-S18-GATE</t>
        </is>
      </c>
      <c r="L19" s="3" t="inlineStr">
        <is>
          <t>Alto</t>
        </is>
      </c>
      <c r="M19" s="3" t="inlineStr"/>
      <c r="N19" s="3">
        <f>COUNTIFS(Tarefas!$D$2:$D$793,A19,Tarefas!$G$2:$G$793,"&lt;&gt;Gate",Tarefas!$X$2:$X$793,"OK")</f>
        <v/>
      </c>
      <c r="O19" s="3" t="n">
        <v>10</v>
      </c>
      <c r="P19" s="3">
        <f>COUNTIFS(Tarefas!$D$2:$D$793,A19,Tarefas!$G$2:$G$793,"&lt;&gt;Gate",Tarefas!$X$2:$X$793,"DISPENSADO")</f>
        <v/>
      </c>
      <c r="Q19" s="13">
        <f>IFERROR(N19/(O19-P19),0)</f>
        <v/>
      </c>
    </row>
    <row r="20" ht="98" customHeight="1">
      <c r="A20" s="3" t="inlineStr">
        <is>
          <t>S19</t>
        </is>
      </c>
      <c r="B20" s="3" t="inlineStr">
        <is>
          <t>v0.3.0</t>
        </is>
      </c>
      <c r="C20" s="3" t="inlineStr">
        <is>
          <t>Concluir navegação, LOD e workspaces</t>
        </is>
      </c>
      <c r="D20" s="3" t="inlineStr">
        <is>
          <t>Entregar a Mesa como etapa de exploração independente da IA.</t>
        </is>
      </c>
      <c r="E20" s="3" t="inlineStr">
        <is>
          <t>Whiteboard / performance</t>
        </is>
      </c>
      <c r="F20" s="3" t="inlineStr">
        <is>
          <t>Próprio</t>
        </is>
      </c>
      <c r="G20" s="3" t="inlineStr">
        <is>
          <t>S16; S17; S18</t>
        </is>
      </c>
      <c r="H20" s="3" t="inlineStr">
        <is>
          <t>R01; R09; R11; R12; R31</t>
        </is>
      </c>
      <c r="I20" s="3" t="inlineStr">
        <is>
          <t>v0.3.0 com pílulas, grupos, conexões e LOD.</t>
        </is>
      </c>
      <c r="J20" s="3" t="inlineStr">
        <is>
          <t>Navegar entre boards de 100/1.000 nós e reconstruir a cena após reinício.</t>
        </is>
      </c>
      <c r="K20" s="9" t="inlineStr">
        <is>
          <t>SL-S19-GATE</t>
        </is>
      </c>
      <c r="L20" s="3" t="inlineStr">
        <is>
          <t>Alto</t>
        </is>
      </c>
      <c r="M20" s="3" t="inlineStr"/>
      <c r="N20" s="3">
        <f>COUNTIFS(Tarefas!$D$2:$D$793,A20,Tarefas!$G$2:$G$793,"&lt;&gt;Gate",Tarefas!$X$2:$X$793,"OK")</f>
        <v/>
      </c>
      <c r="O20" s="3" t="n">
        <v>10</v>
      </c>
      <c r="P20" s="3">
        <f>COUNTIFS(Tarefas!$D$2:$D$793,A20,Tarefas!$G$2:$G$793,"&lt;&gt;Gate",Tarefas!$X$2:$X$793,"DISPENSADO")</f>
        <v/>
      </c>
      <c r="Q20" s="13">
        <f>IFERROR(N20/(O20-P20),0)</f>
        <v/>
      </c>
    </row>
    <row r="21" ht="98" customHeight="1">
      <c r="A21" s="3" t="inlineStr">
        <is>
          <t>S20</t>
        </is>
      </c>
      <c r="B21" s="3" t="inlineStr">
        <is>
          <t>v0.4.0</t>
        </is>
      </c>
      <c r="C21" s="3" t="inlineStr">
        <is>
          <t>Construir editor da Peça e layout editorial</t>
        </is>
      </c>
      <c r="D21" s="3" t="inlineStr">
        <is>
          <t>Criar produção textual formal sem misturá-la ao estado visual da Mesa.</t>
        </is>
      </c>
      <c r="E21" s="3" t="inlineStr">
        <is>
          <t>BlockSuite / Peça</t>
        </is>
      </c>
      <c r="F21" s="3" t="inlineStr">
        <is>
          <t>Integração</t>
        </is>
      </c>
      <c r="G21" s="3" t="inlineStr">
        <is>
          <t>S15; S19</t>
        </is>
      </c>
      <c r="H21" s="3" t="inlineStr">
        <is>
          <t>R04; R10; R13; R31</t>
        </is>
      </c>
      <c r="I21" s="3" t="inlineStr">
        <is>
          <t>Peça independente com painel editorial e navegação.</t>
        </is>
      </c>
      <c r="J21" s="3" t="inlineStr">
        <is>
          <t>Abrir Peça vinculada ao workspace e editar enquanto consulta células.</t>
        </is>
      </c>
      <c r="K21" s="9" t="inlineStr">
        <is>
          <t>SL-S20-GATE</t>
        </is>
      </c>
      <c r="L21" s="3" t="inlineStr">
        <is>
          <t>Alto</t>
        </is>
      </c>
      <c r="M21" s="3" t="inlineStr"/>
      <c r="N21" s="3">
        <f>COUNTIFS(Tarefas!$D$2:$D$793,A21,Tarefas!$G$2:$G$793,"&lt;&gt;Gate",Tarefas!$X$2:$X$793,"OK")</f>
        <v/>
      </c>
      <c r="O21" s="3" t="n">
        <v>10</v>
      </c>
      <c r="P21" s="3">
        <f>COUNTIFS(Tarefas!$D$2:$D$793,A21,Tarefas!$G$2:$G$793,"&lt;&gt;Gate",Tarefas!$X$2:$X$793,"DISPENSADO")</f>
        <v/>
      </c>
      <c r="Q21" s="13">
        <f>IFERROR(N21/(O21-P21),0)</f>
        <v/>
      </c>
    </row>
    <row r="22" ht="98" customHeight="1">
      <c r="A22" s="3" t="inlineStr">
        <is>
          <t>S21</t>
        </is>
      </c>
      <c r="B22" s="3" t="inlineStr">
        <is>
          <t>v0.4.0</t>
        </is>
      </c>
      <c r="C22" s="3" t="inlineStr">
        <is>
          <t>Implementar fork-on-insert e cadeia de evidências</t>
        </is>
      </c>
      <c r="D22" s="3" t="inlineStr">
        <is>
          <t>Preservar origem sem tornar a Peça dependente de conteúdo vivo de uma célula.</t>
        </is>
      </c>
      <c r="E22" s="3" t="inlineStr">
        <is>
          <t>ProvenanceStore / Peça</t>
        </is>
      </c>
      <c r="F22" s="3" t="inlineStr">
        <is>
          <t>Próprio</t>
        </is>
      </c>
      <c r="G22" s="3" t="inlineStr">
        <is>
          <t>S17; S20</t>
        </is>
      </c>
      <c r="H22" s="3" t="inlineStr">
        <is>
          <t>R02; R05; R13; R37</t>
        </is>
      </c>
      <c r="I22" s="3" t="inlineStr">
        <is>
          <t>Inserção independente com referência de revisão e localização.</t>
        </is>
      </c>
      <c r="J22" s="3" t="inlineStr">
        <is>
          <t>Arrastar célula, editar a fonte e comprovar que a Peça conserva o trecho inserido.</t>
        </is>
      </c>
      <c r="K22" s="9" t="inlineStr">
        <is>
          <t>SL-S21-GATE</t>
        </is>
      </c>
      <c r="L22" s="3" t="inlineStr">
        <is>
          <t>Crítico</t>
        </is>
      </c>
      <c r="M22" s="3" t="inlineStr"/>
      <c r="N22" s="3">
        <f>COUNTIFS(Tarefas!$D$2:$D$793,A22,Tarefas!$G$2:$G$793,"&lt;&gt;Gate",Tarefas!$X$2:$X$793,"OK")</f>
        <v/>
      </c>
      <c r="O22" s="3" t="n">
        <v>10</v>
      </c>
      <c r="P22" s="3">
        <f>COUNTIFS(Tarefas!$D$2:$D$793,A22,Tarefas!$G$2:$G$793,"&lt;&gt;Gate",Tarefas!$X$2:$X$793,"DISPENSADO")</f>
        <v/>
      </c>
      <c r="Q22" s="13">
        <f>IFERROR(N22/(O22-P22),0)</f>
        <v/>
      </c>
    </row>
    <row r="23" ht="98" customHeight="1">
      <c r="A23" s="3" t="inlineStr">
        <is>
          <t>S22</t>
        </is>
      </c>
      <c r="B23" s="3" t="inlineStr">
        <is>
          <t>v0.4.0</t>
        </is>
      </c>
      <c r="C23" s="3" t="inlineStr">
        <is>
          <t>Entregar produção local, histórico e exportação</t>
        </is>
      </c>
      <c r="D23" s="3" t="inlineStr">
        <is>
          <t>Fechar o primeiro ciclo de trabalho completo sem depender de IA ou web.</t>
        </is>
      </c>
      <c r="E23" s="3" t="inlineStr">
        <is>
          <t>Peça / autoria completa</t>
        </is>
      </c>
      <c r="F23" s="3" t="inlineStr">
        <is>
          <t>Próprio</t>
        </is>
      </c>
      <c r="G23" s="3" t="inlineStr">
        <is>
          <t>S20; S21</t>
        </is>
      </c>
      <c r="H23" s="3" t="inlineStr">
        <is>
          <t>R02; R05; R07; R13; R29; R31</t>
        </is>
      </c>
      <c r="I23" s="3" t="inlineStr">
        <is>
          <t>v0.4.0: notas → Mesa → Peça, histórico e exportação Markdown.</t>
        </is>
      </c>
      <c r="J23" s="3" t="inlineStr">
        <is>
          <t>Produzir ensaio local, recuperar uma revisão e exportar texto com fontes.</t>
        </is>
      </c>
      <c r="K23" s="9" t="inlineStr">
        <is>
          <t>SL-S22-GATE</t>
        </is>
      </c>
      <c r="L23" s="3" t="inlineStr">
        <is>
          <t>Crítico</t>
        </is>
      </c>
      <c r="M23" s="3" t="inlineStr"/>
      <c r="N23" s="3">
        <f>COUNTIFS(Tarefas!$D$2:$D$793,A23,Tarefas!$G$2:$G$793,"&lt;&gt;Gate",Tarefas!$X$2:$X$793,"OK")</f>
        <v/>
      </c>
      <c r="O23" s="3" t="n">
        <v>10</v>
      </c>
      <c r="P23" s="3">
        <f>COUNTIFS(Tarefas!$D$2:$D$793,A23,Tarefas!$G$2:$G$793,"&lt;&gt;Gate",Tarefas!$X$2:$X$793,"DISPENSADO")</f>
        <v/>
      </c>
      <c r="Q23" s="13">
        <f>IFERROR(N23/(O23-P23),0)</f>
        <v/>
      </c>
    </row>
    <row r="24" ht="98" customHeight="1">
      <c r="A24" s="3" t="inlineStr">
        <is>
          <t>S23</t>
        </is>
      </c>
      <c r="B24" s="3" t="inlineStr">
        <is>
          <t>v0.5.0</t>
        </is>
      </c>
      <c r="C24" s="3" t="inlineStr">
        <is>
          <t>Construir protocolo e supervisor de workers</t>
        </is>
      </c>
      <c r="D24" s="3" t="inlineStr">
        <is>
          <t>Permitir motores poliglotas sem conceder autoridade sobre o Vault.</t>
        </is>
      </c>
      <c r="E24" s="3" t="inlineStr">
        <is>
          <t>JobScheduler / WorkerHost</t>
        </is>
      </c>
      <c r="F24" s="3" t="inlineStr">
        <is>
          <t>Próprio</t>
        </is>
      </c>
      <c r="G24" s="3" t="inlineStr">
        <is>
          <t>S09; S11; S22</t>
        </is>
      </c>
      <c r="H24" s="3" t="inlineStr">
        <is>
          <t>R03; R05; R06; R08; R09</t>
        </is>
      </c>
      <c r="I24" s="3" t="inlineStr">
        <is>
          <t>WorkerHost, fila persistível e protocolo versionado.</t>
        </is>
      </c>
      <c r="J24" s="3" t="inlineStr">
        <is>
          <t>Worker de teste recebe snapshot autorizado, falha/reinicia e devolve proposta validada.</t>
        </is>
      </c>
      <c r="K24" s="9" t="inlineStr">
        <is>
          <t>SL-S23-GATE</t>
        </is>
      </c>
      <c r="L24" s="3" t="inlineStr">
        <is>
          <t>Crítico</t>
        </is>
      </c>
      <c r="M24" s="3" t="inlineStr"/>
      <c r="N24" s="3">
        <f>COUNTIFS(Tarefas!$D$2:$D$793,A24,Tarefas!$G$2:$G$793,"&lt;&gt;Gate",Tarefas!$X$2:$X$793,"OK")</f>
        <v/>
      </c>
      <c r="O24" s="3" t="n">
        <v>10</v>
      </c>
      <c r="P24" s="3">
        <f>COUNTIFS(Tarefas!$D$2:$D$793,A24,Tarefas!$G$2:$G$793,"&lt;&gt;Gate",Tarefas!$X$2:$X$793,"DISPENSADO")</f>
        <v/>
      </c>
      <c r="Q24" s="13">
        <f>IFERROR(N24/(O24-P24),0)</f>
        <v/>
      </c>
    </row>
    <row r="25" ht="98" customHeight="1">
      <c r="A25" s="3" t="inlineStr">
        <is>
          <t>S24</t>
        </is>
      </c>
      <c r="B25" s="3" t="inlineStr">
        <is>
          <t>v0.5.0</t>
        </is>
      </c>
      <c r="C25" s="3" t="inlineStr">
        <is>
          <t>Implementar perfis de sandbox Linux</t>
        </is>
      </c>
      <c r="D25" s="3" t="inlineStr">
        <is>
          <t>Conter parsing, inferência e browser por capacidades reais do kernel.</t>
        </is>
      </c>
      <c r="E25" s="3" t="inlineStr">
        <is>
          <t>SandboxManager / Linux</t>
        </is>
      </c>
      <c r="F25" s="3" t="inlineStr">
        <is>
          <t>Próprio</t>
        </is>
      </c>
      <c r="G25" s="3" t="inlineStr">
        <is>
          <t>S23</t>
        </is>
      </c>
      <c r="H25" s="3" t="inlineStr">
        <is>
          <t>R01; R06; R08; R09</t>
        </is>
      </c>
      <c r="I25" s="3" t="inlineStr">
        <is>
          <t>Perfis Linux e matriz de disponibilidade de segurança.</t>
        </is>
      </c>
      <c r="J25" s="3" t="inlineStr">
        <is>
          <t>Worker sem rede não lê sentinela fora do escopo nem cria conexão externa.</t>
        </is>
      </c>
      <c r="K25" s="9" t="inlineStr">
        <is>
          <t>SL-S24-GATE</t>
        </is>
      </c>
      <c r="L25" s="3" t="inlineStr">
        <is>
          <t>Crítico</t>
        </is>
      </c>
      <c r="M25" s="3" t="inlineStr"/>
      <c r="N25" s="3">
        <f>COUNTIFS(Tarefas!$D$2:$D$793,A25,Tarefas!$G$2:$G$793,"&lt;&gt;Gate",Tarefas!$X$2:$X$793,"OK")</f>
        <v/>
      </c>
      <c r="O25" s="3" t="n">
        <v>10</v>
      </c>
      <c r="P25" s="3">
        <f>COUNTIFS(Tarefas!$D$2:$D$793,A25,Tarefas!$G$2:$G$793,"&lt;&gt;Gate",Tarefas!$X$2:$X$793,"DISPENSADO")</f>
        <v/>
      </c>
      <c r="Q25" s="13">
        <f>IFERROR(N25/(O25-P25),0)</f>
        <v/>
      </c>
    </row>
    <row r="26" ht="98" customHeight="1">
      <c r="A26" s="3" t="inlineStr">
        <is>
          <t>S25</t>
        </is>
      </c>
      <c r="B26" s="3" t="inlineStr">
        <is>
          <t>v0.5.0</t>
        </is>
      </c>
      <c r="C26" s="3" t="inlineStr">
        <is>
          <t>Implementar perfis de sandbox macOS</t>
        </is>
      </c>
      <c r="D26" s="3" t="inlineStr">
        <is>
          <t>Validar isolamento macOS sem depender de sandbox-exec como promessa futura.</t>
        </is>
      </c>
      <c r="E26" s="3" t="inlineStr">
        <is>
          <t>SandboxManager / macOS</t>
        </is>
      </c>
      <c r="F26" s="3" t="inlineStr">
        <is>
          <t>Próprio</t>
        </is>
      </c>
      <c r="G26" s="3" t="inlineStr">
        <is>
          <t>S23</t>
        </is>
      </c>
      <c r="H26" s="3" t="inlineStr">
        <is>
          <t>R01; R06; R08; R09; R30</t>
        </is>
      </c>
      <c r="I26" s="3" t="inlineStr">
        <is>
          <t>Helper/perfis macOS e evidências nativas Intel/Apple Silicon conforme disponibilidade.</t>
        </is>
      </c>
      <c r="J26" s="3" t="inlineStr">
        <is>
          <t>Processo auxiliar autorizado lê a entrada e falha ao acessar outro workspace ou rede proibida.</t>
        </is>
      </c>
      <c r="K26" s="9" t="inlineStr">
        <is>
          <t>SL-S25-GATE</t>
        </is>
      </c>
      <c r="L26" s="3" t="inlineStr">
        <is>
          <t>Crítico</t>
        </is>
      </c>
      <c r="M26" s="3" t="inlineStr"/>
      <c r="N26" s="3">
        <f>COUNTIFS(Tarefas!$D$2:$D$793,A26,Tarefas!$G$2:$G$793,"&lt;&gt;Gate",Tarefas!$X$2:$X$793,"OK")</f>
        <v/>
      </c>
      <c r="O26" s="3" t="n">
        <v>10</v>
      </c>
      <c r="P26" s="3">
        <f>COUNTIFS(Tarefas!$D$2:$D$793,A26,Tarefas!$G$2:$G$793,"&lt;&gt;Gate",Tarefas!$X$2:$X$793,"DISPENSADO")</f>
        <v/>
      </c>
      <c r="Q26" s="13">
        <f>IFERROR(N26/(O26-P26),0)</f>
        <v/>
      </c>
    </row>
    <row r="27" ht="98" customHeight="1">
      <c r="A27" s="3" t="inlineStr">
        <is>
          <t>S26</t>
        </is>
      </c>
      <c r="B27" s="3" t="inlineStr">
        <is>
          <t>v0.5.0</t>
        </is>
      </c>
      <c r="C27" s="3" t="inlineStr">
        <is>
          <t>Implementar perfis de sandbox Windows</t>
        </is>
      </c>
      <c r="D27" s="3" t="inlineStr">
        <is>
          <t>Combinar contenção efetiva com controle de recursos e descendentes.</t>
        </is>
      </c>
      <c r="E27" s="3" t="inlineStr">
        <is>
          <t>SandboxManager / Windows</t>
        </is>
      </c>
      <c r="F27" s="3" t="inlineStr">
        <is>
          <t>Próprio</t>
        </is>
      </c>
      <c r="G27" s="3" t="inlineStr">
        <is>
          <t>S23</t>
        </is>
      </c>
      <c r="H27" s="3" t="inlineStr">
        <is>
          <t>R01; R06; R08; R09; R30</t>
        </is>
      </c>
      <c r="I27" s="3" t="inlineStr">
        <is>
          <t>Perfis Windows com AppContainer/capabilities ou alternativa auditada.</t>
        </is>
      </c>
      <c r="J27" s="3" t="inlineStr">
        <is>
          <t>Worker controlado não acessa paths/rede fora do permitido e toda sua árvore encerra.</t>
        </is>
      </c>
      <c r="K27" s="9" t="inlineStr">
        <is>
          <t>SL-S26-GATE</t>
        </is>
      </c>
      <c r="L27" s="3" t="inlineStr">
        <is>
          <t>Crítico</t>
        </is>
      </c>
      <c r="M27" s="3" t="inlineStr"/>
      <c r="N27" s="3">
        <f>COUNTIFS(Tarefas!$D$2:$D$793,A27,Tarefas!$G$2:$G$793,"&lt;&gt;Gate",Tarefas!$X$2:$X$793,"OK")</f>
        <v/>
      </c>
      <c r="O27" s="3" t="n">
        <v>10</v>
      </c>
      <c r="P27" s="3">
        <f>COUNTIFS(Tarefas!$D$2:$D$793,A27,Tarefas!$G$2:$G$793,"&lt;&gt;Gate",Tarefas!$X$2:$X$793,"DISPENSADO")</f>
        <v/>
      </c>
      <c r="Q27" s="13">
        <f>IFERROR(N27/(O27-P27),0)</f>
        <v/>
      </c>
    </row>
    <row r="28" ht="98" customHeight="1">
      <c r="A28" s="3" t="inlineStr">
        <is>
          <t>S27</t>
        </is>
      </c>
      <c r="B28" s="3" t="inlineStr">
        <is>
          <t>v0.5.0</t>
        </is>
      </c>
      <c r="C28" s="3" t="inlineStr">
        <is>
          <t>Desconstruir Docling e integrar extração textual</t>
        </is>
      </c>
      <c r="D28" s="3" t="inlineStr">
        <is>
          <t>Reutilizar parsing sem tornar o worker responsável pelo formato ou armazenamento Sandland.</t>
        </is>
      </c>
      <c r="E28" s="3" t="inlineStr">
        <is>
          <t>Docling / ExtractProvider</t>
        </is>
      </c>
      <c r="F28" s="3" t="inlineStr">
        <is>
          <t>Desconstrução</t>
        </is>
      </c>
      <c r="G28" s="3" t="inlineStr">
        <is>
          <t>S23; S24; S25; S26</t>
        </is>
      </c>
      <c r="H28" s="3" t="inlineStr">
        <is>
          <t>R14; R15; R30; R33; R34</t>
        </is>
      </c>
      <c r="I28" s="3" t="inlineStr">
        <is>
          <t>Worker Docling mínimo para documentos textuais.</t>
        </is>
      </c>
      <c r="J28" s="3" t="inlineStr">
        <is>
          <t>Importar PDF/DOCX de fixture e obter blocos com referências ao original.</t>
        </is>
      </c>
      <c r="K28" s="9" t="inlineStr">
        <is>
          <t>SL-S27-GATE</t>
        </is>
      </c>
      <c r="L28" s="3" t="inlineStr">
        <is>
          <t>Crítico</t>
        </is>
      </c>
      <c r="M28" s="3" t="inlineStr"/>
      <c r="N28" s="3">
        <f>COUNTIFS(Tarefas!$D$2:$D$793,A28,Tarefas!$G$2:$G$793,"&lt;&gt;Gate",Tarefas!$X$2:$X$793,"OK")</f>
        <v/>
      </c>
      <c r="O28" s="3" t="n">
        <v>10</v>
      </c>
      <c r="P28" s="3">
        <f>COUNTIFS(Tarefas!$D$2:$D$793,A28,Tarefas!$G$2:$G$793,"&lt;&gt;Gate",Tarefas!$X$2:$X$793,"DISPENSADO")</f>
        <v/>
      </c>
      <c r="Q28" s="13">
        <f>IFERROR(N28/(O28-P28),0)</f>
        <v/>
      </c>
    </row>
    <row r="29" ht="98" customHeight="1">
      <c r="A29" s="3" t="inlineStr">
        <is>
          <t>S28</t>
        </is>
      </c>
      <c r="B29" s="3" t="inlineStr">
        <is>
          <t>v0.5.0</t>
        </is>
      </c>
      <c r="C29" s="3" t="inlineStr">
        <is>
          <t>Adicionar OCR e robustez da extração</t>
        </is>
      </c>
      <c r="D29" s="3" t="inlineStr">
        <is>
          <t>Expandir o processamento sem prometer que todo OCR cabe no perfil leve.</t>
        </is>
      </c>
      <c r="E29" s="3" t="inlineStr">
        <is>
          <t>Docling / OCR</t>
        </is>
      </c>
      <c r="F29" s="3" t="inlineStr">
        <is>
          <t>Adaptação</t>
        </is>
      </c>
      <c r="G29" s="3" t="inlineStr">
        <is>
          <t>S27</t>
        </is>
      </c>
      <c r="H29" s="3" t="inlineStr">
        <is>
          <t>R09; R14; R15; R30</t>
        </is>
      </c>
      <c r="I29" s="3" t="inlineStr">
        <is>
          <t>Pipeline OCR homologado e processamento recuperável por documento.</t>
        </is>
      </c>
      <c r="J29" s="3" t="inlineStr">
        <is>
          <t>Importar PDF escaneado, cancelar, retomar e citar texto com localização.</t>
        </is>
      </c>
      <c r="K29" s="9" t="inlineStr">
        <is>
          <t>SL-S28-GATE</t>
        </is>
      </c>
      <c r="L29" s="3" t="inlineStr">
        <is>
          <t>Crítico</t>
        </is>
      </c>
      <c r="M29" s="3" t="inlineStr"/>
      <c r="N29" s="3">
        <f>COUNTIFS(Tarefas!$D$2:$D$793,A29,Tarefas!$G$2:$G$793,"&lt;&gt;Gate",Tarefas!$X$2:$X$793,"OK")</f>
        <v/>
      </c>
      <c r="O29" s="3" t="n">
        <v>10</v>
      </c>
      <c r="P29" s="3">
        <f>COUNTIFS(Tarefas!$D$2:$D$793,A29,Tarefas!$G$2:$G$793,"&lt;&gt;Gate",Tarefas!$X$2:$X$793,"DISPENSADO")</f>
        <v/>
      </c>
      <c r="Q29" s="13">
        <f>IFERROR(N29/(O29-P29),0)</f>
        <v/>
      </c>
    </row>
    <row r="30" ht="98" customHeight="1">
      <c r="A30" s="3" t="inlineStr">
        <is>
          <t>S29</t>
        </is>
      </c>
      <c r="B30" s="3" t="inlineStr">
        <is>
          <t>v0.5.0</t>
        </is>
      </c>
      <c r="C30" s="3" t="inlineStr">
        <is>
          <t>Integrar Readability/Turndown para clipping seguro</t>
        </is>
      </c>
      <c r="D30" s="3" t="inlineStr">
        <is>
          <t>Normalizar HTML sem renderizar páginas hostis na janela privilegiada.</t>
        </is>
      </c>
      <c r="E30" s="3" t="inlineStr">
        <is>
          <t>Readability / Turndown</t>
        </is>
      </c>
      <c r="F30" s="3" t="inlineStr">
        <is>
          <t>Desconstrução</t>
        </is>
      </c>
      <c r="G30" s="3" t="inlineStr">
        <is>
          <t>S23; S24; S25; S26</t>
        </is>
      </c>
      <c r="H30" s="3" t="inlineStr">
        <is>
          <t>R08; R14; R17; R30</t>
        </is>
      </c>
      <c r="I30" s="3" t="inlineStr">
        <is>
          <t>Normalizador HTML→documento Sandland e captura manual de HTML.</t>
        </is>
      </c>
      <c r="J30" s="3" t="inlineStr">
        <is>
          <t>Processar página de fixture com scripts/trackers sem executar scripts ou acessar rede.</t>
        </is>
      </c>
      <c r="K30" s="9" t="inlineStr">
        <is>
          <t>SL-S29-GATE</t>
        </is>
      </c>
      <c r="L30" s="3" t="inlineStr">
        <is>
          <t>Crítico</t>
        </is>
      </c>
      <c r="M30" s="3" t="inlineStr"/>
      <c r="N30" s="3">
        <f>COUNTIFS(Tarefas!$D$2:$D$793,A30,Tarefas!$G$2:$G$793,"&lt;&gt;Gate",Tarefas!$X$2:$X$793,"OK")</f>
        <v/>
      </c>
      <c r="O30" s="3" t="n">
        <v>10</v>
      </c>
      <c r="P30" s="3">
        <f>COUNTIFS(Tarefas!$D$2:$D$793,A30,Tarefas!$G$2:$G$793,"&lt;&gt;Gate",Tarefas!$X$2:$X$793,"DISPENSADO")</f>
        <v/>
      </c>
      <c r="Q30" s="13">
        <f>IFERROR(N30/(O30-P30),0)</f>
        <v/>
      </c>
    </row>
    <row r="31" ht="98" customHeight="1">
      <c r="A31" s="3" t="inlineStr">
        <is>
          <t>S30</t>
        </is>
      </c>
      <c r="B31" s="3" t="inlineStr">
        <is>
          <t>v0.5.0</t>
        </is>
      </c>
      <c r="C31" s="3" t="inlineStr">
        <is>
          <t>Entregar Ingest sem fricção e leitura do acervo</t>
        </is>
      </c>
      <c r="D31" s="3" t="inlineStr">
        <is>
          <t>Unificar captura, extração e estados visíveis sem exigir organização antecipada.</t>
        </is>
      </c>
      <c r="E31" s="3" t="inlineStr">
        <is>
          <t>IngestCoordinator / UI</t>
        </is>
      </c>
      <c r="F31" s="3" t="inlineStr">
        <is>
          <t>Integração</t>
        </is>
      </c>
      <c r="G31" s="3" t="inlineStr">
        <is>
          <t>S27; S28; S29</t>
        </is>
      </c>
      <c r="H31" s="3" t="inlineStr">
        <is>
          <t>R02; R14; R15; R17; R31</t>
        </is>
      </c>
      <c r="I31" s="3" t="inlineStr">
        <is>
          <t>v0.5.0: Ingest de arquivos e HTML local com leitura e promoção à Mesa.</t>
        </is>
      </c>
      <c r="J31" s="3" t="inlineStr">
        <is>
          <t>Soltar documento, continuar trabalhando e promover um recorte após extração.</t>
        </is>
      </c>
      <c r="K31" s="9" t="inlineStr">
        <is>
          <t>SL-S30-GATE</t>
        </is>
      </c>
      <c r="L31" s="3" t="inlineStr">
        <is>
          <t>Alto</t>
        </is>
      </c>
      <c r="M31" s="3" t="inlineStr"/>
      <c r="N31" s="3">
        <f>COUNTIFS(Tarefas!$D$2:$D$793,A31,Tarefas!$G$2:$G$793,"&lt;&gt;Gate",Tarefas!$X$2:$X$793,"OK")</f>
        <v/>
      </c>
      <c r="O31" s="3" t="n">
        <v>10</v>
      </c>
      <c r="P31" s="3">
        <f>COUNTIFS(Tarefas!$D$2:$D$793,A31,Tarefas!$G$2:$G$793,"&lt;&gt;Gate",Tarefas!$X$2:$X$793,"DISPENSADO")</f>
        <v/>
      </c>
      <c r="Q31" s="13">
        <f>IFERROR(N31/(O31-P31),0)</f>
        <v/>
      </c>
    </row>
    <row r="32" ht="98" customHeight="1">
      <c r="A32" s="3" t="inlineStr">
        <is>
          <t>S31</t>
        </is>
      </c>
      <c r="B32" s="3" t="inlineStr">
        <is>
          <t>v0.6.0</t>
        </is>
      </c>
      <c r="C32" s="3" t="inlineStr">
        <is>
          <t>Recortar e gerenciar LocalAI</t>
        </is>
      </c>
      <c r="D32" s="3" t="inlineStr">
        <is>
          <t>Adotar infraestrutura de inferência sem trazer outro sistema de agentes/memória.</t>
        </is>
      </c>
      <c r="E32" s="3" t="inlineStr">
        <is>
          <t>LocalAI / RuntimeProvider</t>
        </is>
      </c>
      <c r="F32" s="3" t="inlineStr">
        <is>
          <t>Desconstrução</t>
        </is>
      </c>
      <c r="G32" s="3" t="inlineStr">
        <is>
          <t>S23; S24; S25; S26; S30</t>
        </is>
      </c>
      <c r="H32" s="3" t="inlineStr">
        <is>
          <t>R03; R07; R08; R09; R27; R30</t>
        </is>
      </c>
      <c r="I32" s="3" t="inlineStr">
        <is>
          <t>Runtime LocalAI gerenciado e pacote mínimo por alvo de desenvolvimento.</t>
        </is>
      </c>
      <c r="J32" s="3" t="inlineStr">
        <is>
          <t>Iniciar runtime autorizado, chamar backend de teste e encerrar sua árvore inteira.</t>
        </is>
      </c>
      <c r="K32" s="9" t="inlineStr">
        <is>
          <t>SL-S31-GATE</t>
        </is>
      </c>
      <c r="L32" s="3" t="inlineStr">
        <is>
          <t>Crítico</t>
        </is>
      </c>
      <c r="M32" s="3" t="inlineStr"/>
      <c r="N32" s="3">
        <f>COUNTIFS(Tarefas!$D$2:$D$793,A32,Tarefas!$G$2:$G$793,"&lt;&gt;Gate",Tarefas!$X$2:$X$793,"OK")</f>
        <v/>
      </c>
      <c r="O32" s="3" t="n">
        <v>10</v>
      </c>
      <c r="P32" s="3">
        <f>COUNTIFS(Tarefas!$D$2:$D$793,A32,Tarefas!$G$2:$G$793,"&lt;&gt;Gate",Tarefas!$X$2:$X$793,"DISPENSADO")</f>
        <v/>
      </c>
      <c r="Q32" s="13">
        <f>IFERROR(N32/(O32-P32),0)</f>
        <v/>
      </c>
    </row>
    <row r="33" ht="98" customHeight="1">
      <c r="A33" s="3" t="inlineStr">
        <is>
          <t>S32</t>
        </is>
      </c>
      <c r="B33" s="3" t="inlineStr">
        <is>
          <t>v0.6.0</t>
        </is>
      </c>
      <c r="C33" s="3" t="inlineStr">
        <is>
          <t>Homologar modelos e construir ModelGateway</t>
        </is>
      </c>
      <c r="D33" s="3" t="inlineStr">
        <is>
          <t>Escolher modelos por função, idioma e hardware em vez de por nome fixado sem prova.</t>
        </is>
      </c>
      <c r="E33" s="3" t="inlineStr">
        <is>
          <t>ModelGateway / catálogo</t>
        </is>
      </c>
      <c r="F33" s="3" t="inlineStr">
        <is>
          <t>Próprio</t>
        </is>
      </c>
      <c r="G33" s="3" t="inlineStr">
        <is>
          <t>S31</t>
        </is>
      </c>
      <c r="H33" s="3" t="inlineStr">
        <is>
          <t>R07; R08; R09; R20; R27; R30</t>
        </is>
      </c>
      <c r="I33" s="3" t="inlineStr">
        <is>
          <t>Catálogo homologado, instalação verificada e gateway de geração/embeddings.</t>
        </is>
      </c>
      <c r="J33" s="3" t="inlineStr">
        <is>
          <t>Instalar pacote aprovado, detectar corrupção e obter resposta local cancelável.</t>
        </is>
      </c>
      <c r="K33" s="9" t="inlineStr">
        <is>
          <t>SL-S32-GATE</t>
        </is>
      </c>
      <c r="L33" s="3" t="inlineStr">
        <is>
          <t>Crítico</t>
        </is>
      </c>
      <c r="M33" s="3" t="inlineStr"/>
      <c r="N33" s="3">
        <f>COUNTIFS(Tarefas!$D$2:$D$793,A33,Tarefas!$G$2:$G$793,"&lt;&gt;Gate",Tarefas!$X$2:$X$793,"OK")</f>
        <v/>
      </c>
      <c r="O33" s="3" t="n">
        <v>10</v>
      </c>
      <c r="P33" s="3">
        <f>COUNTIFS(Tarefas!$D$2:$D$793,A33,Tarefas!$G$2:$G$793,"&lt;&gt;Gate",Tarefas!$X$2:$X$793,"DISPENSADO")</f>
        <v/>
      </c>
      <c r="Q33" s="13">
        <f>IFERROR(N33/(O33-P33),0)</f>
        <v/>
      </c>
    </row>
    <row r="34" ht="98" customHeight="1">
      <c r="A34" s="3" t="inlineStr">
        <is>
          <t>S33</t>
        </is>
      </c>
      <c r="B34" s="3" t="inlineStr">
        <is>
          <t>v0.6.0</t>
        </is>
      </c>
      <c r="C34" s="3" t="inlineStr">
        <is>
          <t>Implementar resumo executivo e enriquecimento gerativo</t>
        </is>
      </c>
      <c r="D34" s="3" t="inlineStr">
        <is>
          <t>Produzir o resumo de 2–5 frases sem confundir síntese com evidência original.</t>
        </is>
      </c>
      <c r="E34" s="3" t="inlineStr">
        <is>
          <t>LocalAI / sumarização</t>
        </is>
      </c>
      <c r="F34" s="3" t="inlineStr">
        <is>
          <t>Adaptação</t>
        </is>
      </c>
      <c r="G34" s="3" t="inlineStr">
        <is>
          <t>S27; S28; S30; S32</t>
        </is>
      </c>
      <c r="H34" s="3" t="inlineStr">
        <is>
          <t>R14; R19; R23; R27</t>
        </is>
      </c>
      <c r="I34" s="3" t="inlineStr">
        <is>
          <t>SummaryService com pipeline longo, proveniência e revisão humana.</t>
        </is>
      </c>
      <c r="J34" s="3" t="inlineStr">
        <is>
          <t>Resumir documento, corrigir o texto e reprocessar sem perder a correção.</t>
        </is>
      </c>
      <c r="K34" s="9" t="inlineStr">
        <is>
          <t>SL-S33-GATE</t>
        </is>
      </c>
      <c r="L34" s="3" t="inlineStr">
        <is>
          <t>Alto</t>
        </is>
      </c>
      <c r="M34" s="3" t="inlineStr"/>
      <c r="N34" s="3">
        <f>COUNTIFS(Tarefas!$D$2:$D$793,A34,Tarefas!$G$2:$G$793,"&lt;&gt;Gate",Tarefas!$X$2:$X$793,"OK")</f>
        <v/>
      </c>
      <c r="O34" s="3" t="n">
        <v>10</v>
      </c>
      <c r="P34" s="3">
        <f>COUNTIFS(Tarefas!$D$2:$D$793,A34,Tarefas!$G$2:$G$793,"&lt;&gt;Gate",Tarefas!$X$2:$X$793,"DISPENSADO")</f>
        <v/>
      </c>
      <c r="Q34" s="13">
        <f>IFERROR(N34/(O34-P34),0)</f>
        <v/>
      </c>
    </row>
    <row r="35" ht="98" customHeight="1">
      <c r="A35" s="3" t="inlineStr">
        <is>
          <t>S34</t>
        </is>
      </c>
      <c r="B35" s="3" t="inlineStr">
        <is>
          <t>v0.6.0</t>
        </is>
      </c>
      <c r="C35" s="3" t="inlineStr">
        <is>
          <t>Integrar Jev como motor de decisões</t>
        </is>
      </c>
      <c r="D35" s="3" t="inlineStr">
        <is>
          <t>Implementar decisões tipadas e egress explícito, sem tentar executar Jev no LocalAI.</t>
        </is>
      </c>
      <c r="E35" s="3" t="inlineStr">
        <is>
          <t>Jev / DecisionProvider</t>
        </is>
      </c>
      <c r="F35" s="3" t="inlineStr">
        <is>
          <t>Integração</t>
        </is>
      </c>
      <c r="G35" s="3" t="inlineStr">
        <is>
          <t>S23; S30; S32</t>
        </is>
      </c>
      <c r="H35" s="3" t="inlineStr">
        <is>
          <t>R07; R08; R18; R33; R34</t>
        </is>
      </c>
      <c r="I35" s="3" t="inlineStr">
        <is>
          <t>Adapter Jev testável offline e chamadas reais estritamente opt-in.</t>
        </is>
      </c>
      <c r="J35" s="3" t="inlineStr">
        <is>
          <t>Classificar fixture autorizada e negar a mesma chamada quando a política de rede proíbe.</t>
        </is>
      </c>
      <c r="K35" s="9" t="inlineStr">
        <is>
          <t>SL-S34-GATE</t>
        </is>
      </c>
      <c r="L35" s="3" t="inlineStr">
        <is>
          <t>Crítico</t>
        </is>
      </c>
      <c r="M35" s="3" t="inlineStr"/>
      <c r="N35" s="3">
        <f>COUNTIFS(Tarefas!$D$2:$D$793,A35,Tarefas!$G$2:$G$793,"&lt;&gt;Gate",Tarefas!$X$2:$X$793,"OK")</f>
        <v/>
      </c>
      <c r="O35" s="3" t="n">
        <v>10</v>
      </c>
      <c r="P35" s="3">
        <f>COUNTIFS(Tarefas!$D$2:$D$793,A35,Tarefas!$G$2:$G$793,"&lt;&gt;Gate",Tarefas!$X$2:$X$793,"DISPENSADO")</f>
        <v/>
      </c>
      <c r="Q35" s="13">
        <f>IFERROR(N35/(O35-P35),0)</f>
        <v/>
      </c>
    </row>
    <row r="36" ht="98" customHeight="1">
      <c r="A36" s="3" t="inlineStr">
        <is>
          <t>S35</t>
        </is>
      </c>
      <c r="B36" s="3" t="inlineStr">
        <is>
          <t>v0.6.0</t>
        </is>
      </c>
      <c r="C36" s="3" t="inlineStr">
        <is>
          <t>Implementar taxonomia e fallback de classificação</t>
        </is>
      </c>
      <c r="D36" s="3" t="inlineStr">
        <is>
          <t>Colocar políticas de classificação no produto, e não dentro de prompts opacos.</t>
        </is>
      </c>
      <c r="E36" s="3" t="inlineStr">
        <is>
          <t>TaxonomyService / Jev</t>
        </is>
      </c>
      <c r="F36" s="3" t="inlineStr">
        <is>
          <t>Próprio</t>
        </is>
      </c>
      <c r="G36" s="3" t="inlineStr">
        <is>
          <t>S32; S34</t>
        </is>
      </c>
      <c r="H36" s="3" t="inlineStr">
        <is>
          <t>R02; R07; R18; R20; R28</t>
        </is>
      </c>
      <c r="I36" s="3" t="inlineStr">
        <is>
          <t>Taxonomia canônica, revisão/aliases e fallback offline.</t>
        </is>
      </c>
      <c r="J36" s="3" t="inlineStr">
        <is>
          <t>Aplicar sugestão, desfazer e manter classificação utilizável sem a API.</t>
        </is>
      </c>
      <c r="K36" s="9" t="inlineStr">
        <is>
          <t>SL-S35-GATE</t>
        </is>
      </c>
      <c r="L36" s="3" t="inlineStr">
        <is>
          <t>Médio</t>
        </is>
      </c>
      <c r="M36" s="3" t="inlineStr"/>
      <c r="N36" s="3">
        <f>COUNTIFS(Tarefas!$D$2:$D$793,A36,Tarefas!$G$2:$G$793,"&lt;&gt;Gate",Tarefas!$X$2:$X$793,"OK")</f>
        <v/>
      </c>
      <c r="O36" s="3" t="n">
        <v>10</v>
      </c>
      <c r="P36" s="3">
        <f>COUNTIFS(Tarefas!$D$2:$D$793,A36,Tarefas!$G$2:$G$793,"&lt;&gt;Gate",Tarefas!$X$2:$X$793,"DISPENSADO")</f>
        <v/>
      </c>
      <c r="Q36" s="13">
        <f>IFERROR(N36/(O36-P36),0)</f>
        <v/>
      </c>
    </row>
    <row r="37" ht="98" customHeight="1">
      <c r="A37" s="3" t="inlineStr">
        <is>
          <t>S36</t>
        </is>
      </c>
      <c r="B37" s="3" t="inlineStr">
        <is>
          <t>v0.6.0</t>
        </is>
      </c>
      <c r="C37" s="3" t="inlineStr">
        <is>
          <t>Transcrever mídia e concluir enriquecimento do Ingest</t>
        </is>
      </c>
      <c r="D37" s="3" t="inlineStr">
        <is>
          <t>Fechar o conjunto de enriquecimentos com áudio/vídeo e estados independentes.</t>
        </is>
      </c>
      <c r="E37" s="3" t="inlineStr">
        <is>
          <t>Transcrição / Ingest integrado</t>
        </is>
      </c>
      <c r="F37" s="3" t="inlineStr">
        <is>
          <t>Integração</t>
        </is>
      </c>
      <c r="G37" s="3" t="inlineStr">
        <is>
          <t>S30; S32; S33; S35</t>
        </is>
      </c>
      <c r="H37" s="3" t="inlineStr">
        <is>
          <t>R09; R14; R16; R18; R19; R27</t>
        </is>
      </c>
      <c r="I37" s="3" t="inlineStr">
        <is>
          <t>v0.6.0 com resumo, classificação e transcrição local homologada.</t>
        </is>
      </c>
      <c r="J37" s="3" t="inlineStr">
        <is>
          <t>Importar áudio e documento, continuar editando e acompanhar cada resultado separadamente.</t>
        </is>
      </c>
      <c r="K37" s="9" t="inlineStr">
        <is>
          <t>SL-S36-GATE</t>
        </is>
      </c>
      <c r="L37" s="3" t="inlineStr">
        <is>
          <t>Alto</t>
        </is>
      </c>
      <c r="M37" s="3" t="inlineStr"/>
      <c r="N37" s="3">
        <f>COUNTIFS(Tarefas!$D$2:$D$793,A37,Tarefas!$G$2:$G$793,"&lt;&gt;Gate",Tarefas!$X$2:$X$793,"OK")</f>
        <v/>
      </c>
      <c r="O37" s="3" t="n">
        <v>10</v>
      </c>
      <c r="P37" s="3">
        <f>COUNTIFS(Tarefas!$D$2:$D$793,A37,Tarefas!$G$2:$G$793,"&lt;&gt;Gate",Tarefas!$X$2:$X$793,"DISPENSADO")</f>
        <v/>
      </c>
      <c r="Q37" s="13">
        <f>IFERROR(N37/(O37-P37),0)</f>
        <v/>
      </c>
    </row>
    <row r="38" ht="98" customHeight="1">
      <c r="A38" s="3" t="inlineStr">
        <is>
          <t>S37</t>
        </is>
      </c>
      <c r="B38" s="3" t="inlineStr">
        <is>
          <t>v0.7.0</t>
        </is>
      </c>
      <c r="C38" s="3" t="inlineStr">
        <is>
          <t>Definir contrato e bancada de busca híbrida</t>
        </is>
      </c>
      <c r="D38" s="3" t="inlineStr">
        <is>
          <t>Comparar motores sob o mesmo contrato antes de escolhê-los.</t>
        </is>
      </c>
      <c r="E38" s="3" t="inlineStr">
        <is>
          <t>SearchService / avaliação</t>
        </is>
      </c>
      <c r="F38" s="3" t="inlineStr">
        <is>
          <t>Próprio</t>
        </is>
      </c>
      <c r="G38" s="3" t="inlineStr">
        <is>
          <t>S05; S10; S22; S32; S36</t>
        </is>
      </c>
      <c r="H38" s="3" t="inlineStr">
        <is>
          <t>R02; R20; R21; R34</t>
        </is>
      </c>
      <c r="I38" s="3" t="inlineStr">
        <is>
          <t>Contrato de busca, indexação e protocolo comparativo.</t>
        </is>
      </c>
      <c r="J38" s="3" t="inlineStr">
        <is>
          <t>Mesma fixture/consulta roda em providers fake e produz ranking/evidências verificáveis.</t>
        </is>
      </c>
      <c r="K38" s="9" t="inlineStr">
        <is>
          <t>SL-S37-GATE</t>
        </is>
      </c>
      <c r="L38" s="3" t="inlineStr">
        <is>
          <t>Médio</t>
        </is>
      </c>
      <c r="M38" s="3" t="inlineStr"/>
      <c r="N38" s="3">
        <f>COUNTIFS(Tarefas!$D$2:$D$793,A38,Tarefas!$G$2:$G$793,"&lt;&gt;Gate",Tarefas!$X$2:$X$793,"OK")</f>
        <v/>
      </c>
      <c r="O38" s="3" t="n">
        <v>10</v>
      </c>
      <c r="P38" s="3">
        <f>COUNTIFS(Tarefas!$D$2:$D$793,A38,Tarefas!$G$2:$G$793,"&lt;&gt;Gate",Tarefas!$X$2:$X$793,"DISPENSADO")</f>
        <v/>
      </c>
      <c r="Q38" s="13">
        <f>IFERROR(N38/(O38-P38),0)</f>
        <v/>
      </c>
    </row>
    <row r="39" ht="98" customHeight="1">
      <c r="A39" s="3" t="inlineStr">
        <is>
          <t>S38</t>
        </is>
      </c>
      <c r="B39" s="3" t="inlineStr">
        <is>
          <t>v0.7.0</t>
        </is>
      </c>
      <c r="C39" s="3" t="inlineStr">
        <is>
          <t>Avaliar Qdrant sem incorporar servidor completo</t>
        </is>
      </c>
      <c r="D39" s="3" t="inlineStr">
        <is>
          <t>Testar Edge/Server adequados ao desktop com recorte experimental descartável.</t>
        </is>
      </c>
      <c r="E39" s="3" t="inlineStr">
        <is>
          <t>Qdrant / candidato A</t>
        </is>
      </c>
      <c r="F39" s="3" t="inlineStr">
        <is>
          <t>Spike de motor</t>
        </is>
      </c>
      <c r="G39" s="3" t="inlineStr">
        <is>
          <t>S37</t>
        </is>
      </c>
      <c r="H39" s="3" t="inlineStr">
        <is>
          <t>R01; R20; R21; R30; R33</t>
        </is>
      </c>
      <c r="I39" s="3" t="inlineStr">
        <is>
          <t>Relatório Qdrant e provider experimental.</t>
        </is>
      </c>
      <c r="J39" s="3" t="inlineStr">
        <is>
          <t>Executar conformidade e benchmarks iguais ao candidato B, com conclusão viável/inviável.</t>
        </is>
      </c>
      <c r="K39" s="9" t="inlineStr">
        <is>
          <t>SL-S38-GATE</t>
        </is>
      </c>
      <c r="L39" s="3" t="inlineStr">
        <is>
          <t>Crítico</t>
        </is>
      </c>
      <c r="M39" s="3" t="inlineStr">
        <is>
          <t>Este sprint fecha uma investigação, não aprova automaticamente Qdrant para produção. Conclusão negativa fundamentada é uma saída válida do spike.</t>
        </is>
      </c>
      <c r="N39" s="3">
        <f>COUNTIFS(Tarefas!$D$2:$D$793,A39,Tarefas!$G$2:$G$793,"&lt;&gt;Gate",Tarefas!$X$2:$X$793,"OK")</f>
        <v/>
      </c>
      <c r="O39" s="3" t="n">
        <v>10</v>
      </c>
      <c r="P39" s="3">
        <f>COUNTIFS(Tarefas!$D$2:$D$793,A39,Tarefas!$G$2:$G$793,"&lt;&gt;Gate",Tarefas!$X$2:$X$793,"DISPENSADO")</f>
        <v/>
      </c>
      <c r="Q39" s="13">
        <f>IFERROR(N39/(O39-P39),0)</f>
        <v/>
      </c>
    </row>
    <row r="40" ht="98" customHeight="1">
      <c r="A40" s="3" t="inlineStr">
        <is>
          <t>S39</t>
        </is>
      </c>
      <c r="B40" s="3" t="inlineStr">
        <is>
          <t>v0.7.0</t>
        </is>
      </c>
      <c r="C40" s="3" t="inlineStr">
        <is>
          <t>Avaliar HelixDB sob o mesmo contrato</t>
        </is>
      </c>
      <c r="D40" s="3" t="inlineStr">
        <is>
          <t>Medir integração embutida e busca/grafo sem tornar HelixDB fonte da verdade.</t>
        </is>
      </c>
      <c r="E40" s="3" t="inlineStr">
        <is>
          <t>HelixDB / candidato B</t>
        </is>
      </c>
      <c r="F40" s="3" t="inlineStr">
        <is>
          <t>Spike de motor</t>
        </is>
      </c>
      <c r="G40" s="3" t="inlineStr">
        <is>
          <t>S37</t>
        </is>
      </c>
      <c r="H40" s="3" t="inlineStr">
        <is>
          <t>R01; R20; R21; R30; R33</t>
        </is>
      </c>
      <c r="I40" s="3" t="inlineStr">
        <is>
          <t>Relatório HelixDB e provider experimental.</t>
        </is>
      </c>
      <c r="J40" s="3" t="inlineStr">
        <is>
          <t>Rodar o mesmo corpus e confrontar resultados com o candidato A.</t>
        </is>
      </c>
      <c r="K40" s="9" t="inlineStr">
        <is>
          <t>SL-S39-GATE</t>
        </is>
      </c>
      <c r="L40" s="3" t="inlineStr">
        <is>
          <t>Crítico</t>
        </is>
      </c>
      <c r="M40" s="3" t="inlineStr">
        <is>
          <t>Concluir o spike não implica adotar HelixDB. Os dois protótipos ficam em experiments e não são distribuídos juntos por padrão.</t>
        </is>
      </c>
      <c r="N40" s="3">
        <f>COUNTIFS(Tarefas!$D$2:$D$793,A40,Tarefas!$G$2:$G$793,"&lt;&gt;Gate",Tarefas!$X$2:$X$793,"OK")</f>
        <v/>
      </c>
      <c r="O40" s="3" t="n">
        <v>10</v>
      </c>
      <c r="P40" s="3">
        <f>COUNTIFS(Tarefas!$D$2:$D$793,A40,Tarefas!$G$2:$G$793,"&lt;&gt;Gate",Tarefas!$X$2:$X$793,"DISPENSADO")</f>
        <v/>
      </c>
      <c r="Q40" s="13">
        <f>IFERROR(N40/(O40-P40),0)</f>
        <v/>
      </c>
    </row>
    <row r="41" ht="98" customHeight="1">
      <c r="A41" s="3" t="inlineStr">
        <is>
          <t>S40</t>
        </is>
      </c>
      <c r="B41" s="3" t="inlineStr">
        <is>
          <t>v0.7.0</t>
        </is>
      </c>
      <c r="C41" s="3" t="inlineStr">
        <is>
          <t>Escolher e integrar um backend de busca</t>
        </is>
      </c>
      <c r="D41" s="3" t="inlineStr">
        <is>
          <t>Converter evidência comparativa em uma implementação de produto, não em dual-stack.</t>
        </is>
      </c>
      <c r="E41" s="3" t="inlineStr">
        <is>
          <t>Qdrant OU HelixDB / produção</t>
        </is>
      </c>
      <c r="F41" s="3" t="inlineStr">
        <is>
          <t>Integração</t>
        </is>
      </c>
      <c r="G41" s="3" t="inlineStr">
        <is>
          <t>S38; S39</t>
        </is>
      </c>
      <c r="H41" s="3" t="inlineStr">
        <is>
          <t>R02; R20; R21; R30; R32</t>
        </is>
      </c>
      <c r="I41" s="3" t="inlineStr">
        <is>
          <t>SearchProvider de produção e ADR de seleção.</t>
        </is>
      </c>
      <c r="J41" s="3" t="inlineStr">
        <is>
          <t>Executar busca híbrida no app com apenas o backend escolhido instalado.</t>
        </is>
      </c>
      <c r="K41" s="9" t="inlineStr">
        <is>
          <t>SL-S40-GATE</t>
        </is>
      </c>
      <c r="L41" s="3" t="inlineStr">
        <is>
          <t>Crítico</t>
        </is>
      </c>
      <c r="M41" s="3" t="inlineStr"/>
      <c r="N41" s="3">
        <f>COUNTIFS(Tarefas!$D$2:$D$793,A41,Tarefas!$G$2:$G$793,"&lt;&gt;Gate",Tarefas!$X$2:$X$793,"OK")</f>
        <v/>
      </c>
      <c r="O41" s="3" t="n">
        <v>10</v>
      </c>
      <c r="P41" s="3">
        <f>COUNTIFS(Tarefas!$D$2:$D$793,A41,Tarefas!$G$2:$G$793,"&lt;&gt;Gate",Tarefas!$X$2:$X$793,"DISPENSADO")</f>
        <v/>
      </c>
      <c r="Q41" s="13">
        <f>IFERROR(N41/(O41-P41),0)</f>
        <v/>
      </c>
    </row>
    <row r="42" ht="98" customHeight="1">
      <c r="A42" s="3" t="inlineStr">
        <is>
          <t>S41</t>
        </is>
      </c>
      <c r="B42" s="3" t="inlineStr">
        <is>
          <t>v0.7.0</t>
        </is>
      </c>
      <c r="C42" s="3" t="inlineStr">
        <is>
          <t>Entregar busca incremental no acervo e nas Peças</t>
        </is>
      </c>
      <c r="D42" s="3" t="inlineStr">
        <is>
          <t>Fazer recuperação refletir revisões, exclusões e diferentes tipos de autoria.</t>
        </is>
      </c>
      <c r="E42" s="3" t="inlineStr">
        <is>
          <t>SearchService / UI</t>
        </is>
      </c>
      <c r="F42" s="3" t="inlineStr">
        <is>
          <t>Integração</t>
        </is>
      </c>
      <c r="G42" s="3" t="inlineStr">
        <is>
          <t>S35; S40</t>
        </is>
      </c>
      <c r="H42" s="3" t="inlineStr">
        <is>
          <t>R02; R05; R13; R20; R21; R31</t>
        </is>
      </c>
      <c r="I42" s="3" t="inlineStr">
        <is>
          <t>v0.7.0 com busca híbrida e reconstrução assistida.</t>
        </is>
      </c>
      <c r="J42" s="3" t="inlineStr">
        <is>
          <t>Editar/excluir material e verificar atualização da busca sem perder as fontes canônicas.</t>
        </is>
      </c>
      <c r="K42" s="9" t="inlineStr">
        <is>
          <t>SL-S41-GATE</t>
        </is>
      </c>
      <c r="L42" s="3" t="inlineStr">
        <is>
          <t>Crítico</t>
        </is>
      </c>
      <c r="M42" s="3" t="inlineStr"/>
      <c r="N42" s="3">
        <f>COUNTIFS(Tarefas!$D$2:$D$793,A42,Tarefas!$G$2:$G$793,"&lt;&gt;Gate",Tarefas!$X$2:$X$793,"OK")</f>
        <v/>
      </c>
      <c r="O42" s="3" t="n">
        <v>10</v>
      </c>
      <c r="P42" s="3">
        <f>COUNTIFS(Tarefas!$D$2:$D$793,A42,Tarefas!$G$2:$G$793,"&lt;&gt;Gate",Tarefas!$X$2:$X$793,"DISPENSADO")</f>
        <v/>
      </c>
      <c r="Q42" s="13">
        <f>IFERROR(N42/(O42-P42),0)</f>
        <v/>
      </c>
    </row>
    <row r="43" ht="98" customHeight="1">
      <c r="A43" s="3" t="inlineStr">
        <is>
          <t>S42</t>
        </is>
      </c>
      <c r="B43" s="3" t="inlineStr">
        <is>
          <t>v0.8.0</t>
        </is>
      </c>
      <c r="C43" s="3" t="inlineStr">
        <is>
          <t>Auditar e recortar PageIndex para células</t>
        </is>
      </c>
      <c r="D43" s="3" t="inlineStr">
        <is>
          <t>Identificar código reaproveitável e pontos que precisam perder acoplamento documental/cloud.</t>
        </is>
      </c>
      <c r="E43" s="3" t="inlineStr">
        <is>
          <t>PageIndex / upstream</t>
        </is>
      </c>
      <c r="F43" s="3" t="inlineStr">
        <is>
          <t>Desconstrução</t>
        </is>
      </c>
      <c r="G43" s="3" t="inlineStr">
        <is>
          <t>S03; S23; S32; S41</t>
        </is>
      </c>
      <c r="H43" s="3" t="inlineStr">
        <is>
          <t>R03; R22; R23; R30; R33</t>
        </is>
      </c>
      <c r="I43" s="3" t="inlineStr">
        <is>
          <t>Pacote experimental de contexto e ADR do recorte PageIndex.</t>
        </is>
      </c>
      <c r="J43" s="3" t="inlineStr">
        <is>
          <t>Construir índice de Markdown de fixture sem PDF e sem store canônico do SDK.</t>
        </is>
      </c>
      <c r="K43" s="9" t="inlineStr">
        <is>
          <t>SL-S42-GATE</t>
        </is>
      </c>
      <c r="L43" s="3" t="inlineStr">
        <is>
          <t>Crítico</t>
        </is>
      </c>
      <c r="M43" s="3" t="inlineStr"/>
      <c r="N43" s="3">
        <f>COUNTIFS(Tarefas!$D$2:$D$793,A43,Tarefas!$G$2:$G$793,"&lt;&gt;Gate",Tarefas!$X$2:$X$793,"OK")</f>
        <v/>
      </c>
      <c r="O43" s="3" t="n">
        <v>10</v>
      </c>
      <c r="P43" s="3">
        <f>COUNTIFS(Tarefas!$D$2:$D$793,A43,Tarefas!$G$2:$G$793,"&lt;&gt;Gate",Tarefas!$X$2:$X$793,"DISPENSADO")</f>
        <v/>
      </c>
      <c r="Q43" s="13">
        <f>IFERROR(N43/(O43-P43),0)</f>
        <v/>
      </c>
    </row>
    <row r="44" ht="98" customHeight="1">
      <c r="A44" s="3" t="inlineStr">
        <is>
          <t>S43</t>
        </is>
      </c>
      <c r="B44" s="3" t="inlineStr">
        <is>
          <t>v0.8.0</t>
        </is>
      </c>
      <c r="C44" s="3" t="inlineStr">
        <is>
          <t>Projetar a topologia em índice estrutural estável</t>
        </is>
      </c>
      <c r="D44" s="3" t="inlineStr">
        <is>
          <t>Transformar workspace/células em hierarquia navegável sem perder o grafo.</t>
        </is>
      </c>
      <c r="E44" s="3" t="inlineStr">
        <is>
          <t>PageIndex / StructureAdapter</t>
        </is>
      </c>
      <c r="F44" s="3" t="inlineStr">
        <is>
          <t>Adaptação</t>
        </is>
      </c>
      <c r="G44" s="3" t="inlineStr">
        <is>
          <t>S17; S42</t>
        </is>
      </c>
      <c r="H44" s="3" t="inlineStr">
        <is>
          <t>R02; R04; R11; R22; R32</t>
        </is>
      </c>
      <c r="I44" s="3" t="inlineStr">
        <is>
          <t>WorkspaceSnapshot e índice estrutural por revisão.</t>
        </is>
      </c>
      <c r="J44" s="3" t="inlineStr">
        <is>
          <t>Renomear notas, mover cartões e reconstruir mantendo IDs e referências.</t>
        </is>
      </c>
      <c r="K44" s="9" t="inlineStr">
        <is>
          <t>SL-S43-GATE</t>
        </is>
      </c>
      <c r="L44" s="3" t="inlineStr">
        <is>
          <t>Alto</t>
        </is>
      </c>
      <c r="M44" s="3" t="inlineStr"/>
      <c r="N44" s="3">
        <f>COUNTIFS(Tarefas!$D$2:$D$793,A44,Tarefas!$G$2:$G$793,"&lt;&gt;Gate",Tarefas!$X$2:$X$793,"OK")</f>
        <v/>
      </c>
      <c r="O44" s="3" t="n">
        <v>10</v>
      </c>
      <c r="P44" s="3">
        <f>COUNTIFS(Tarefas!$D$2:$D$793,A44,Tarefas!$G$2:$G$793,"&lt;&gt;Gate",Tarefas!$X$2:$X$793,"DISPENSADO")</f>
        <v/>
      </c>
      <c r="Q44" s="13">
        <f>IFERROR(N44/(O44-P44),0)</f>
        <v/>
      </c>
    </row>
    <row r="45" ht="98" customHeight="1">
      <c r="A45" s="3" t="inlineStr">
        <is>
          <t>S44</t>
        </is>
      </c>
      <c r="B45" s="3" t="inlineStr">
        <is>
          <t>v0.8.0</t>
        </is>
      </c>
      <c r="C45" s="3" t="inlineStr">
        <is>
          <t>Criar ferramentas de contexto com escopo efetivo</t>
        </is>
      </c>
      <c r="D45" s="3" t="inlineStr">
        <is>
          <t>Permitir exploração pelo modelo sem lhe entregar o Vault ou a biblioteca global.</t>
        </is>
      </c>
      <c r="E45" s="3" t="inlineStr">
        <is>
          <t>ToolBroker / PageIndex</t>
        </is>
      </c>
      <c r="F45" s="3" t="inlineStr">
        <is>
          <t>Adaptação</t>
        </is>
      </c>
      <c r="G45" s="3" t="inlineStr">
        <is>
          <t>S09; S26; S43</t>
        </is>
      </c>
      <c r="H45" s="3" t="inlineStr">
        <is>
          <t>R06; R08; R22; R23</t>
        </is>
      </c>
      <c r="I45" s="3" t="inlineStr">
        <is>
          <t>Ferramentas de overview, grupo, célula, vizinhos e fonte.</t>
        </is>
      </c>
      <c r="J45" s="3" t="inlineStr">
        <is>
          <t>Modelo recebe ID fora do escopo e o broker nega mesmo com instrução em documento.</t>
        </is>
      </c>
      <c r="K45" s="9" t="inlineStr">
        <is>
          <t>SL-S44-GATE</t>
        </is>
      </c>
      <c r="L45" s="3" t="inlineStr">
        <is>
          <t>Crítico</t>
        </is>
      </c>
      <c r="M45" s="3" t="inlineStr"/>
      <c r="N45" s="3">
        <f>COUNTIFS(Tarefas!$D$2:$D$793,A45,Tarefas!$G$2:$G$793,"&lt;&gt;Gate",Tarefas!$X$2:$X$793,"OK")</f>
        <v/>
      </c>
      <c r="O45" s="3" t="n">
        <v>10</v>
      </c>
      <c r="P45" s="3">
        <f>COUNTIFS(Tarefas!$D$2:$D$793,A45,Tarefas!$G$2:$G$793,"&lt;&gt;Gate",Tarefas!$X$2:$X$793,"DISPENSADO")</f>
        <v/>
      </c>
      <c r="Q45" s="13">
        <f>IFERROR(N45/(O45-P45),0)</f>
        <v/>
      </c>
    </row>
    <row r="46" ht="98" customHeight="1">
      <c r="A46" s="3" t="inlineStr">
        <is>
          <t>S45</t>
        </is>
      </c>
      <c r="B46" s="3" t="inlineStr">
        <is>
          <t>v0.8.0</t>
        </is>
      </c>
      <c r="C46" s="3" t="inlineStr">
        <is>
          <t>Implementar summaries incrementais e Skeleton Map</t>
        </is>
      </c>
      <c r="D46" s="3" t="inlineStr">
        <is>
          <t>Usar síntese estrutural dentro do contexto dos modelos locais e com invalidação precisa.</t>
        </is>
      </c>
      <c r="E46" s="3" t="inlineStr">
        <is>
          <t>ContextService / LocalAI</t>
        </is>
      </c>
      <c r="F46" s="3" t="inlineStr">
        <is>
          <t>Próprio</t>
        </is>
      </c>
      <c r="G46" s="3" t="inlineStr">
        <is>
          <t>S33; S43; S44</t>
        </is>
      </c>
      <c r="H46" s="3" t="inlineStr">
        <is>
          <t>R09; R19; R22; R23</t>
        </is>
      </c>
      <c r="I46" s="3" t="inlineStr">
        <is>
          <t>Skeleton Map com budget e cache incremental de resumos.</t>
        </is>
      </c>
      <c r="J46" s="3" t="inlineStr">
        <is>
          <t>Editar uma célula e recomputar apenas summaries dependentes, sem perder evidências.</t>
        </is>
      </c>
      <c r="K46" s="9" t="inlineStr">
        <is>
          <t>SL-S45-GATE</t>
        </is>
      </c>
      <c r="L46" s="3" t="inlineStr">
        <is>
          <t>Alto</t>
        </is>
      </c>
      <c r="M46" s="3" t="inlineStr"/>
      <c r="N46" s="3">
        <f>COUNTIFS(Tarefas!$D$2:$D$793,A46,Tarefas!$G$2:$G$793,"&lt;&gt;Gate",Tarefas!$X$2:$X$793,"OK")</f>
        <v/>
      </c>
      <c r="O46" s="3" t="n">
        <v>10</v>
      </c>
      <c r="P46" s="3">
        <f>COUNTIFS(Tarefas!$D$2:$D$793,A46,Tarefas!$G$2:$G$793,"&lt;&gt;Gate",Tarefas!$X$2:$X$793,"DISPENSADO")</f>
        <v/>
      </c>
      <c r="Q46" s="13">
        <f>IFERROR(N46/(O46-P46),0)</f>
        <v/>
      </c>
    </row>
    <row r="47" ht="98" customHeight="1">
      <c r="A47" s="3" t="inlineStr">
        <is>
          <t>S46</t>
        </is>
      </c>
      <c r="B47" s="3" t="inlineStr">
        <is>
          <t>v0.8.0</t>
        </is>
      </c>
      <c r="C47" s="3" t="inlineStr">
        <is>
          <t>Entregar recuperação estrutural e síntese progressiva</t>
        </is>
      </c>
      <c r="D47" s="3" t="inlineStr">
        <is>
          <t>Fechar o motor da Mesa com evidências, abstenção e limites de execução.</t>
        </is>
      </c>
      <c r="E47" s="3" t="inlineStr">
        <is>
          <t>Context Engine / orquestração</t>
        </is>
      </c>
      <c r="F47" s="3" t="inlineStr">
        <is>
          <t>Integração</t>
        </is>
      </c>
      <c r="G47" s="3" t="inlineStr">
        <is>
          <t>S44; S45</t>
        </is>
      </c>
      <c r="H47" s="3" t="inlineStr">
        <is>
          <t>R07; R13; R22; R23; R27</t>
        </is>
      </c>
      <c r="I47" s="3" t="inlineStr">
        <is>
          <t>v0.8.0: consulta estrutural local sobre células e fontes.</t>
        </is>
      </c>
      <c r="J47" s="3" t="inlineStr">
        <is>
          <t>Perguntar sobre grupos que se contradizem e receber resposta apoiada nas revisões corretas.</t>
        </is>
      </c>
      <c r="K47" s="9" t="inlineStr">
        <is>
          <t>SL-S46-GATE</t>
        </is>
      </c>
      <c r="L47" s="3" t="inlineStr">
        <is>
          <t>Alto</t>
        </is>
      </c>
      <c r="M47" s="3" t="inlineStr"/>
      <c r="N47" s="3">
        <f>COUNTIFS(Tarefas!$D$2:$D$793,A47,Tarefas!$G$2:$G$793,"&lt;&gt;Gate",Tarefas!$X$2:$X$793,"OK")</f>
        <v/>
      </c>
      <c r="O47" s="3" t="n">
        <v>10</v>
      </c>
      <c r="P47" s="3">
        <f>COUNTIFS(Tarefas!$D$2:$D$793,A47,Tarefas!$G$2:$G$793,"&lt;&gt;Gate",Tarefas!$X$2:$X$793,"DISPENSADO")</f>
        <v/>
      </c>
      <c r="Q47" s="13">
        <f>IFERROR(N47/(O47-P47),0)</f>
        <v/>
      </c>
    </row>
    <row r="48" ht="98" customHeight="1">
      <c r="A48" s="3" t="inlineStr">
        <is>
          <t>S47</t>
        </is>
      </c>
      <c r="B48" s="3" t="inlineStr">
        <is>
          <t>v0.9.0</t>
        </is>
      </c>
      <c r="C48" s="3" t="inlineStr">
        <is>
          <t>Integrar SearxNG como serviço de descoberta</t>
        </is>
      </c>
      <c r="D48" s="3" t="inlineStr">
        <is>
          <t>Usar metabusca sem incorporar sua UI ou criar dependência pública implícita.</t>
        </is>
      </c>
      <c r="E48" s="3" t="inlineStr">
        <is>
          <t>SearxNG / WebDiscoveryProvider</t>
        </is>
      </c>
      <c r="F48" s="3" t="inlineStr">
        <is>
          <t>Desconstrução</t>
        </is>
      </c>
      <c r="G48" s="3" t="inlineStr">
        <is>
          <t>S23; S26; S34; S46</t>
        </is>
      </c>
      <c r="H48" s="3" t="inlineStr">
        <is>
          <t>R08; R24; R30; R33</t>
        </is>
      </c>
      <c r="I48" s="3" t="inlineStr">
        <is>
          <t>Provider SearxNG com configuração, consentimento e testes de resposta.</t>
        </is>
      </c>
      <c r="J48" s="3" t="inlineStr">
        <is>
          <t>Pesquisar por consulta autorizada e apresentar resultados sem enviar o board inteiro.</t>
        </is>
      </c>
      <c r="K48" s="9" t="inlineStr">
        <is>
          <t>SL-S47-GATE</t>
        </is>
      </c>
      <c r="L48" s="3" t="inlineStr">
        <is>
          <t>Crítico</t>
        </is>
      </c>
      <c r="M48" s="3" t="inlineStr"/>
      <c r="N48" s="3">
        <f>COUNTIFS(Tarefas!$D$2:$D$793,A48,Tarefas!$G$2:$G$793,"&lt;&gt;Gate",Tarefas!$X$2:$X$793,"OK")</f>
        <v/>
      </c>
      <c r="O48" s="3" t="n">
        <v>10</v>
      </c>
      <c r="P48" s="3">
        <f>COUNTIFS(Tarefas!$D$2:$D$793,A48,Tarefas!$G$2:$G$793,"&lt;&gt;Gate",Tarefas!$X$2:$X$793,"DISPENSADO")</f>
        <v/>
      </c>
      <c r="Q48" s="13">
        <f>IFERROR(N48/(O48-P48),0)</f>
        <v/>
      </c>
    </row>
    <row r="49" ht="98" customHeight="1">
      <c r="A49" s="3" t="inlineStr">
        <is>
          <t>S48</t>
        </is>
      </c>
      <c r="B49" s="3" t="inlineStr">
        <is>
          <t>v0.9.0</t>
        </is>
      </c>
      <c r="C49" s="3" t="inlineStr">
        <is>
          <t>Integrar Scrapling no caminho HTTP</t>
        </is>
      </c>
      <c r="D49" s="3" t="inlineStr">
        <is>
          <t>Adquirir páginas com limites e origem preservada antes de habilitar um browser.</t>
        </is>
      </c>
      <c r="E49" s="3" t="inlineStr">
        <is>
          <t>Scrapling / WebFetchProvider</t>
        </is>
      </c>
      <c r="F49" s="3" t="inlineStr">
        <is>
          <t>Desconstrução</t>
        </is>
      </c>
      <c r="G49" s="3" t="inlineStr">
        <is>
          <t>S23; S26; S29; S47</t>
        </is>
      </c>
      <c r="H49" s="3" t="inlineStr">
        <is>
          <t>R06; R08; R25; R30</t>
        </is>
      </c>
      <c r="I49" s="3" t="inlineStr">
        <is>
          <t>Worker HTTP Scrapling e política de destinos.</t>
        </is>
      </c>
      <c r="J49" s="3" t="inlineStr">
        <is>
          <t>Baixar página permitida e negar URL interna/redirect indevido em harness controlado.</t>
        </is>
      </c>
      <c r="K49" s="9" t="inlineStr">
        <is>
          <t>SL-S48-GATE</t>
        </is>
      </c>
      <c r="L49" s="3" t="inlineStr">
        <is>
          <t>Crítico</t>
        </is>
      </c>
      <c r="M49" s="3" t="inlineStr"/>
      <c r="N49" s="3">
        <f>COUNTIFS(Tarefas!$D$2:$D$793,A49,Tarefas!$G$2:$G$793,"&lt;&gt;Gate",Tarefas!$X$2:$X$793,"OK")</f>
        <v/>
      </c>
      <c r="O49" s="3" t="n">
        <v>10</v>
      </c>
      <c r="P49" s="3">
        <f>COUNTIFS(Tarefas!$D$2:$D$793,A49,Tarefas!$G$2:$G$793,"&lt;&gt;Gate",Tarefas!$X$2:$X$793,"DISPENSADO")</f>
        <v/>
      </c>
      <c r="Q49" s="13">
        <f>IFERROR(N49/(O49-P49),0)</f>
        <v/>
      </c>
    </row>
    <row r="50" ht="98" customHeight="1">
      <c r="A50" s="3" t="inlineStr">
        <is>
          <t>S49</t>
        </is>
      </c>
      <c r="B50" s="3" t="inlineStr">
        <is>
          <t>v0.9.0</t>
        </is>
      </c>
      <c r="C50" s="3" t="inlineStr">
        <is>
          <t>Adicionar aquisição dinâmica com browser confinado</t>
        </is>
      </c>
      <c r="D50" s="3" t="inlineStr">
        <is>
          <t>Habilitar páginas dinâmicas sem transformar o app em um navegador irrestrito.</t>
        </is>
      </c>
      <c r="E50" s="3" t="inlineStr">
        <is>
          <t>Scrapling / browser</t>
        </is>
      </c>
      <c r="F50" s="3" t="inlineStr">
        <is>
          <t>Adaptação</t>
        </is>
      </c>
      <c r="G50" s="3" t="inlineStr">
        <is>
          <t>S24; S25; S26; S48</t>
        </is>
      </c>
      <c r="H50" s="3" t="inlineStr">
        <is>
          <t>R01; R06; R08; R09; R25; R30</t>
        </is>
      </c>
      <c r="I50" s="3" t="inlineStr">
        <is>
          <t>Browser worker lazy com política de rede e lifecycle.</t>
        </is>
      </c>
      <c r="J50" s="3" t="inlineStr">
        <is>
          <t>Renderizar SPA de fixture, capturar DOM e encerrar todos os processos após a tarefa.</t>
        </is>
      </c>
      <c r="K50" s="9" t="inlineStr">
        <is>
          <t>SL-S49-GATE</t>
        </is>
      </c>
      <c r="L50" s="3" t="inlineStr">
        <is>
          <t>Crítico</t>
        </is>
      </c>
      <c r="M50" s="3" t="inlineStr"/>
      <c r="N50" s="3">
        <f>COUNTIFS(Tarefas!$D$2:$D$793,A50,Tarefas!$G$2:$G$793,"&lt;&gt;Gate",Tarefas!$X$2:$X$793,"OK")</f>
        <v/>
      </c>
      <c r="O50" s="3" t="n">
        <v>10</v>
      </c>
      <c r="P50" s="3">
        <f>COUNTIFS(Tarefas!$D$2:$D$793,A50,Tarefas!$G$2:$G$793,"&lt;&gt;Gate",Tarefas!$X$2:$X$793,"DISPENSADO")</f>
        <v/>
      </c>
      <c r="Q50" s="13">
        <f>IFERROR(N50/(O50-P50),0)</f>
        <v/>
      </c>
    </row>
    <row r="51" ht="98" customHeight="1">
      <c r="A51" s="3" t="inlineStr">
        <is>
          <t>S50</t>
        </is>
      </c>
      <c r="B51" s="3" t="inlineStr">
        <is>
          <t>v0.9.0</t>
        </is>
      </c>
      <c r="C51" s="3" t="inlineStr">
        <is>
          <t>Construir widget de pesquisa e snapshots</t>
        </is>
      </c>
      <c r="D51" s="3" t="inlineStr">
        <is>
          <t>Conectar descoberta à Mesa sem confundir página live, snapshot e síntese autoral.</t>
        </is>
      </c>
      <c r="E51" s="3" t="inlineStr">
        <is>
          <t>Whiteboard / pesquisa</t>
        </is>
      </c>
      <c r="F51" s="3" t="inlineStr">
        <is>
          <t>Próprio</t>
        </is>
      </c>
      <c r="G51" s="3" t="inlineStr">
        <is>
          <t>S19; S30; S47; S48; S49</t>
        </is>
      </c>
      <c r="H51" s="3" t="inlineStr">
        <is>
          <t>R11; R14; R24; R25; R26; R31</t>
        </is>
      </c>
      <c r="I51" s="3" t="inlineStr">
        <is>
          <t>Widget pesquisável, snapshots e promoção de resultados a células.</t>
        </is>
      </c>
      <c r="J51" s="3" t="inlineStr">
        <is>
          <t>Pesquisar, selecionar fontes, capturar, editar síntese e atualizar sem perda autoral.</t>
        </is>
      </c>
      <c r="K51" s="9" t="inlineStr">
        <is>
          <t>SL-S50-GATE</t>
        </is>
      </c>
      <c r="L51" s="3" t="inlineStr">
        <is>
          <t>Médio</t>
        </is>
      </c>
      <c r="M51" s="3" t="inlineStr"/>
      <c r="N51" s="3">
        <f>COUNTIFS(Tarefas!$D$2:$D$793,A51,Tarefas!$G$2:$G$793,"&lt;&gt;Gate",Tarefas!$X$2:$X$793,"OK")</f>
        <v/>
      </c>
      <c r="O51" s="3" t="n">
        <v>10</v>
      </c>
      <c r="P51" s="3">
        <f>COUNTIFS(Tarefas!$D$2:$D$793,A51,Tarefas!$G$2:$G$793,"&lt;&gt;Gate",Tarefas!$X$2:$X$793,"DISPENSADO")</f>
        <v/>
      </c>
      <c r="Q51" s="13">
        <f>IFERROR(N51/(O51-P51),0)</f>
        <v/>
      </c>
    </row>
    <row r="52" ht="98" customHeight="1">
      <c r="A52" s="3" t="inlineStr">
        <is>
          <t>S51</t>
        </is>
      </c>
      <c r="B52" s="3" t="inlineStr">
        <is>
          <t>v0.9.0</t>
        </is>
      </c>
      <c r="C52" s="3" t="inlineStr">
        <is>
          <t>Integrar copiloto editorial e BYOK</t>
        </is>
      </c>
      <c r="D52" s="3" t="inlineStr">
        <is>
          <t>Gerar propostas de escrita contextualizadas sem conceder edição autônoma irrestrita.</t>
        </is>
      </c>
      <c r="E52" s="3" t="inlineStr">
        <is>
          <t>Copiloto / GenerationProvider</t>
        </is>
      </c>
      <c r="F52" s="3" t="inlineStr">
        <is>
          <t>Integração</t>
        </is>
      </c>
      <c r="G52" s="3" t="inlineStr">
        <is>
          <t>S21; S32; S46; S50</t>
        </is>
      </c>
      <c r="H52" s="3" t="inlineStr">
        <is>
          <t>R08; R13; R23; R27; R31</t>
        </is>
      </c>
      <c r="I52" s="3" t="inlineStr">
        <is>
          <t>Copiloto local/BYOK com diff, aceite e rollback.</t>
        </is>
      </c>
      <c r="J52" s="3" t="inlineStr">
        <is>
          <t>Solicitar revisão de parágrafo, comparar proposta e aceitar somente blocos selecionados.</t>
        </is>
      </c>
      <c r="K52" s="9" t="inlineStr">
        <is>
          <t>SL-S51-GATE</t>
        </is>
      </c>
      <c r="L52" s="3" t="inlineStr">
        <is>
          <t>Crítico</t>
        </is>
      </c>
      <c r="M52" s="3" t="inlineStr"/>
      <c r="N52" s="3">
        <f>COUNTIFS(Tarefas!$D$2:$D$793,A52,Tarefas!$G$2:$G$793,"&lt;&gt;Gate",Tarefas!$X$2:$X$793,"OK")</f>
        <v/>
      </c>
      <c r="O52" s="3" t="n">
        <v>10</v>
      </c>
      <c r="P52" s="3">
        <f>COUNTIFS(Tarefas!$D$2:$D$793,A52,Tarefas!$G$2:$G$793,"&lt;&gt;Gate",Tarefas!$X$2:$X$793,"DISPENSADO")</f>
        <v/>
      </c>
      <c r="Q52" s="13">
        <f>IFERROR(N52/(O52-P52),0)</f>
        <v/>
      </c>
    </row>
    <row r="53" ht="98" customHeight="1">
      <c r="A53" s="3" t="inlineStr">
        <is>
          <t>S52</t>
        </is>
      </c>
      <c r="B53" s="3" t="inlineStr">
        <is>
          <t>v0.9.0</t>
        </is>
      </c>
      <c r="C53" s="3" t="inlineStr">
        <is>
          <t>Implementar intenções, chat global e sugestões</t>
        </is>
      </c>
      <c r="D53" s="3" t="inlineStr">
        <is>
          <t>Conectar metas ao acervo sem ampliar o escopo de agentes implicitamente.</t>
        </is>
      </c>
      <c r="E53" s="3" t="inlineStr">
        <is>
          <t>IntentService / chat</t>
        </is>
      </c>
      <c r="F53" s="3" t="inlineStr">
        <is>
          <t>Próprio</t>
        </is>
      </c>
      <c r="G53" s="3" t="inlineStr">
        <is>
          <t>S35; S41; S46; S51</t>
        </is>
      </c>
      <c r="H53" s="3" t="inlineStr">
        <is>
          <t>R08; R18; R21; R23; R28</t>
        </is>
      </c>
      <c r="I53" s="3" t="inlineStr">
        <is>
          <t>Intenções canônicas, chat contextual e sugestões revisáveis.</t>
        </is>
      </c>
      <c r="J53" s="3" t="inlineStr">
        <is>
          <t>Material novo relevante produz sugestão explicável que só cria/altera board após confirmação.</t>
        </is>
      </c>
      <c r="K53" s="9" t="inlineStr">
        <is>
          <t>SL-S52-GATE</t>
        </is>
      </c>
      <c r="L53" s="3" t="inlineStr">
        <is>
          <t>Crítico</t>
        </is>
      </c>
      <c r="M53" s="3" t="inlineStr"/>
      <c r="N53" s="3">
        <f>COUNTIFS(Tarefas!$D$2:$D$793,A53,Tarefas!$G$2:$G$793,"&lt;&gt;Gate",Tarefas!$X$2:$X$793,"OK")</f>
        <v/>
      </c>
      <c r="O53" s="3" t="n">
        <v>10</v>
      </c>
      <c r="P53" s="3">
        <f>COUNTIFS(Tarefas!$D$2:$D$793,A53,Tarefas!$G$2:$G$793,"&lt;&gt;Gate",Tarefas!$X$2:$X$793,"DISPENSADO")</f>
        <v/>
      </c>
      <c r="Q53" s="13">
        <f>IFERROR(N53/(O53-P53),0)</f>
        <v/>
      </c>
    </row>
    <row r="54" ht="98" customHeight="1">
      <c r="A54" s="3" t="inlineStr">
        <is>
          <t>S53</t>
        </is>
      </c>
      <c r="B54" s="3" t="inlineStr">
        <is>
          <t>v0.9.0</t>
        </is>
      </c>
      <c r="C54" s="3" t="inlineStr">
        <is>
          <t>Integrar o ciclo completo e congelar funcionalidades</t>
        </is>
      </c>
      <c r="D54" s="3" t="inlineStr">
        <is>
          <t>Consolidar os motores numa experiência única antes da fase de homologação.</t>
        </is>
      </c>
      <c r="E54" s="3" t="inlineStr">
        <is>
          <t>Produto / alpha integrada</t>
        </is>
      </c>
      <c r="F54" s="3" t="inlineStr">
        <is>
          <t>Integração</t>
        </is>
      </c>
      <c r="G54" s="3" t="inlineStr">
        <is>
          <t>S30; S36; S41; S46; S50; S51; S52</t>
        </is>
      </c>
      <c r="H54" s="3" t="inlineStr">
        <is>
          <t>R02; R07; R11; R13; R14; R26; R28; R34</t>
        </is>
      </c>
      <c r="I54" s="3" t="inlineStr">
        <is>
          <t>v0.9.0 alpha do ciclo analítico completo e inventário de lacunas.</t>
        </is>
      </c>
      <c r="J54" s="3" t="inlineStr">
        <is>
          <t>Capturar fonte, pesquisar, conectar, produzir Peça e comprovar origem e reconstrução.</t>
        </is>
      </c>
      <c r="K54" s="9" t="inlineStr">
        <is>
          <t>SL-S53-GATE</t>
        </is>
      </c>
      <c r="L54" s="3" t="inlineStr">
        <is>
          <t>Alto</t>
        </is>
      </c>
      <c r="M54" s="3" t="inlineStr"/>
      <c r="N54" s="3">
        <f>COUNTIFS(Tarefas!$D$2:$D$793,A54,Tarefas!$G$2:$G$793,"&lt;&gt;Gate",Tarefas!$X$2:$X$793,"OK")</f>
        <v/>
      </c>
      <c r="O54" s="3" t="n">
        <v>10</v>
      </c>
      <c r="P54" s="3">
        <f>COUNTIFS(Tarefas!$D$2:$D$793,A54,Tarefas!$G$2:$G$793,"&lt;&gt;Gate",Tarefas!$X$2:$X$793,"DISPENSADO")</f>
        <v/>
      </c>
      <c r="Q54" s="13">
        <f>IFERROR(N54/(O54-P54),0)</f>
        <v/>
      </c>
    </row>
    <row r="55" ht="98" customHeight="1">
      <c r="A55" s="3" t="inlineStr">
        <is>
          <t>S54</t>
        </is>
      </c>
      <c r="B55" s="3" t="inlineStr">
        <is>
          <t>v1.0.0-beta.1</t>
        </is>
      </c>
      <c r="C55" s="3" t="inlineStr">
        <is>
          <t>Executar hardening e auditoria adversarial</t>
        </is>
      </c>
      <c r="D55" s="3" t="inlineStr">
        <is>
          <t>Testar composição real, não apenas segurança isolada de cada adapter.</t>
        </is>
      </c>
      <c r="E55" s="3" t="inlineStr">
        <is>
          <t>Segurança / todos os motores</t>
        </is>
      </c>
      <c r="F55" s="3" t="inlineStr">
        <is>
          <t>Próprio</t>
        </is>
      </c>
      <c r="G55" s="3" t="inlineStr">
        <is>
          <t>S53</t>
        </is>
      </c>
      <c r="H55" s="3" t="inlineStr">
        <is>
          <t>R05; R06; R08; R30; R34</t>
        </is>
      </c>
      <c r="I55" s="3" t="inlineStr">
        <is>
          <t>Relatório de segurança com correções bloqueadoras concluídas.</t>
        </is>
      </c>
      <c r="J55" s="3" t="inlineStr">
        <is>
          <t>Ataques de arquivo, web, prompt e processo falham sem afetar outros workspaces.</t>
        </is>
      </c>
      <c r="K55" s="9" t="inlineStr">
        <is>
          <t>SL-S54-GATE</t>
        </is>
      </c>
      <c r="L55" s="3" t="inlineStr">
        <is>
          <t>Crítico</t>
        </is>
      </c>
      <c r="M55" s="3" t="inlineStr"/>
      <c r="N55" s="3">
        <f>COUNTIFS(Tarefas!$D$2:$D$793,A55,Tarefas!$G$2:$G$793,"&lt;&gt;Gate",Tarefas!$X$2:$X$793,"OK")</f>
        <v/>
      </c>
      <c r="O55" s="3" t="n">
        <v>10</v>
      </c>
      <c r="P55" s="3">
        <f>COUNTIFS(Tarefas!$D$2:$D$793,A55,Tarefas!$G$2:$G$793,"&lt;&gt;Gate",Tarefas!$X$2:$X$793,"DISPENSADO")</f>
        <v/>
      </c>
      <c r="Q55" s="13">
        <f>IFERROR(N55/(O55-P55),0)</f>
        <v/>
      </c>
    </row>
    <row r="56" ht="98" customHeight="1">
      <c r="A56" s="3" t="inlineStr">
        <is>
          <t>S55</t>
        </is>
      </c>
      <c r="B56" s="3" t="inlineStr">
        <is>
          <t>v1.0.0-beta.1</t>
        </is>
      </c>
      <c r="C56" s="3" t="inlineStr">
        <is>
          <t>Homologar performance e degradação por hardware</t>
        </is>
      </c>
      <c r="D56" s="3" t="inlineStr">
        <is>
          <t>Medir os budgets do RFC no aplicativo completo e corrigir gargalos com evidência.</t>
        </is>
      </c>
      <c r="E56" s="3" t="inlineStr">
        <is>
          <t>ResourceSupervisor / benchmarks</t>
        </is>
      </c>
      <c r="F56" s="3" t="inlineStr">
        <is>
          <t>Próprio</t>
        </is>
      </c>
      <c r="G56" s="3" t="inlineStr">
        <is>
          <t>S54</t>
        </is>
      </c>
      <c r="H56" s="3" t="inlineStr">
        <is>
          <t>R09; R12; R20; R23; R34</t>
        </is>
      </c>
      <c r="I56" s="3" t="inlineStr">
        <is>
          <t>Perfis de desempenho homologados e política de degradação.</t>
        </is>
      </c>
      <c r="J56" s="3" t="inlineStr">
        <is>
          <t>Repetir benchmarks com dados brutos e observar retorno real a idle após tarefas pesadas.</t>
        </is>
      </c>
      <c r="K56" s="9" t="inlineStr">
        <is>
          <t>SL-S55-GATE</t>
        </is>
      </c>
      <c r="L56" s="3" t="inlineStr">
        <is>
          <t>Alto</t>
        </is>
      </c>
      <c r="M56" s="3" t="inlineStr"/>
      <c r="N56" s="3">
        <f>COUNTIFS(Tarefas!$D$2:$D$793,A56,Tarefas!$G$2:$G$793,"&lt;&gt;Gate",Tarefas!$X$2:$X$793,"OK")</f>
        <v/>
      </c>
      <c r="O56" s="3" t="n">
        <v>10</v>
      </c>
      <c r="P56" s="3">
        <f>COUNTIFS(Tarefas!$D$2:$D$793,A56,Tarefas!$G$2:$G$793,"&lt;&gt;Gate",Tarefas!$X$2:$X$793,"DISPENSADO")</f>
        <v/>
      </c>
      <c r="Q56" s="13">
        <f>IFERROR(N56/(O56-P56),0)</f>
        <v/>
      </c>
    </row>
    <row r="57" ht="98" customHeight="1">
      <c r="A57" s="3" t="inlineStr">
        <is>
          <t>S56</t>
        </is>
      </c>
      <c r="B57" s="3" t="inlineStr">
        <is>
          <t>v1.0.0-beta.1</t>
        </is>
      </c>
      <c r="C57" s="3" t="inlineStr">
        <is>
          <t>Empacotar e validar Linux e Windows</t>
        </is>
      </c>
      <c r="D57" s="3" t="inlineStr">
        <is>
          <t>Produzir pacotes instaláveis sem ambientes de desenvolvimento globais.</t>
        </is>
      </c>
      <c r="E57" s="3" t="inlineStr">
        <is>
          <t>Distribuição / Linux / Windows</t>
        </is>
      </c>
      <c r="F57" s="3" t="inlineStr">
        <is>
          <t>Integração</t>
        </is>
      </c>
      <c r="G57" s="3" t="inlineStr">
        <is>
          <t>S54; S55</t>
        </is>
      </c>
      <c r="H57" s="3" t="inlineStr">
        <is>
          <t>R01; R06; R09; R30; R33</t>
        </is>
      </c>
      <c r="I57" s="3" t="inlineStr">
        <is>
          <t>Pacotes Linux x86_64/aarch64 e Windows x86_64 com capacidades declaradas.</t>
        </is>
      </c>
      <c r="J57" s="3" t="inlineStr">
        <is>
          <t>Instalar em máquina limpa, provisionar perfil permitido, usar e remover o app.</t>
        </is>
      </c>
      <c r="K57" s="9" t="inlineStr">
        <is>
          <t>SL-S56-GATE</t>
        </is>
      </c>
      <c r="L57" s="3" t="inlineStr">
        <is>
          <t>Crítico</t>
        </is>
      </c>
      <c r="M57" s="3" t="inlineStr"/>
      <c r="N57" s="3">
        <f>COUNTIFS(Tarefas!$D$2:$D$793,A57,Tarefas!$G$2:$G$793,"&lt;&gt;Gate",Tarefas!$X$2:$X$793,"OK")</f>
        <v/>
      </c>
      <c r="O57" s="3" t="n">
        <v>10</v>
      </c>
      <c r="P57" s="3">
        <f>COUNTIFS(Tarefas!$D$2:$D$793,A57,Tarefas!$G$2:$G$793,"&lt;&gt;Gate",Tarefas!$X$2:$X$793,"DISPENSADO")</f>
        <v/>
      </c>
      <c r="Q57" s="13">
        <f>IFERROR(N57/(O57-P57),0)</f>
        <v/>
      </c>
    </row>
    <row r="58" ht="98" customHeight="1">
      <c r="A58" s="3" t="inlineStr">
        <is>
          <t>S57</t>
        </is>
      </c>
      <c r="B58" s="3" t="inlineStr">
        <is>
          <t>v1.0.0-beta.1</t>
        </is>
      </c>
      <c r="C58" s="3" t="inlineStr">
        <is>
          <t>Empacotar macOS e fechar beta multiplataforma</t>
        </is>
      </c>
      <c r="D58" s="3" t="inlineStr">
        <is>
          <t>Validar Apple Silicon/Intel e consolidar a matriz real de capacidades.</t>
        </is>
      </c>
      <c r="E58" s="3" t="inlineStr">
        <is>
          <t>Distribuição / macOS</t>
        </is>
      </c>
      <c r="F58" s="3" t="inlineStr">
        <is>
          <t>Integração</t>
        </is>
      </c>
      <c r="G58" s="3" t="inlineStr">
        <is>
          <t>S54; S55; S56</t>
        </is>
      </c>
      <c r="H58" s="3" t="inlineStr">
        <is>
          <t>R01; R06; R09; R30; R33</t>
        </is>
      </c>
      <c r="I58" s="3" t="inlineStr">
        <is>
          <t>v1.0.0-beta.1 para os cinco alvos previstos.</t>
        </is>
      </c>
      <c r="J58" s="3" t="inlineStr">
        <is>
          <t>Instalação limpa em macOS preserva helpers, permissões, modelos e dados do usuário.</t>
        </is>
      </c>
      <c r="K58" s="9" t="inlineStr">
        <is>
          <t>SL-S57-GATE</t>
        </is>
      </c>
      <c r="L58" s="3" t="inlineStr">
        <is>
          <t>Crítico</t>
        </is>
      </c>
      <c r="M58" s="3" t="inlineStr"/>
      <c r="N58" s="3">
        <f>COUNTIFS(Tarefas!$D$2:$D$793,A58,Tarefas!$G$2:$G$793,"&lt;&gt;Gate",Tarefas!$X$2:$X$793,"OK")</f>
        <v/>
      </c>
      <c r="O58" s="3" t="n">
        <v>10</v>
      </c>
      <c r="P58" s="3">
        <f>COUNTIFS(Tarefas!$D$2:$D$793,A58,Tarefas!$G$2:$G$793,"&lt;&gt;Gate",Tarefas!$X$2:$X$793,"DISPENSADO")</f>
        <v/>
      </c>
      <c r="Q58" s="13">
        <f>IFERROR(N58/(O58-P58),0)</f>
        <v/>
      </c>
    </row>
    <row r="59" ht="98" customHeight="1">
      <c r="A59" s="3" t="inlineStr">
        <is>
          <t>S58</t>
        </is>
      </c>
      <c r="B59" s="3" t="inlineStr">
        <is>
          <t>v1.0.0-rc.1</t>
        </is>
      </c>
      <c r="C59" s="3" t="inlineStr">
        <is>
          <t>Implementar migrações, backup e Git opcional</t>
        </is>
      </c>
      <c r="D59" s="3" t="inlineStr">
        <is>
          <t>Tornar evolução e cópia dos dados seguras antes do primeiro stable.</t>
        </is>
      </c>
      <c r="E59" s="3" t="inlineStr">
        <is>
          <t>Compatibilidade / portabilidade</t>
        </is>
      </c>
      <c r="F59" s="3" t="inlineStr">
        <is>
          <t>Próprio</t>
        </is>
      </c>
      <c r="G59" s="3" t="inlineStr">
        <is>
          <t>S22; S57</t>
        </is>
      </c>
      <c r="H59" s="3" t="inlineStr">
        <is>
          <t>R02; R05; R29; R32; R37</t>
        </is>
      </c>
      <c r="I59" s="3" t="inlineStr">
        <is>
          <t>Migração transacional, backup restaurável e integração Git consentida.</t>
        </is>
      </c>
      <c r="J59" s="3" t="inlineStr">
        <is>
          <t>Migrar cópia de Vault antigo, restaurar backup e fazer commit/push apenas por ação autorizada.</t>
        </is>
      </c>
      <c r="K59" s="9" t="inlineStr">
        <is>
          <t>SL-S58-GATE</t>
        </is>
      </c>
      <c r="L59" s="3" t="inlineStr">
        <is>
          <t>Crítico</t>
        </is>
      </c>
      <c r="M59" s="3" t="inlineStr"/>
      <c r="N59" s="3">
        <f>COUNTIFS(Tarefas!$D$2:$D$793,A59,Tarefas!$G$2:$G$793,"&lt;&gt;Gate",Tarefas!$X$2:$X$793,"OK")</f>
        <v/>
      </c>
      <c r="O59" s="3" t="n">
        <v>10</v>
      </c>
      <c r="P59" s="3">
        <f>COUNTIFS(Tarefas!$D$2:$D$793,A59,Tarefas!$G$2:$G$793,"&lt;&gt;Gate",Tarefas!$X$2:$X$793,"DISPENSADO")</f>
        <v/>
      </c>
      <c r="Q59" s="13">
        <f>IFERROR(N59/(O59-P59),0)</f>
        <v/>
      </c>
    </row>
    <row r="60" ht="98" customHeight="1">
      <c r="A60" s="3" t="inlineStr">
        <is>
          <t>S59</t>
        </is>
      </c>
      <c r="B60" s="3" t="inlineStr">
        <is>
          <t>v1.0.0-rc.1</t>
        </is>
      </c>
      <c r="C60" s="3" t="inlineStr">
        <is>
          <t>Concluir acessibilidade, documentação e piloto</t>
        </is>
      </c>
      <c r="D60" s="3" t="inlineStr">
        <is>
          <t>Validar que o produto pode ser utilizado e mantido sem conhecimento de seus motores internos.</t>
        </is>
      </c>
      <c r="E60" s="3" t="inlineStr">
        <is>
          <t>Produto / qualidade de uso</t>
        </is>
      </c>
      <c r="F60" s="3" t="inlineStr">
        <is>
          <t>Próprio</t>
        </is>
      </c>
      <c r="G60" s="3" t="inlineStr">
        <is>
          <t>S57; S58</t>
        </is>
      </c>
      <c r="H60" s="3" t="inlineStr">
        <is>
          <t>R01; R07; R08; R31; R33; R34</t>
        </is>
      </c>
      <c r="I60" s="3" t="inlineStr">
        <is>
          <t>v1.0.0-rc.1 com documentação e evidências de piloto.</t>
        </is>
      </c>
      <c r="J60" s="3" t="inlineStr">
        <is>
          <t>Usuário novo instala, captura, produz Peça e recupera erro seguindo somente os guias.</t>
        </is>
      </c>
      <c r="K60" s="9" t="inlineStr">
        <is>
          <t>SL-S59-GATE</t>
        </is>
      </c>
      <c r="L60" s="3" t="inlineStr">
        <is>
          <t>Crítico</t>
        </is>
      </c>
      <c r="M60" s="3" t="inlineStr"/>
      <c r="N60" s="3">
        <f>COUNTIFS(Tarefas!$D$2:$D$793,A60,Tarefas!$G$2:$G$793,"&lt;&gt;Gate",Tarefas!$X$2:$X$793,"OK")</f>
        <v/>
      </c>
      <c r="O60" s="3" t="n">
        <v>10</v>
      </c>
      <c r="P60" s="3">
        <f>COUNTIFS(Tarefas!$D$2:$D$793,A60,Tarefas!$G$2:$G$793,"&lt;&gt;Gate",Tarefas!$X$2:$X$793,"DISPENSADO")</f>
        <v/>
      </c>
      <c r="Q60" s="13">
        <f>IFERROR(N60/(O60-P60),0)</f>
        <v/>
      </c>
    </row>
    <row r="61" ht="98" customHeight="1">
      <c r="A61" s="3" t="inlineStr">
        <is>
          <t>S60</t>
        </is>
      </c>
      <c r="B61" s="3" t="inlineStr">
        <is>
          <t>v1.0.0</t>
        </is>
      </c>
      <c r="C61" s="3" t="inlineStr">
        <is>
          <t>Publicar Sandland v1.0.0</t>
        </is>
      </c>
      <c r="D61" s="3" t="inlineStr">
        <is>
          <t>Promover a stable somente o escopo aprovado e demonstrado.</t>
        </is>
      </c>
      <c r="E61" s="3" t="inlineStr">
        <is>
          <t>Release / escopo integral</t>
        </is>
      </c>
      <c r="F61" s="3" t="inlineStr">
        <is>
          <t>Próprio</t>
        </is>
      </c>
      <c r="G61" s="3" t="inlineStr">
        <is>
          <t>S54; S55; S56; S57; S58; S59</t>
        </is>
      </c>
      <c r="H61" s="3" t="inlineStr">
        <is>
          <t>R01; R02; R05; R06; R07; R09; R33; R34</t>
        </is>
      </c>
      <c r="I61" s="3" t="inlineStr">
        <is>
          <t>v1.0.0 estável, conjunto de evidências e política de manutenção.</t>
        </is>
      </c>
      <c r="J61" s="3" t="inlineStr">
        <is>
          <t>Instalar stable limpa, restaurar Vault de referência e concluir ciclo completo sem perda de dados.</t>
        </is>
      </c>
      <c r="K61" s="9" t="inlineStr">
        <is>
          <t>SL-S60-GATE</t>
        </is>
      </c>
      <c r="L61" s="3" t="inlineStr">
        <is>
          <t>Crítico</t>
        </is>
      </c>
      <c r="M61" s="3" t="inlineStr"/>
      <c r="N61" s="3">
        <f>COUNTIFS(Tarefas!$D$2:$D$793,A61,Tarefas!$G$2:$G$793,"&lt;&gt;Gate",Tarefas!$X$2:$X$793,"OK")</f>
        <v/>
      </c>
      <c r="O61" s="3" t="n">
        <v>10</v>
      </c>
      <c r="P61" s="3">
        <f>COUNTIFS(Tarefas!$D$2:$D$793,A61,Tarefas!$G$2:$G$793,"&lt;&gt;Gate",Tarefas!$X$2:$X$793,"DISPENSADO")</f>
        <v/>
      </c>
      <c r="Q61" s="13">
        <f>IFERROR(N61/(O61-P61),0)</f>
        <v/>
      </c>
    </row>
    <row r="62" ht="98" customHeight="1">
      <c r="A62" s="3" t="inlineStr">
        <is>
          <t>S61</t>
        </is>
      </c>
      <c r="B62" s="3" t="inlineStr">
        <is>
          <t>v1.1.0</t>
        </is>
      </c>
      <c r="C62" s="3" t="inlineStr">
        <is>
          <t>Estabilizar uso real e ratificar evolução</t>
        </is>
      </c>
      <c r="D62" s="3" t="inlineStr">
        <is>
          <t>Priorizar confiabilidade observada antes de ampliar escopo.</t>
        </is>
      </c>
      <c r="E62" s="3" t="inlineStr">
        <is>
          <t>Manutenção / produto</t>
        </is>
      </c>
      <c r="F62" s="3" t="inlineStr">
        <is>
          <t>Próprio</t>
        </is>
      </c>
      <c r="G62" s="3" t="inlineStr">
        <is>
          <t>S60</t>
        </is>
      </c>
      <c r="H62" s="3" t="inlineStr">
        <is>
          <t>R05; R09; R31; R34; R36</t>
        </is>
      </c>
      <c r="I62" s="3" t="inlineStr">
        <is>
          <t>Backlog de estabilização e ADR do pós-v1.0.</t>
        </is>
      </c>
      <c r="J62" s="3" t="inlineStr">
        <is>
          <t>Reproduzir relato real/ensaio de uso e vincular correção a teste sem coletar dados privados.</t>
        </is>
      </c>
      <c r="K62" s="9" t="inlineStr">
        <is>
          <t>SL-S61-GATE</t>
        </is>
      </c>
      <c r="L62" s="3" t="inlineStr">
        <is>
          <t>Crítico</t>
        </is>
      </c>
      <c r="M62" s="3" t="inlineStr"/>
      <c r="N62" s="3">
        <f>COUNTIFS(Tarefas!$D$2:$D$793,A62,Tarefas!$G$2:$G$793,"&lt;&gt;Gate",Tarefas!$X$2:$X$793,"OK")</f>
        <v/>
      </c>
      <c r="O62" s="3" t="n">
        <v>10</v>
      </c>
      <c r="P62" s="3">
        <f>COUNTIFS(Tarefas!$D$2:$D$793,A62,Tarefas!$G$2:$G$793,"&lt;&gt;Gate",Tarefas!$X$2:$X$793,"DISPENSADO")</f>
        <v/>
      </c>
      <c r="Q62" s="13">
        <f>IFERROR(N62/(O62-P62),0)</f>
        <v/>
      </c>
    </row>
    <row r="63" ht="98" customHeight="1">
      <c r="A63" s="3" t="inlineStr">
        <is>
          <t>S62</t>
        </is>
      </c>
      <c r="B63" s="3" t="inlineStr">
        <is>
          <t>v1.1.0</t>
        </is>
      </c>
      <c r="C63" s="3" t="inlineStr">
        <is>
          <t>Aprimorar recuperação assistida e diagnóstico</t>
        </is>
      </c>
      <c r="D63" s="3" t="inlineStr">
        <is>
          <t>Tornar falhas recuperáveis pelo usuário sem depender do mantenedor ou de nuvem.</t>
        </is>
      </c>
      <c r="E63" s="3" t="inlineStr">
        <is>
          <t>Recovery / observabilidade local</t>
        </is>
      </c>
      <c r="F63" s="3" t="inlineStr">
        <is>
          <t>Próprio</t>
        </is>
      </c>
      <c r="G63" s="3" t="inlineStr">
        <is>
          <t>S61</t>
        </is>
      </c>
      <c r="H63" s="3" t="inlineStr">
        <is>
          <t>R02; R05; R08; R29; R31; R37</t>
        </is>
      </c>
      <c r="I63" s="3" t="inlineStr">
        <is>
          <t>Assistente de diagnóstico/reparo com preview e reversão.</t>
        </is>
      </c>
      <c r="J63" s="3" t="inlineStr">
        <is>
          <t>Diagnosticar índice corrompido e conflito, reparar somente o que foi autorizado.</t>
        </is>
      </c>
      <c r="K63" s="9" t="inlineStr">
        <is>
          <t>SL-S62-GATE</t>
        </is>
      </c>
      <c r="L63" s="3" t="inlineStr">
        <is>
          <t>Crítico</t>
        </is>
      </c>
      <c r="M63" s="3" t="inlineStr"/>
      <c r="N63" s="3">
        <f>COUNTIFS(Tarefas!$D$2:$D$793,A63,Tarefas!$G$2:$G$793,"&lt;&gt;Gate",Tarefas!$X$2:$X$793,"OK")</f>
        <v/>
      </c>
      <c r="O63" s="3" t="n">
        <v>10</v>
      </c>
      <c r="P63" s="3">
        <f>COUNTIFS(Tarefas!$D$2:$D$793,A63,Tarefas!$G$2:$G$793,"&lt;&gt;Gate",Tarefas!$X$2:$X$793,"DISPENSADO")</f>
        <v/>
      </c>
      <c r="Q63" s="13">
        <f>IFERROR(N63/(O63-P63),0)</f>
        <v/>
      </c>
    </row>
    <row r="64" ht="98" customHeight="1">
      <c r="A64" s="3" t="inlineStr">
        <is>
          <t>S63</t>
        </is>
      </c>
      <c r="B64" s="3" t="inlineStr">
        <is>
          <t>v1.1.0</t>
        </is>
      </c>
      <c r="C64" s="3" t="inlineStr">
        <is>
          <t>Atualizar motores com segurança e publicar v1.1</t>
        </is>
      </c>
      <c r="D64" s="3" t="inlineStr">
        <is>
          <t>Provar que a composição pode ser mantida sem virar um fork monolítico congelado.</t>
        </is>
      </c>
      <c r="E64" s="3" t="inlineStr">
        <is>
          <t>Upstreams / estabilidade</t>
        </is>
      </c>
      <c r="F64" s="3" t="inlineStr">
        <is>
          <t>Integração</t>
        </is>
      </c>
      <c r="G64" s="3" t="inlineStr">
        <is>
          <t>S61; S62</t>
        </is>
      </c>
      <c r="H64" s="3" t="inlineStr">
        <is>
          <t>R01; R30; R32; R33; R34</t>
        </is>
      </c>
      <c r="I64" s="3" t="inlineStr">
        <is>
          <t>v1.1.0 e primeiro ciclo completo de manutenção upstream.</t>
        </is>
      </c>
      <c r="J64" s="3" t="inlineStr">
        <is>
          <t>Atualizar recorte necessário, comparar resultados e reverter se um contrato quebrar.</t>
        </is>
      </c>
      <c r="K64" s="9" t="inlineStr">
        <is>
          <t>SL-S63-GATE</t>
        </is>
      </c>
      <c r="L64" s="3" t="inlineStr">
        <is>
          <t>Crítico</t>
        </is>
      </c>
      <c r="M64" s="3" t="inlineStr"/>
      <c r="N64" s="3">
        <f>COUNTIFS(Tarefas!$D$2:$D$793,A64,Tarefas!$G$2:$G$793,"&lt;&gt;Gate",Tarefas!$X$2:$X$793,"OK")</f>
        <v/>
      </c>
      <c r="O64" s="3" t="n">
        <v>10</v>
      </c>
      <c r="P64" s="3">
        <f>COUNTIFS(Tarefas!$D$2:$D$793,A64,Tarefas!$G$2:$G$793,"&lt;&gt;Gate",Tarefas!$X$2:$X$793,"DISPENSADO")</f>
        <v/>
      </c>
      <c r="Q64" s="13">
        <f>IFERROR(N64/(O64-P64),0)</f>
        <v/>
      </c>
    </row>
    <row r="65" ht="98" customHeight="1">
      <c r="A65" s="3" t="inlineStr">
        <is>
          <t>S64</t>
        </is>
      </c>
      <c r="B65" s="3" t="inlineStr">
        <is>
          <t>v1.2.0</t>
        </is>
      </c>
      <c r="C65" s="3" t="inlineStr">
        <is>
          <t>Escalar busca, ingestão e contexto com evidência</t>
        </is>
      </c>
      <c r="D65" s="3" t="inlineStr">
        <is>
          <t>Aumentar capacidade onde as medições mostram necessidade, sem reinventar motores.</t>
        </is>
      </c>
      <c r="E65" s="3" t="inlineStr">
        <is>
          <t>Escala / pipelines</t>
        </is>
      </c>
      <c r="F65" s="3" t="inlineStr">
        <is>
          <t>Evolução proposta</t>
        </is>
      </c>
      <c r="G65" s="3" t="inlineStr">
        <is>
          <t>S61; S63</t>
        </is>
      </c>
      <c r="H65" s="3" t="inlineStr">
        <is>
          <t>R09; R12; R14; R21; R22; R36</t>
        </is>
      </c>
      <c r="I65" s="3" t="inlineStr">
        <is>
          <t>Pipelines incrementais e budgets validados no corpus ampliado aprovado.</t>
        </is>
      </c>
      <c r="J65" s="3" t="inlineStr">
        <is>
          <t>Processar lote maior mantendo autoria responsiva e resultados/revisões corretos.</t>
        </is>
      </c>
      <c r="K65" s="9" t="inlineStr">
        <is>
          <t>SL-S64-GATE</t>
        </is>
      </c>
      <c r="L65" s="3" t="inlineStr">
        <is>
          <t>Alto</t>
        </is>
      </c>
      <c r="M65" s="3" t="inlineStr">
        <is>
          <t>Proposta de evolução: executar somente após ratificação ADR-017. Não adia correções de integridade/segurança pendentes.</t>
        </is>
      </c>
      <c r="N65" s="3">
        <f>COUNTIFS(Tarefas!$D$2:$D$793,A65,Tarefas!$G$2:$G$793,"&lt;&gt;Gate",Tarefas!$X$2:$X$793,"OK")</f>
        <v/>
      </c>
      <c r="O65" s="3" t="n">
        <v>10</v>
      </c>
      <c r="P65" s="3">
        <f>COUNTIFS(Tarefas!$D$2:$D$793,A65,Tarefas!$G$2:$G$793,"&lt;&gt;Gate",Tarefas!$X$2:$X$793,"DISPENSADO")</f>
        <v/>
      </c>
      <c r="Q65" s="13">
        <f>IFERROR(N65/(O65-P65),0)</f>
        <v/>
      </c>
    </row>
    <row r="66" ht="98" customHeight="1">
      <c r="A66" s="3" t="inlineStr">
        <is>
          <t>S65</t>
        </is>
      </c>
      <c r="B66" s="3" t="inlineStr">
        <is>
          <t>v1.2.0</t>
        </is>
      </c>
      <c r="C66" s="3" t="inlineStr">
        <is>
          <t>Consolidar pacotes offline e perfis portáveis</t>
        </is>
      </c>
      <c r="D66" s="3" t="inlineStr">
        <is>
          <t>Facilitar provisionamento sem rede e sem dependências técnicas instaladas pelo usuário.</t>
        </is>
      </c>
      <c r="E66" s="3" t="inlineStr">
        <is>
          <t>Distribuição offline / modelos</t>
        </is>
      </c>
      <c r="F66" s="3" t="inlineStr">
        <is>
          <t>Evolução proposta</t>
        </is>
      </c>
      <c r="G66" s="3" t="inlineStr">
        <is>
          <t>S32; S57; S63; S64</t>
        </is>
      </c>
      <c r="H66" s="3" t="inlineStr">
        <is>
          <t>R01; R07; R09; R30; R36</t>
        </is>
      </c>
      <c r="I66" s="3" t="inlineStr">
        <is>
          <t>Criador/importador de pacotes de capacidade e perfis por hardware.</t>
        </is>
      </c>
      <c r="J66" s="3" t="inlineStr">
        <is>
          <t>Levar pacote permitido para outra máquina compatível e usar IA local sem conectividade.</t>
        </is>
      </c>
      <c r="K66" s="9" t="inlineStr">
        <is>
          <t>SL-S65-GATE</t>
        </is>
      </c>
      <c r="L66" s="3" t="inlineStr">
        <is>
          <t>Crítico</t>
        </is>
      </c>
      <c r="M66" s="3" t="inlineStr">
        <is>
          <t>Proposta de evolução aprovada em ADR-017; não supõe que todas as licenças de pesos permitem redistribuição.</t>
        </is>
      </c>
      <c r="N66" s="3">
        <f>COUNTIFS(Tarefas!$D$2:$D$793,A66,Tarefas!$G$2:$G$793,"&lt;&gt;Gate",Tarefas!$X$2:$X$793,"OK")</f>
        <v/>
      </c>
      <c r="O66" s="3" t="n">
        <v>10</v>
      </c>
      <c r="P66" s="3">
        <f>COUNTIFS(Tarefas!$D$2:$D$793,A66,Tarefas!$G$2:$G$793,"&lt;&gt;Gate",Tarefas!$X$2:$X$793,"DISPENSADO")</f>
        <v/>
      </c>
      <c r="Q66" s="13">
        <f>IFERROR(N66/(O66-P66),0)</f>
        <v/>
      </c>
    </row>
    <row r="67" ht="98" customHeight="1">
      <c r="A67" s="3" t="inlineStr">
        <is>
          <t>S66</t>
        </is>
      </c>
      <c r="B67" s="3" t="inlineStr">
        <is>
          <t>v1.2.0</t>
        </is>
      </c>
      <c r="C67" s="3" t="inlineStr">
        <is>
          <t>Ampliar interoperabilidade e publicar v1.2</t>
        </is>
      </c>
      <c r="D67" s="3" t="inlineStr">
        <is>
          <t>Preservar utilidade do conhecimento fora do Sandland e preparar contratos estáveis.</t>
        </is>
      </c>
      <c r="E67" s="3" t="inlineStr">
        <is>
          <t>Formatos abertos / exportação</t>
        </is>
      </c>
      <c r="F67" s="3" t="inlineStr">
        <is>
          <t>Evolução proposta</t>
        </is>
      </c>
      <c r="G67" s="3" t="inlineStr">
        <is>
          <t>S58; S63; S64; S65</t>
        </is>
      </c>
      <c r="H67" s="3" t="inlineStr">
        <is>
          <t>R02; R04; R13; R29; R32; R36</t>
        </is>
      </c>
      <c r="I67" s="3" t="inlineStr">
        <is>
          <t>v1.2.0 com interoperabilidade ampliada explicitamente aprovada.</t>
        </is>
      </c>
      <c r="J67" s="3" t="inlineStr">
        <is>
          <t>Exportar mesa/Peça e importar cópia sem perder os campos declarados suportados.</t>
        </is>
      </c>
      <c r="K67" s="9" t="inlineStr">
        <is>
          <t>SL-S66-GATE</t>
        </is>
      </c>
      <c r="L67" s="3" t="inlineStr">
        <is>
          <t>Alto</t>
        </is>
      </c>
      <c r="M67" s="3" t="inlineStr">
        <is>
          <t>Novos formatos/exportações dependem de aprovação em ADR-017. A versão do formato do Vault é independente da versão do app.</t>
        </is>
      </c>
      <c r="N67" s="3">
        <f>COUNTIFS(Tarefas!$D$2:$D$793,A67,Tarefas!$G$2:$G$793,"&lt;&gt;Gate",Tarefas!$X$2:$X$793,"OK")</f>
        <v/>
      </c>
      <c r="O67" s="3" t="n">
        <v>10</v>
      </c>
      <c r="P67" s="3">
        <f>COUNTIFS(Tarefas!$D$2:$D$793,A67,Tarefas!$G$2:$G$793,"&lt;&gt;Gate",Tarefas!$X$2:$X$793,"DISPENSADO")</f>
        <v/>
      </c>
      <c r="Q67" s="13">
        <f>IFERROR(N67/(O67-P67),0)</f>
        <v/>
      </c>
    </row>
    <row r="68" ht="98" customHeight="1">
      <c r="A68" s="3" t="inlineStr">
        <is>
          <t>S67</t>
        </is>
      </c>
      <c r="B68" s="3" t="inlineStr">
        <is>
          <t>v2.0.0-beta.1</t>
        </is>
      </c>
      <c r="C68" s="3" t="inlineStr">
        <is>
          <t>Ratificar desenho da v2.0 e contratos de provedores</t>
        </is>
      </c>
      <c r="D68" s="3" t="inlineStr">
        <is>
          <t>Abrir extensibilidade delimitada sem transformar o app em executor genérico de plugins.</t>
        </is>
      </c>
      <c r="E68" s="3" t="inlineStr">
        <is>
          <t>Arquitetura v2 / extensibilidade</t>
        </is>
      </c>
      <c r="F68" s="3" t="inlineStr">
        <is>
          <t>Evolução proposta</t>
        </is>
      </c>
      <c r="G68" s="3" t="inlineStr">
        <is>
          <t>S61; S66</t>
        </is>
      </c>
      <c r="H68" s="3" t="inlineStr">
        <is>
          <t>R03; R06; R08; R32; R35</t>
        </is>
      </c>
      <c r="I68" s="3" t="inlineStr">
        <is>
          <t>ADR v2.0, ameaça de extensão e superfície de SDK congelada.</t>
        </is>
      </c>
      <c r="J68" s="3" t="inlineStr">
        <is>
          <t>Provedor de exemplo tem capacidades explícitas e não acessa APIs internas do Core.</t>
        </is>
      </c>
      <c r="K68" s="9" t="inlineStr">
        <is>
          <t>SL-S67-GATE</t>
        </is>
      </c>
      <c r="L68" s="3" t="inlineStr">
        <is>
          <t>Crítico</t>
        </is>
      </c>
      <c r="M68" s="3" t="inlineStr">
        <is>
          <t>Proposta pós-v1: a v2.0 não exige colaboração em nuvem, marketplace, execução de scripts nas notas ou reescrita total dos motores.</t>
        </is>
      </c>
      <c r="N68" s="3">
        <f>COUNTIFS(Tarefas!$D$2:$D$793,A68,Tarefas!$G$2:$G$793,"&lt;&gt;Gate",Tarefas!$X$2:$X$793,"OK")</f>
        <v/>
      </c>
      <c r="O68" s="3" t="n">
        <v>10</v>
      </c>
      <c r="P68" s="3">
        <f>COUNTIFS(Tarefas!$D$2:$D$793,A68,Tarefas!$G$2:$G$793,"&lt;&gt;Gate",Tarefas!$X$2:$X$793,"DISPENSADO")</f>
        <v/>
      </c>
      <c r="Q68" s="13">
        <f>IFERROR(N68/(O68-P68),0)</f>
        <v/>
      </c>
    </row>
    <row r="69" ht="98" customHeight="1">
      <c r="A69" s="3" t="inlineStr">
        <is>
          <t>S68</t>
        </is>
      </c>
      <c r="B69" s="3" t="inlineStr">
        <is>
          <t>v2.0.0-beta.1</t>
        </is>
      </c>
      <c r="C69" s="3" t="inlineStr">
        <is>
          <t>Implementar SDK e kit de conformidade</t>
        </is>
      </c>
      <c r="D69" s="3" t="inlineStr">
        <is>
          <t>Tornar integrações reproduzíveis e verificáveis por contribuidores.</t>
        </is>
      </c>
      <c r="E69" s="3" t="inlineStr">
        <is>
          <t>Provider SDK / adapters</t>
        </is>
      </c>
      <c r="F69" s="3" t="inlineStr">
        <is>
          <t>Evolução proposta</t>
        </is>
      </c>
      <c r="G69" s="3" t="inlineStr">
        <is>
          <t>S67</t>
        </is>
      </c>
      <c r="H69" s="3" t="inlineStr">
        <is>
          <t>R06; R08; R27; R32; R34; R35</t>
        </is>
      </c>
      <c r="I69" s="3" t="inlineStr">
        <is>
          <t>SDK mínimo, mocks e harness de contratos.</t>
        </is>
      </c>
      <c r="J69" s="3" t="inlineStr">
        <is>
          <t>Criar provedor local de exemplo e testar comportamentos permitidos/negados sem chaves.</t>
        </is>
      </c>
      <c r="K69" s="9" t="inlineStr">
        <is>
          <t>SL-S68-GATE</t>
        </is>
      </c>
      <c r="L69" s="3" t="inlineStr">
        <is>
          <t>Crítico</t>
        </is>
      </c>
      <c r="M69" s="3" t="inlineStr"/>
      <c r="N69" s="3">
        <f>COUNTIFS(Tarefas!$D$2:$D$793,A69,Tarefas!$G$2:$G$793,"&lt;&gt;Gate",Tarefas!$X$2:$X$793,"OK")</f>
        <v/>
      </c>
      <c r="O69" s="3" t="n">
        <v>10</v>
      </c>
      <c r="P69" s="3">
        <f>COUNTIFS(Tarefas!$D$2:$D$793,A69,Tarefas!$G$2:$G$793,"&lt;&gt;Gate",Tarefas!$X$2:$X$793,"DISPENSADO")</f>
        <v/>
      </c>
      <c r="Q69" s="13">
        <f>IFERROR(N69/(O69-P69),0)</f>
        <v/>
      </c>
    </row>
    <row r="70" ht="98" customHeight="1">
      <c r="A70" s="3" t="inlineStr">
        <is>
          <t>S69</t>
        </is>
      </c>
      <c r="B70" s="3" t="inlineStr">
        <is>
          <t>v2.0.0-beta.1</t>
        </is>
      </c>
      <c r="C70" s="3" t="inlineStr">
        <is>
          <t>Instalar extensões com permissões controladas</t>
        </is>
      </c>
      <c r="D70" s="3" t="inlineStr">
        <is>
          <t>Adicionar extensões sem perder soberania, segurança ou previsibilidade operacional.</t>
        </is>
      </c>
      <c r="E70" s="3" t="inlineStr">
        <is>
          <t>ExtensionHost / distribuição</t>
        </is>
      </c>
      <c r="F70" s="3" t="inlineStr">
        <is>
          <t>Evolução proposta</t>
        </is>
      </c>
      <c r="G70" s="3" t="inlineStr">
        <is>
          <t>S68</t>
        </is>
      </c>
      <c r="H70" s="3" t="inlineStr">
        <is>
          <t>R06; R08; R09; R30; R33; R35</t>
        </is>
      </c>
      <c r="I70" s="3" t="inlineStr">
        <is>
          <t>Instalação local/curada, revogação e lifecycle de extensões.</t>
        </is>
      </c>
      <c r="J70" s="3" t="inlineStr">
        <is>
          <t>Instalar provedor de exemplo, negar rede, revogar e remover sem tocar dados autorais.</t>
        </is>
      </c>
      <c r="K70" s="9" t="inlineStr">
        <is>
          <t>SL-S69-GATE</t>
        </is>
      </c>
      <c r="L70" s="3" t="inlineStr">
        <is>
          <t>Crítico</t>
        </is>
      </c>
      <c r="M70" s="3" t="inlineStr"/>
      <c r="N70" s="3">
        <f>COUNTIFS(Tarefas!$D$2:$D$793,A70,Tarefas!$G$2:$G$793,"&lt;&gt;Gate",Tarefas!$X$2:$X$793,"OK")</f>
        <v/>
      </c>
      <c r="O70" s="3" t="n">
        <v>10</v>
      </c>
      <c r="P70" s="3">
        <f>COUNTIFS(Tarefas!$D$2:$D$793,A70,Tarefas!$G$2:$G$793,"&lt;&gt;Gate",Tarefas!$X$2:$X$793,"DISPENSADO")</f>
        <v/>
      </c>
      <c r="Q70" s="13">
        <f>IFERROR(N70/(O70-P70),0)</f>
        <v/>
      </c>
    </row>
    <row r="71" ht="98" customHeight="1">
      <c r="A71" s="3" t="inlineStr">
        <is>
          <t>S70</t>
        </is>
      </c>
      <c r="B71" s="3" t="inlineStr">
        <is>
          <t>v2.0.0-beta.1</t>
        </is>
      </c>
      <c r="C71" s="3" t="inlineStr">
        <is>
          <t>Atualizar recortes e consolidar beta v2.0</t>
        </is>
      </c>
      <c r="D71" s="3" t="inlineStr">
        <is>
          <t>Consolidar arquitetura madura sem exigir reescrita do Vault ou perda de compatibilidade.</t>
        </is>
      </c>
      <c r="E71" s="3" t="inlineStr">
        <is>
          <t>Upstreams / SDK / formato</t>
        </is>
      </c>
      <c r="F71" s="3" t="inlineStr">
        <is>
          <t>Integração</t>
        </is>
      </c>
      <c r="G71" s="3" t="inlineStr">
        <is>
          <t>S68; S69</t>
        </is>
      </c>
      <c r="H71" s="3" t="inlineStr">
        <is>
          <t>R01; R04; R22; R30; R32; R33; R35</t>
        </is>
      </c>
      <c r="I71" s="3" t="inlineStr">
        <is>
          <t>v2.0.0-beta.1 com motores atualizados e adapters conformes.</t>
        </is>
      </c>
      <c r="J71" s="3" t="inlineStr">
        <is>
          <t>Executar o fluxo completo usando adapters sob SDK e manter dados v1.x intactos.</t>
        </is>
      </c>
      <c r="K71" s="9" t="inlineStr">
        <is>
          <t>SL-S70-GATE</t>
        </is>
      </c>
      <c r="L71" s="3" t="inlineStr">
        <is>
          <t>Crítico</t>
        </is>
      </c>
      <c r="M71" s="3" t="inlineStr"/>
      <c r="N71" s="3">
        <f>COUNTIFS(Tarefas!$D$2:$D$793,A71,Tarefas!$G$2:$G$793,"&lt;&gt;Gate",Tarefas!$X$2:$X$793,"OK")</f>
        <v/>
      </c>
      <c r="O71" s="3" t="n">
        <v>10</v>
      </c>
      <c r="P71" s="3">
        <f>COUNTIFS(Tarefas!$D$2:$D$793,A71,Tarefas!$G$2:$G$793,"&lt;&gt;Gate",Tarefas!$X$2:$X$793,"DISPENSADO")</f>
        <v/>
      </c>
      <c r="Q71" s="13">
        <f>IFERROR(N71/(O71-P71),0)</f>
        <v/>
      </c>
    </row>
    <row r="72" ht="98" customHeight="1">
      <c r="A72" s="3" t="inlineStr">
        <is>
          <t>S71</t>
        </is>
      </c>
      <c r="B72" s="3" t="inlineStr">
        <is>
          <t>v2.0.0-rc.1</t>
        </is>
      </c>
      <c r="C72" s="3" t="inlineStr">
        <is>
          <t>Homologar compatibilidade e candidata v2.0</t>
        </is>
      </c>
      <c r="D72" s="3" t="inlineStr">
        <is>
          <t>Comprovar que extensibilidade e evolução não romperam as promessas originais.</t>
        </is>
      </c>
      <c r="E72" s="3" t="inlineStr">
        <is>
          <t>Compatibilidade / RC v2</t>
        </is>
      </c>
      <c r="F72" s="3" t="inlineStr">
        <is>
          <t>Próprio</t>
        </is>
      </c>
      <c r="G72" s="3" t="inlineStr">
        <is>
          <t>S70</t>
        </is>
      </c>
      <c r="H72" s="3" t="inlineStr">
        <is>
          <t>R01; R02; R05; R06; R07; R09; R32; R35</t>
        </is>
      </c>
      <c r="I72" s="3" t="inlineStr">
        <is>
          <t>v2.0.0-rc.1 e matriz de upgrade/rollback completa.</t>
        </is>
      </c>
      <c r="J72" s="3" t="inlineStr">
        <is>
          <t>Migrar cópias de Vaults v1.x, usar extensões e voltar/exportar sem perda autoral.</t>
        </is>
      </c>
      <c r="K72" s="9" t="inlineStr">
        <is>
          <t>SL-S71-GATE</t>
        </is>
      </c>
      <c r="L72" s="3" t="inlineStr">
        <is>
          <t>Crítico</t>
        </is>
      </c>
      <c r="M72" s="3" t="inlineStr"/>
      <c r="N72" s="3">
        <f>COUNTIFS(Tarefas!$D$2:$D$793,A72,Tarefas!$G$2:$G$793,"&lt;&gt;Gate",Tarefas!$X$2:$X$793,"OK")</f>
        <v/>
      </c>
      <c r="O72" s="3" t="n">
        <v>10</v>
      </c>
      <c r="P72" s="3">
        <f>COUNTIFS(Tarefas!$D$2:$D$793,A72,Tarefas!$G$2:$G$793,"&lt;&gt;Gate",Tarefas!$X$2:$X$793,"DISPENSADO")</f>
        <v/>
      </c>
      <c r="Q72" s="13">
        <f>IFERROR(N72/(O72-P72),0)</f>
        <v/>
      </c>
    </row>
    <row r="73" ht="98" customHeight="1">
      <c r="A73" s="3" t="inlineStr">
        <is>
          <t>S72</t>
        </is>
      </c>
      <c r="B73" s="3" t="inlineStr">
        <is>
          <t>v2.0.0</t>
        </is>
      </c>
      <c r="C73" s="3" t="inlineStr">
        <is>
          <t>Publicar v2.0 e estabelecer continuidade</t>
        </is>
      </c>
      <c r="D73" s="3" t="inlineStr">
        <is>
          <t>Fechar o horizonte com produto completo, mantível e aberto, não com um fim artificial do software.</t>
        </is>
      </c>
      <c r="E73" s="3" t="inlineStr">
        <is>
          <t>Release / sustentabilidade</t>
        </is>
      </c>
      <c r="F73" s="3" t="inlineStr">
        <is>
          <t>Próprio</t>
        </is>
      </c>
      <c r="G73" s="3" t="inlineStr">
        <is>
          <t>S71</t>
        </is>
      </c>
      <c r="H73" s="3" t="inlineStr">
        <is>
          <t>R01; R02; R05; R07; R30; R32; R33; R34; R35; R36</t>
        </is>
      </c>
      <c r="I73" s="3" t="inlineStr">
        <is>
          <t>v2.0.0 estável, SDK documentado e processo contínuo de manutenção.</t>
        </is>
      </c>
      <c r="J73" s="3" t="inlineStr">
        <is>
          <t>Instalar stable, importar pesquisa, produzir Peça e verificar portabilidade/rollback de capacidades.</t>
        </is>
      </c>
      <c r="K73" s="9" t="inlineStr">
        <is>
          <t>SL-S72-GATE</t>
        </is>
      </c>
      <c r="L73" s="3" t="inlineStr">
        <is>
          <t>Crítico</t>
        </is>
      </c>
      <c r="M73" s="3" t="inlineStr"/>
      <c r="N73" s="3">
        <f>COUNTIFS(Tarefas!$D$2:$D$793,A73,Tarefas!$G$2:$G$793,"&lt;&gt;Gate",Tarefas!$X$2:$X$793,"OK")</f>
        <v/>
      </c>
      <c r="O73" s="3" t="n">
        <v>10</v>
      </c>
      <c r="P73" s="3">
        <f>COUNTIFS(Tarefas!$D$2:$D$793,A73,Tarefas!$G$2:$G$793,"&lt;&gt;Gate",Tarefas!$X$2:$X$793,"DISPENSADO")</f>
        <v/>
      </c>
      <c r="Q73" s="13">
        <f>IFERROR(N73/(O73-P73),0)</f>
        <v/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73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11" customWidth="1" min="3" max="3"/>
    <col width="33" customWidth="1" min="4" max="4"/>
    <col width="105" customWidth="1" min="5" max="5"/>
    <col width="125" customWidth="1" min="6" max="6"/>
  </cols>
  <sheetData>
    <row r="1" ht="34" customHeight="1">
      <c r="A1" s="8" t="inlineStr">
        <is>
          <t>ID</t>
        </is>
      </c>
      <c r="B1" s="8" t="inlineStr">
        <is>
          <t>Área</t>
        </is>
      </c>
      <c r="C1" s="8" t="inlineStr">
        <is>
          <t>Requisito</t>
        </is>
      </c>
      <c r="D1" s="8" t="inlineStr">
        <is>
          <t>Origem</t>
        </is>
      </c>
      <c r="E1" s="8" t="inlineStr">
        <is>
          <t>Sprints planejados</t>
        </is>
      </c>
      <c r="F1" s="8" t="inlineStr">
        <is>
          <t>Verificação</t>
        </is>
      </c>
    </row>
    <row r="2" ht="86" customHeight="1">
      <c r="A2" s="3" t="inlineStr">
        <is>
          <t>R01</t>
        </is>
      </c>
      <c r="B2" s="3" t="inlineStr">
        <is>
          <t>Distribuição</t>
        </is>
      </c>
      <c r="C2" s="3" t="inlineStr">
        <is>
          <t>Linux x86_64/aarch64; Windows x86_64; macOS Apple Silicon/Intel</t>
        </is>
      </c>
      <c r="D2" s="3" t="inlineStr">
        <is>
          <t>RFC §§1,12,13</t>
        </is>
      </c>
      <c r="E2" s="3" t="inlineStr">
        <is>
          <t>S01, S05, S06, S19, S24, S25, S26, S38, S39, S49, S56, S57, S59, S60, S63, S65, S70, S71, S72</t>
        </is>
      </c>
      <c r="F2" s="3" t="inlineStr">
        <is>
          <t>Instalação limpa e matriz de capacidades por alvo; build cruzado não equivale a execução homologada.</t>
        </is>
      </c>
    </row>
    <row r="3" ht="86" customHeight="1">
      <c r="A3" s="3" t="inlineStr">
        <is>
          <t>R02</t>
        </is>
      </c>
      <c r="B3" s="3" t="inlineStr">
        <is>
          <t>Soberania</t>
        </is>
      </c>
      <c r="C3" s="3" t="inlineStr">
        <is>
          <t>Arquivos abertos são a autoridade; bancos e caches são reconstruíveis</t>
        </is>
      </c>
      <c r="D3" s="3" t="inlineStr">
        <is>
          <t>RFC §§1,2,4</t>
        </is>
      </c>
      <c r="E3" s="3" t="inlineStr">
        <is>
          <t>S02, S07, S08, S10, S11, S13, S17, S21, S22, S30, S35, S37, S40, S41, S43, S53, S58, S60, S62, S66, S71, S72</t>
        </is>
      </c>
      <c r="F3" s="3" t="inlineStr">
        <is>
          <t>Apagar caches preserva conteúdo, geometria, taxonomia, citações e histórico canônico.</t>
        </is>
      </c>
    </row>
    <row r="4" ht="86" customHeight="1">
      <c r="A4" s="3" t="inlineStr">
        <is>
          <t>R03</t>
        </is>
      </c>
      <c r="B4" s="3" t="inlineStr">
        <is>
          <t>Composição</t>
        </is>
      </c>
      <c r="C4" s="3" t="inlineStr">
        <is>
          <t>Núcleo Rust com motores gerenciados, condicionado à ADR</t>
        </is>
      </c>
      <c r="D4" s="3" t="inlineStr">
        <is>
          <t>Plano §1</t>
        </is>
      </c>
      <c r="E4" s="3" t="inlineStr">
        <is>
          <t>S01, S03, S04, S06, S12, S23, S31, S42, S67</t>
        </is>
      </c>
      <c r="F4" s="3" t="inlineStr">
        <is>
          <t>Alteração de Rust estrito aprovada; nenhum runtime é introduzido sem inventário e lifecycle.</t>
        </is>
      </c>
    </row>
    <row r="5" ht="86" customHeight="1">
      <c r="A5" s="3" t="inlineStr">
        <is>
          <t>R04</t>
        </is>
      </c>
      <c r="B5" s="3" t="inlineStr">
        <is>
          <t>Formato</t>
        </is>
      </c>
      <c r="C5" s="3" t="inlineStr">
        <is>
          <t>Markdown/frontmatter, IDs e extensões abertas documentadas</t>
        </is>
      </c>
      <c r="D5" s="3" t="inlineStr">
        <is>
          <t>RFC §§2,4,7</t>
        </is>
      </c>
      <c r="E5" s="3" t="inlineStr">
        <is>
          <t>S02, S07, S10, S13, S14, S18, S20, S43, S66, S70</t>
        </is>
      </c>
      <c r="F5" s="3" t="inlineStr">
        <is>
          <t>Round-trip sem perda semântica no perfil suportado; metadados desconhecidos preservados.</t>
        </is>
      </c>
    </row>
    <row r="6" ht="86" customHeight="1">
      <c r="A6" s="3" t="inlineStr">
        <is>
          <t>R05</t>
        </is>
      </c>
      <c r="B6" s="3" t="inlineStr">
        <is>
          <t>Durabilidade</t>
        </is>
      </c>
      <c r="C6" s="3" t="inlineStr">
        <is>
          <t>Journal/snapshots, recuperação e conflitos externos</t>
        </is>
      </c>
      <c r="D6" s="3" t="inlineStr">
        <is>
          <t>RFC §§4,11,13</t>
        </is>
      </c>
      <c r="E6" s="3" t="inlineStr">
        <is>
          <t>S02, S07, S08, S10, S11, S14, S17, S21, S22, S23, S41, S54, S58, S60, S61, S62, S71, S72</t>
        </is>
      </c>
      <c r="F6" s="3" t="inlineStr">
        <is>
          <t>Falhas em cada etapa não corrompem estado confirmado; janela de perda medida.</t>
        </is>
      </c>
    </row>
    <row r="7" ht="86" customHeight="1">
      <c r="A7" s="3" t="inlineStr">
        <is>
          <t>R06</t>
        </is>
      </c>
      <c r="B7" s="3" t="inlineStr">
        <is>
          <t>Segurança FS</t>
        </is>
      </c>
      <c r="C7" s="3" t="inlineStr">
        <is>
          <t>I/O por handles/capabilities e contenção por sistema operacional</t>
        </is>
      </c>
      <c r="D7" s="3" t="inlineStr">
        <is>
          <t>RFC §§1,4,8,13</t>
        </is>
      </c>
      <c r="E7" s="3" t="inlineStr">
        <is>
          <t>S09, S11, S23, S24, S25, S26, S44, S48, S49, S54, S56, S57, S60, S67, S68, S69, S71</t>
        </is>
      </c>
      <c r="F7" s="3" t="inlineStr">
        <is>
          <t>Tentativas de traversal, troca de links e fuga de processos são negadas nos perfis homologados.</t>
        </is>
      </c>
    </row>
    <row r="8" ht="86" customHeight="1">
      <c r="A8" s="3" t="inlineStr">
        <is>
          <t>R07</t>
        </is>
      </c>
      <c r="B8" s="3" t="inlineStr">
        <is>
          <t>Offline</t>
        </is>
      </c>
      <c r="C8" s="3" t="inlineStr">
        <is>
          <t>Autoria e leitura sem rede; inferência local após provisionamento</t>
        </is>
      </c>
      <c r="D8" s="3" t="inlineStr">
        <is>
          <t>RFC §1; conceito</t>
        </is>
      </c>
      <c r="E8" s="3" t="inlineStr">
        <is>
          <t>S01, S06, S07, S11, S15, S22, S31, S32, S34, S35, S46, S53, S59, S60, S65, S71, S72</t>
        </is>
      </c>
      <c r="F8" s="3" t="inlineStr">
        <is>
          <t>Bloqueio de rede não impede trabalho local nem dispara fallback externo silencioso.</t>
        </is>
      </c>
    </row>
    <row r="9" ht="86" customHeight="1">
      <c r="A9" s="3" t="inlineStr">
        <is>
          <t>R08</t>
        </is>
      </c>
      <c r="B9" s="3" t="inlineStr">
        <is>
          <t>Privacidade</t>
        </is>
      </c>
      <c r="C9" s="3" t="inlineStr">
        <is>
          <t>Autorização de egress, segregação de segredos e escopos</t>
        </is>
      </c>
      <c r="D9" s="3" t="inlineStr">
        <is>
          <t>RFC §§1,8</t>
        </is>
      </c>
      <c r="E9" s="3" t="inlineStr">
        <is>
          <t>S01, S06, S09, S23, S24, S25, S26, S29, S31, S32, S34, S44, S47, S48, S49, S51, S52, S54, S59, S62, S67, S68, S69</t>
        </is>
      </c>
      <c r="F9" s="3" t="inlineStr">
        <is>
          <t>Nenhum envio sem política autorizada; ferramentas não podem ampliar seu próprio escopo.</t>
        </is>
      </c>
    </row>
    <row r="10" ht="86" customHeight="1">
      <c r="A10" s="3" t="inlineStr">
        <is>
          <t>R09</t>
        </is>
      </c>
      <c r="B10" s="3" t="inlineStr">
        <is>
          <t>Recursos</t>
        </is>
      </c>
      <c r="C10" s="3" t="inlineStr">
        <is>
          <t>Idle 350 MB, indexing leve 650 MB, inference 2,8 GB e unload 5 min</t>
        </is>
      </c>
      <c r="D10" s="3" t="inlineStr">
        <is>
          <t>RFC §§1,10,13</t>
        </is>
      </c>
      <c r="E10" s="3" t="inlineStr">
        <is>
          <t>S05, S15, S19, S23, S24, S25, S26, S28, S31, S32, S36, S45, S49, S55, S56, S57, S60, S61, S64, S65, S69, S71</t>
        </is>
      </c>
      <c r="F10" s="3" t="inlineStr">
        <is>
          <t>Medir árvore de processos e perfis aprovados; desvios bloqueiam release ou requerem revisão explícita.</t>
        </is>
      </c>
    </row>
    <row r="11" ht="86" customHeight="1">
      <c r="A11" s="3" t="inlineStr">
        <is>
          <t>R10</t>
        </is>
      </c>
      <c r="B11" s="3" t="inlineStr">
        <is>
          <t>Editor</t>
        </is>
      </c>
      <c r="C11" s="3" t="inlineStr">
        <is>
          <t>BlockSuite como motor de texto/blocos</t>
        </is>
      </c>
      <c r="D11" s="3" t="inlineStr">
        <is>
          <t>Escolha do autor; RFC §§5,7</t>
        </is>
      </c>
      <c r="E11" s="3" t="inlineStr">
        <is>
          <t>S12, S13, S14, S15, S18, S20</t>
        </is>
      </c>
      <c r="F11" s="3" t="inlineStr">
        <is>
          <t>Editor integrado ao Vault; Yjs não é a única cópia de conteúdo autoral.</t>
        </is>
      </c>
    </row>
    <row r="12" ht="86" customHeight="1">
      <c r="A12" s="3" t="inlineStr">
        <is>
          <t>R11</t>
        </is>
      </c>
      <c r="B12" s="3" t="inlineStr">
        <is>
          <t>Mesa</t>
        </is>
      </c>
      <c r="C12" s="3" t="inlineStr">
        <is>
          <t>PixiJS, células, grupos, arestas e múltiplos workspaces</t>
        </is>
      </c>
      <c r="D12" s="3" t="inlineStr">
        <is>
          <t>RFC §5</t>
        </is>
      </c>
      <c r="E12" s="3" t="inlineStr">
        <is>
          <t>S02, S16, S17, S18, S19, S43, S50, S53</t>
        </is>
      </c>
      <c r="F12" s="3" t="inlineStr">
        <is>
          <t>Topologia reaberta fielmente; conteúdo e ocorrência visual têm identidades separadas.</t>
        </is>
      </c>
    </row>
    <row r="13" ht="86" customHeight="1">
      <c r="A13" s="3" t="inlineStr">
        <is>
          <t>R12</t>
        </is>
      </c>
      <c r="B13" s="3" t="inlineStr">
        <is>
          <t>Renderização</t>
        </is>
      </c>
      <c r="C13" s="3" t="inlineStr">
        <is>
          <t>Culling, LOD, overlay editorial e fluidez</t>
        </is>
      </c>
      <c r="D13" s="3" t="inlineStr">
        <is>
          <t>RFC §§5,13</t>
        </is>
      </c>
      <c r="E13" s="3" t="inlineStr">
        <is>
          <t>S05, S16, S18, S19, S55, S64</t>
        </is>
      </c>
      <c r="F13" s="3" t="inlineStr">
        <is>
          <t>Cenas de 100/1.000 nós avaliadas com frame time, hardware e payload documentados.</t>
        </is>
      </c>
    </row>
    <row r="14" ht="86" customHeight="1">
      <c r="A14" s="3" t="inlineStr">
        <is>
          <t>R13</t>
        </is>
      </c>
      <c r="B14" s="3" t="inlineStr">
        <is>
          <t>Peça</t>
        </is>
      </c>
      <c r="C14" s="3" t="inlineStr">
        <is>
          <t>Editor editorial, fork-on-insert e proveniência</t>
        </is>
      </c>
      <c r="D14" s="3" t="inlineStr">
        <is>
          <t>RFC §7</t>
        </is>
      </c>
      <c r="E14" s="3" t="inlineStr">
        <is>
          <t>S02, S08, S13, S20, S21, S22, S41, S46, S51, S53, S66</t>
        </is>
      </c>
      <c r="F14" s="3" t="inlineStr">
        <is>
          <t>Inserção cria cópia independente referenciando célula, revisão, trecho e bloco de destino.</t>
        </is>
      </c>
    </row>
    <row r="15" ht="86" customHeight="1">
      <c r="A15" s="3" t="inlineStr">
        <is>
          <t>R14</t>
        </is>
      </c>
      <c r="B15" s="3" t="inlineStr">
        <is>
          <t>Ingest</t>
        </is>
      </c>
      <c r="C15" s="3" t="inlineStr">
        <is>
          <t>Captura sem formulário e enriquecimento assíncrono</t>
        </is>
      </c>
      <c r="D15" s="3" t="inlineStr">
        <is>
          <t>RFC §3; conceito</t>
        </is>
      </c>
      <c r="E15" s="3" t="inlineStr">
        <is>
          <t>S27, S28, S29, S30, S33, S36, S50, S53, S64</t>
        </is>
      </c>
      <c r="F15" s="3" t="inlineStr">
        <is>
          <t>Original salvo antes de OCR/IA; falha de enriquecimento não perde a captura.</t>
        </is>
      </c>
    </row>
    <row r="16" ht="86" customHeight="1">
      <c r="A16" s="3" t="inlineStr">
        <is>
          <t>R15</t>
        </is>
      </c>
      <c r="B16" s="3" t="inlineStr">
        <is>
          <t>Extração</t>
        </is>
      </c>
      <c r="C16" s="3" t="inlineStr">
        <is>
          <t>Docling para documentos/OCR com mapeamento à fonte</t>
        </is>
      </c>
      <c r="D16" s="3" t="inlineStr">
        <is>
          <t>Escolha do autor</t>
        </is>
      </c>
      <c r="E16" s="3" t="inlineStr">
        <is>
          <t>S05, S27, S28, S30</t>
        </is>
      </c>
      <c r="F16" s="3" t="inlineStr">
        <is>
          <t>Texto, tabelas e localizadores preservados; worker não escreve no Vault canônico.</t>
        </is>
      </c>
    </row>
    <row r="17" ht="86" customHeight="1">
      <c r="A17" s="3" t="inlineStr">
        <is>
          <t>R16</t>
        </is>
      </c>
      <c r="B17" s="3" t="inlineStr">
        <is>
          <t>Transcrição</t>
        </is>
      </c>
      <c r="C17" s="3" t="inlineStr">
        <is>
          <t>Áudio/vídeo e transcrições locais</t>
        </is>
      </c>
      <c r="D17" s="3" t="inlineStr">
        <is>
          <t>RFC §§1,2,10</t>
        </is>
      </c>
      <c r="E17" s="3" t="inlineStr">
        <is>
          <t>S36</t>
        </is>
      </c>
      <c r="F17" s="3" t="inlineStr">
        <is>
          <t>Modelo homologado, timestamps e fonte rastreáveis; cancelamento e recursos controlados.</t>
        </is>
      </c>
    </row>
    <row r="18" ht="86" customHeight="1">
      <c r="A18" s="3" t="inlineStr">
        <is>
          <t>R17</t>
        </is>
      </c>
      <c r="B18" s="3" t="inlineStr">
        <is>
          <t>Clipping</t>
        </is>
      </c>
      <c r="C18" s="3" t="inlineStr">
        <is>
          <t>Readability/Turndown em ambiente seguro</t>
        </is>
      </c>
      <c r="D18" s="3" t="inlineStr">
        <is>
          <t>Escolha do autor</t>
        </is>
      </c>
      <c r="E18" s="3" t="inlineStr">
        <is>
          <t>S29, S30</t>
        </is>
      </c>
      <c r="F18" s="3" t="inlineStr">
        <is>
          <t>HTML remoto não ganha scripts, rede ou IPC privilegiado durante normalização.</t>
        </is>
      </c>
    </row>
    <row r="19" ht="86" customHeight="1">
      <c r="A19" s="3" t="inlineStr">
        <is>
          <t>R18</t>
        </is>
      </c>
      <c r="B19" s="3" t="inlineStr">
        <is>
          <t>Decisões</t>
        </is>
      </c>
      <c r="C19" s="3" t="inlineStr">
        <is>
          <t>Jev nativo, taxonomia e tratamento de incerteza</t>
        </is>
      </c>
      <c r="D19" s="3" t="inlineStr">
        <is>
          <t>Escolha do autor; RFC §3 revisado</t>
        </is>
      </c>
      <c r="E19" s="3" t="inlineStr">
        <is>
          <t>S34, S35, S36, S52</t>
        </is>
      </c>
      <c r="F19" s="3" t="inlineStr">
        <is>
          <t>Choice/Score/Noul respeitados; novos termos e merges não são inferidos como certeza.</t>
        </is>
      </c>
    </row>
    <row r="20" ht="86" customHeight="1">
      <c r="A20" s="3" t="inlineStr">
        <is>
          <t>R19</t>
        </is>
      </c>
      <c r="B20" s="3" t="inlineStr">
        <is>
          <t>Resumo</t>
        </is>
      </c>
      <c r="C20" s="3" t="inlineStr">
        <is>
          <t>Resumo executivo denso de 2–5 frases por modelo leve</t>
        </is>
      </c>
      <c r="D20" s="3" t="inlineStr">
        <is>
          <t>Escolha do autor</t>
        </is>
      </c>
      <c r="E20" s="3" t="inlineStr">
        <is>
          <t>S33, S36, S45</t>
        </is>
      </c>
      <c r="F20" s="3" t="inlineStr">
        <is>
          <t>Texto separado da decisão Jev; fatos e limitações rastreáveis; edição autoral preservada.</t>
        </is>
      </c>
    </row>
    <row r="21" ht="86" customHeight="1">
      <c r="A21" s="3" t="inlineStr">
        <is>
          <t>R20</t>
        </is>
      </c>
      <c r="B21" s="3" t="inlineStr">
        <is>
          <t>Embeddings</t>
        </is>
      </c>
      <c r="C21" s="3" t="inlineStr">
        <is>
          <t>Embeddings locais e adequados ao português</t>
        </is>
      </c>
      <c r="D21" s="3" t="inlineStr">
        <is>
          <t>RFC §§3,4,10</t>
        </is>
      </c>
      <c r="E21" s="3" t="inlineStr">
        <is>
          <t>S05, S32, S35, S37, S38, S39, S40, S41, S55</t>
        </is>
      </c>
      <c r="F21" s="3" t="inlineStr">
        <is>
          <t>Manifesto de modelo, normalização e versão; espaços vetoriais incompatíveis não se misturam.</t>
        </is>
      </c>
    </row>
    <row r="22" ht="86" customHeight="1">
      <c r="A22" s="3" t="inlineStr">
        <is>
          <t>R21</t>
        </is>
      </c>
      <c r="B22" s="3" t="inlineStr">
        <is>
          <t>Busca</t>
        </is>
      </c>
      <c r="C22" s="3" t="inlineStr">
        <is>
          <t>BM25 + semântica para Ingest e Peças; Qdrant OU HelixDB</t>
        </is>
      </c>
      <c r="D22" s="3" t="inlineStr">
        <is>
          <t>Escolha do autor; RFC §4</t>
        </is>
      </c>
      <c r="E22" s="3" t="inlineStr">
        <is>
          <t>S10, S37, S38, S39, S40, S41, S52, S64</t>
        </is>
      </c>
      <c r="F22" s="3" t="inlineStr">
        <is>
          <t>Busca filtrada, fusão e exclusões/revisões corretas, com reconstrução a partir dos arquivos.</t>
        </is>
      </c>
    </row>
    <row r="23" ht="86" customHeight="1">
      <c r="A23" s="3" t="inlineStr">
        <is>
          <t>R22</t>
        </is>
      </c>
      <c r="B23" s="3" t="inlineStr">
        <is>
          <t>Contexto</t>
        </is>
      </c>
      <c r="C23" s="3" t="inlineStr">
        <is>
          <t>PageIndex adaptado a células e topologia</t>
        </is>
      </c>
      <c r="D23" s="3" t="inlineStr">
        <is>
          <t>Escolha do autor; RFC §8</t>
        </is>
      </c>
      <c r="E23" s="3" t="inlineStr">
        <is>
          <t>S17, S42, S43, S44, S45, S46, S64, S70</t>
        </is>
      </c>
      <c r="F23" s="3" t="inlineStr">
        <is>
          <t>Hierarquia navega sem apagar ciclos, relações cruzadas, geometria e identidade dos nós.</t>
        </is>
      </c>
    </row>
    <row r="24" ht="86" customHeight="1">
      <c r="A24" s="3" t="inlineStr">
        <is>
          <t>R23</t>
        </is>
      </c>
      <c r="B24" s="3" t="inlineStr">
        <is>
          <t>Orquestração</t>
        </is>
      </c>
      <c r="C24" s="3" t="inlineStr">
        <is>
          <t>Skeleton Map, expansão e síntese progressivas</t>
        </is>
      </c>
      <c r="D24" s="3" t="inlineStr">
        <is>
          <t>RFC §8</t>
        </is>
      </c>
      <c r="E24" s="3" t="inlineStr">
        <is>
          <t>S33, S42, S44, S45, S46, S51, S52, S55</t>
        </is>
      </c>
      <c r="F24" s="3" t="inlineStr">
        <is>
          <t>Orçamento de tokens/chamadas/tempo/recursão imposto em código; resposta cita evidências.</t>
        </is>
      </c>
    </row>
    <row r="25" ht="86" customHeight="1">
      <c r="A25" s="3" t="inlineStr">
        <is>
          <t>R24</t>
        </is>
      </c>
      <c r="B25" s="3" t="inlineStr">
        <is>
          <t>Descoberta</t>
        </is>
      </c>
      <c r="C25" s="3" t="inlineStr">
        <is>
          <t>SearxNG com consultas autorizadas</t>
        </is>
      </c>
      <c r="D25" s="3" t="inlineStr">
        <is>
          <t>Escolha do autor; RFC §6</t>
        </is>
      </c>
      <c r="E25" s="3" t="inlineStr">
        <is>
          <t>S47, S50</t>
        </is>
      </c>
      <c r="F25" s="3" t="inlineStr">
        <is>
          <t>API de resultados configurada; rede externa explícita; ausência de dependência pública oculta.</t>
        </is>
      </c>
    </row>
    <row r="26" ht="86" customHeight="1">
      <c r="A26" s="3" t="inlineStr">
        <is>
          <t>R25</t>
        </is>
      </c>
      <c r="B26" s="3" t="inlineStr">
        <is>
          <t>Aquisição web</t>
        </is>
      </c>
      <c r="C26" s="3" t="inlineStr">
        <is>
          <t>Scrapling HTTP/browser sob demanda</t>
        </is>
      </c>
      <c r="D26" s="3" t="inlineStr">
        <is>
          <t>Escolha do autor; RFC §6</t>
        </is>
      </c>
      <c r="E26" s="3" t="inlineStr">
        <is>
          <t>S48, S49, S50</t>
        </is>
      </c>
      <c r="F26" s="3" t="inlineStr">
        <is>
          <t>SSRF e recursos controlados; não prometer bypass universal; browser pode encerrar sem órfãos.</t>
        </is>
      </c>
    </row>
    <row r="27" ht="86" customHeight="1">
      <c r="A27" s="3" t="inlineStr">
        <is>
          <t>R26</t>
        </is>
      </c>
      <c r="B27" s="3" t="inlineStr">
        <is>
          <t>Widget</t>
        </is>
      </c>
      <c r="C27" s="3" t="inlineStr">
        <is>
          <t>Pesquisa, snapshots e promoção para células</t>
        </is>
      </c>
      <c r="D27" s="3" t="inlineStr">
        <is>
          <t>RFC §§5,6</t>
        </is>
      </c>
      <c r="E27" s="3" t="inlineStr">
        <is>
          <t>S50, S53</t>
        </is>
      </c>
      <c r="F27" s="3" t="inlineStr">
        <is>
          <t>Atualizar resultados não sobrescreve síntese editada; snippets não viram prova sem fonte.</t>
        </is>
      </c>
    </row>
    <row r="28" ht="86" customHeight="1">
      <c r="A28" s="3" t="inlineStr">
        <is>
          <t>R27</t>
        </is>
      </c>
      <c r="B28" s="3" t="inlineStr">
        <is>
          <t>IA gerativa</t>
        </is>
      </c>
      <c r="C28" s="3" t="inlineStr">
        <is>
          <t>LocalAI e BYOK sob política comum</t>
        </is>
      </c>
      <c r="D28" s="3" t="inlineStr">
        <is>
          <t>Escolha do autor; RFC §§7,10</t>
        </is>
      </c>
      <c r="E28" s="3" t="inlineStr">
        <is>
          <t>S31, S32, S33, S36, S46, S51, S68</t>
        </is>
      </c>
      <c r="F28" s="3" t="inlineStr">
        <is>
          <t>Capabilities verificadas, streaming/cancelamento e identidade de provedor preservados.</t>
        </is>
      </c>
    </row>
    <row r="29" ht="86" customHeight="1">
      <c r="A29" s="3" t="inlineStr">
        <is>
          <t>R28</t>
        </is>
      </c>
      <c r="B29" s="3" t="inlineStr">
        <is>
          <t>Intenções</t>
        </is>
      </c>
      <c r="C29" s="3" t="inlineStr">
        <is>
          <t>Metas, hipóteses, chat global e sugestões proativas</t>
        </is>
      </c>
      <c r="D29" s="3" t="inlineStr">
        <is>
          <t>RFC §9</t>
        </is>
      </c>
      <c r="E29" s="3" t="inlineStr">
        <is>
          <t>S35, S52, S53</t>
        </is>
      </c>
      <c r="F29" s="3" t="inlineStr">
        <is>
          <t>Escopo e finalidade explícitos; sugestão não altera conhecimento sem confirmação.</t>
        </is>
      </c>
    </row>
    <row r="30" ht="86" customHeight="1">
      <c r="A30" s="3" t="inlineStr">
        <is>
          <t>R29</t>
        </is>
      </c>
      <c r="B30" s="3" t="inlineStr">
        <is>
          <t>Portabilidade</t>
        </is>
      </c>
      <c r="C30" s="3" t="inlineStr">
        <is>
          <t>Backup, restauração e integração Git opcional</t>
        </is>
      </c>
      <c r="D30" s="3" t="inlineStr">
        <is>
          <t>RFC §11</t>
        </is>
      </c>
      <c r="E30" s="3" t="inlineStr">
        <is>
          <t>S11, S22, S58, S62, S66</t>
        </is>
      </c>
      <c r="F30" s="3" t="inlineStr">
        <is>
          <t>Exportação/restauração verificadas; push remoto exige configuração e autorização.</t>
        </is>
      </c>
    </row>
    <row r="31" ht="86" customHeight="1">
      <c r="A31" s="3" t="inlineStr">
        <is>
          <t>R30</t>
        </is>
      </c>
      <c r="B31" s="3" t="inlineStr">
        <is>
          <t>Supply chain</t>
        </is>
      </c>
      <c r="C31" s="3" t="inlineStr">
        <is>
          <t>Pacotes, hashes, SBOM, atualização e rollback</t>
        </is>
      </c>
      <c r="D31" s="3" t="inlineStr">
        <is>
          <t>RFC §10; Plano §14</t>
        </is>
      </c>
      <c r="E31" s="3" t="inlineStr">
        <is>
          <t>S03, S04, S12, S25, S26, S27, S28, S29, S31, S32, S38, S39, S40, S42, S47, S48, S49, S54, S56, S57, S63, S65, S69, S70, S72</t>
        </is>
      </c>
      <c r="F31" s="3" t="inlineStr">
        <is>
          <t>Instalação íntegra por arquitetura, cadeia de origem e fontes/avisos disponíveis.</t>
        </is>
      </c>
    </row>
    <row r="32" ht="86" customHeight="1">
      <c r="A32" s="3" t="inlineStr">
        <is>
          <t>R31</t>
        </is>
      </c>
      <c r="B32" s="3" t="inlineStr">
        <is>
          <t>Usabilidade</t>
        </is>
      </c>
      <c r="C32" s="3" t="inlineStr">
        <is>
          <t>Acessibilidade, teclado, erros e documentação</t>
        </is>
      </c>
      <c r="D32" s="3" t="inlineStr">
        <is>
          <t>Derivado do produto desktop</t>
        </is>
      </c>
      <c r="E32" s="3" t="inlineStr">
        <is>
          <t>S06, S14, S15, S16, S18, S19, S20, S22, S30, S41, S50, S51, S59, S61, S62</t>
        </is>
      </c>
      <c r="F32" s="3" t="inlineStr">
        <is>
          <t>Fluxos essenciais acessíveis e compreensíveis; estados de falha/pendência claros.</t>
        </is>
      </c>
    </row>
    <row r="33" ht="86" customHeight="1">
      <c r="A33" s="3" t="inlineStr">
        <is>
          <t>R32</t>
        </is>
      </c>
      <c r="B33" s="3" t="inlineStr">
        <is>
          <t>Compatibilidade</t>
        </is>
      </c>
      <c r="C33" s="3" t="inlineStr">
        <is>
          <t>Migrações e estabilidade de contratos/formatos</t>
        </is>
      </c>
      <c r="D33" s="3" t="inlineStr">
        <is>
          <t>Plano §§11,16</t>
        </is>
      </c>
      <c r="E33" s="3" t="inlineStr">
        <is>
          <t>S02, S13, S40, S43, S58, S63, S66, S67, S68, S70, S71, S72</t>
        </is>
      </c>
      <c r="F33" s="3" t="inlineStr">
        <is>
          <t>Matriz de versões e migrações sem perda; export legível independente do app.</t>
        </is>
      </c>
    </row>
    <row r="34" ht="86" customHeight="1">
      <c r="A34" s="3" t="inlineStr">
        <is>
          <t>R33</t>
        </is>
      </c>
      <c r="B34" s="3" t="inlineStr">
        <is>
          <t>Open source</t>
        </is>
      </c>
      <c r="C34" s="3" t="inlineStr">
        <is>
          <t>Projeto não comercial com licença open source e conformidade</t>
        </is>
      </c>
      <c r="D34" s="3" t="inlineStr">
        <is>
          <t>Orientação do autor</t>
        </is>
      </c>
      <c r="E34" s="3" t="inlineStr">
        <is>
          <t>S01, S03, S04, S12, S27, S34, S38, S39, S42, S47, S56, S57, S59, S60, S63, S69, S70, S72</t>
        </is>
      </c>
      <c r="F34" s="3" t="inlineStr">
        <is>
          <t>Licença ratificada, direitos upstream preservados e integrações pagas opcionais explicadas.</t>
        </is>
      </c>
    </row>
    <row r="35" ht="86" customHeight="1">
      <c r="A35" s="3" t="inlineStr">
        <is>
          <t>R34</t>
        </is>
      </c>
      <c r="B35" s="3" t="inlineStr">
        <is>
          <t>Qualidade</t>
        </is>
      </c>
      <c r="C35" s="3" t="inlineStr">
        <is>
          <t>Testes, evidências e revisão humana de código produzido com IA</t>
        </is>
      </c>
      <c r="D35" s="3" t="inlineStr">
        <is>
          <t>Estratégia solo + agentes</t>
        </is>
      </c>
      <c r="E35" s="3" t="inlineStr">
        <is>
          <t>S01, S03, S04, S05, S06, S09, S11, S12, S15, S27, S34, S37, S53, S54, S55, S59, S60, S61, S63, S68, S72</t>
        </is>
      </c>
      <c r="F35" s="3" t="inlineStr">
        <is>
          <t>Nenhum gate fechado apenas por relato do agente; execução/resultado e revisão registrados.</t>
        </is>
      </c>
    </row>
    <row r="36" ht="86" customHeight="1">
      <c r="A36" s="3" t="inlineStr">
        <is>
          <t>R35</t>
        </is>
      </c>
      <c r="B36" s="3" t="inlineStr">
        <is>
          <t>Extensibilidade</t>
        </is>
      </c>
      <c r="C36" s="3" t="inlineStr">
        <is>
          <t>Contratos/kit de provedores e extensões controladas</t>
        </is>
      </c>
      <c r="D36" s="3" t="inlineStr">
        <is>
          <t>Proposta pós-v1.0</t>
        </is>
      </c>
      <c r="E36" s="3" t="inlineStr">
        <is>
          <t>S67, S68, S69, S70, S71, S72</t>
        </is>
      </c>
      <c r="F36" s="3" t="inlineStr">
        <is>
          <t>Requer ratificação; extensão não amplia permissões nem introduz leitura/escrita irrestrita.</t>
        </is>
      </c>
    </row>
    <row r="37" ht="86" customHeight="1">
      <c r="A37" s="3" t="inlineStr">
        <is>
          <t>R36</t>
        </is>
      </c>
      <c r="B37" s="3" t="inlineStr">
        <is>
          <t>Escala</t>
        </is>
      </c>
      <c r="C37" s="3" t="inlineStr">
        <is>
          <t>Acervos maiores e pacotes offline portáveis</t>
        </is>
      </c>
      <c r="D37" s="3" t="inlineStr">
        <is>
          <t>Proposta pós-v1.0</t>
        </is>
      </c>
      <c r="E37" s="3" t="inlineStr">
        <is>
          <t>S61, S64, S65, S66, S72</t>
        </is>
      </c>
      <c r="F37" s="3" t="inlineStr">
        <is>
          <t>Metas aprovadas após baseline; sem reduzir fidelidade, escopo ou budgets silenciosamente.</t>
        </is>
      </c>
    </row>
    <row r="38" ht="86" customHeight="1">
      <c r="A38" s="3" t="inlineStr">
        <is>
          <t>R37</t>
        </is>
      </c>
      <c r="B38" s="3" t="inlineStr">
        <is>
          <t>Auditoria</t>
        </is>
      </c>
      <c r="C38" s="3" t="inlineStr">
        <is>
          <t>Rastreabilidade criptográfica com limites explícitos</t>
        </is>
      </c>
      <c r="D38" s="3" t="inlineStr">
        <is>
          <t>RFC §§1,11</t>
        </is>
      </c>
      <c r="E38" s="3" t="inlineStr">
        <is>
          <t>S02, S08, S21, S58, S62</t>
        </is>
      </c>
      <c r="F38" s="3" t="inlineStr">
        <is>
          <t>Encadeamento/checagem de eventos e limites de adulteração/ancoragem documentados.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1" customWidth="1" min="2" max="2"/>
    <col width="12" customWidth="1" min="3" max="3"/>
    <col width="123" customWidth="1" min="4" max="4"/>
    <col width="21" customWidth="1" min="5" max="5"/>
    <col width="19" customWidth="1" min="6" max="6"/>
    <col width="63" customWidth="1" min="7" max="7"/>
  </cols>
  <sheetData>
    <row r="1" ht="34" customHeight="1">
      <c r="A1" s="8" t="inlineStr">
        <is>
          <t>ID</t>
        </is>
      </c>
      <c r="B1" s="8" t="inlineStr">
        <is>
          <t>Decisão</t>
        </is>
      </c>
      <c r="C1" s="8" t="inlineStr">
        <is>
          <t>Sprint</t>
        </is>
      </c>
      <c r="D1" s="8" t="inlineStr">
        <is>
          <t>Resultado esperado</t>
        </is>
      </c>
      <c r="E1" s="8" t="inlineStr">
        <is>
          <t>Estado</t>
        </is>
      </c>
      <c r="F1" s="8" t="inlineStr">
        <is>
          <t>Aprovador</t>
        </is>
      </c>
      <c r="G1" s="8" t="inlineStr">
        <is>
          <t>Evidência real</t>
        </is>
      </c>
    </row>
    <row r="2" ht="62" customHeight="1">
      <c r="A2" s="3" t="inlineStr">
        <is>
          <t>ADR-001</t>
        </is>
      </c>
      <c r="B2" s="3" t="inlineStr">
        <is>
          <t>Rust estrito versus núcleo Rust + workers</t>
        </is>
      </c>
      <c r="C2" s="3" t="inlineStr">
        <is>
          <t>S01</t>
        </is>
      </c>
      <c r="D2" s="3" t="inlineStr">
        <is>
          <t>Aprovar composição poliglota controlada; se rejeitada, replanejar ports antes de avançar.</t>
        </is>
      </c>
      <c r="E2" s="3" t="inlineStr">
        <is>
          <t>A decidir</t>
        </is>
      </c>
      <c r="F2" s="3" t="inlineStr">
        <is>
          <t>Autor</t>
        </is>
      </c>
      <c r="G2" s="3" t="inlineStr"/>
    </row>
    <row r="3" ht="62" customHeight="1">
      <c r="A3" s="3" t="inlineStr">
        <is>
          <t>ADR-002</t>
        </is>
      </c>
      <c r="B3" s="3" t="inlineStr">
        <is>
          <t>Autoridade JSON/journal e MPK derivado</t>
        </is>
      </c>
      <c r="C3" s="3" t="inlineStr">
        <is>
          <t>S02</t>
        </is>
      </c>
      <c r="D3" s="3" t="inlineStr">
        <is>
          <t>Escolher precedência, fronteira de confirmação e formato aberto de histórico.</t>
        </is>
      </c>
      <c r="E3" s="3" t="inlineStr">
        <is>
          <t>A decidir</t>
        </is>
      </c>
      <c r="F3" s="3" t="inlineStr">
        <is>
          <t>Autor</t>
        </is>
      </c>
      <c r="G3" s="3" t="inlineStr"/>
    </row>
    <row r="4" ht="62" customHeight="1">
      <c r="A4" s="3" t="inlineStr">
        <is>
          <t>ADR-003</t>
        </is>
      </c>
      <c r="B4" s="3" t="inlineStr">
        <is>
          <t>Licença do código próprio e recorte upstream</t>
        </is>
      </c>
      <c r="C4" s="3" t="inlineStr">
        <is>
          <t>S03</t>
        </is>
      </c>
      <c r="D4" s="3" t="inlineStr">
        <is>
          <t>Ratificar licença; examinar por origem/arquivo, incluindo SearxNG e BlockSuite.</t>
        </is>
      </c>
      <c r="E4" s="3" t="inlineStr">
        <is>
          <t>A decidir</t>
        </is>
      </c>
      <c r="F4" s="3" t="inlineStr">
        <is>
          <t>Autor</t>
        </is>
      </c>
      <c r="G4" s="3" t="inlineStr"/>
    </row>
    <row r="5" ht="62" customHeight="1">
      <c r="A5" s="3" t="inlineStr">
        <is>
          <t>ADR-004</t>
        </is>
      </c>
      <c r="B5" s="3" t="inlineStr">
        <is>
          <t>Política Jev, BYOK e modo offline</t>
        </is>
      </c>
      <c r="C5" s="3" t="inlineStr">
        <is>
          <t>S01</t>
        </is>
      </c>
      <c r="D5" s="3" t="inlineStr">
        <is>
          <t>Jev de primeira classe quando autorizado; fallback local/pendência sem equivalente probabilístico presumido.</t>
        </is>
      </c>
      <c r="E5" s="3" t="inlineStr">
        <is>
          <t>A decidir</t>
        </is>
      </c>
      <c r="F5" s="3" t="inlineStr">
        <is>
          <t>Autor</t>
        </is>
      </c>
      <c r="G5" s="3" t="inlineStr"/>
    </row>
    <row r="6" ht="62" customHeight="1">
      <c r="A6" s="3" t="inlineStr">
        <is>
          <t>ADR-005</t>
        </is>
      </c>
      <c r="B6" s="3" t="inlineStr">
        <is>
          <t>Perfil Markdown e representação de IDs</t>
        </is>
      </c>
      <c r="C6" s="3" t="inlineStr">
        <is>
          <t>S02</t>
        </is>
      </c>
      <c r="D6" s="3" t="inlineStr">
        <is>
          <t>Fixar blocos suportados, campos preservados e extensões de proveniência.</t>
        </is>
      </c>
      <c r="E6" s="3" t="inlineStr">
        <is>
          <t>A decidir</t>
        </is>
      </c>
      <c r="F6" s="3" t="inlineStr">
        <is>
          <t>Autor</t>
        </is>
      </c>
      <c r="G6" s="3" t="inlineStr"/>
    </row>
    <row r="7" ht="62" customHeight="1">
      <c r="A7" s="3" t="inlineStr">
        <is>
          <t>ADR-006</t>
        </is>
      </c>
      <c r="B7" s="3" t="inlineStr">
        <is>
          <t>OS de referência e matriz de distribuição</t>
        </is>
      </c>
      <c r="C7" s="3" t="inlineStr">
        <is>
          <t>S01</t>
        </is>
      </c>
      <c r="D7" s="3" t="inlineStr">
        <is>
          <t>Escolher host principal sem reduzir os cinco alvos finais; obter acesso aos ambientes de teste.</t>
        </is>
      </c>
      <c r="E7" s="3" t="inlineStr">
        <is>
          <t>A decidir</t>
        </is>
      </c>
      <c r="F7" s="3" t="inlineStr">
        <is>
          <t>Autor</t>
        </is>
      </c>
      <c r="G7" s="3" t="inlineStr"/>
    </row>
    <row r="8" ht="62" customHeight="1">
      <c r="A8" s="3" t="inlineStr">
        <is>
          <t>ADR-007</t>
        </is>
      </c>
      <c r="B8" s="3" t="inlineStr">
        <is>
          <t>Budgets e perfis de hardware</t>
        </is>
      </c>
      <c r="C8" s="3" t="inlineStr">
        <is>
          <t>S05</t>
        </is>
      </c>
      <c r="D8" s="3" t="inlineStr">
        <is>
          <t>Fixar método de medição e perfis; OCR/STT pesado não recebe teto maior implicitamente.</t>
        </is>
      </c>
      <c r="E8" s="3" t="inlineStr">
        <is>
          <t>A decidir</t>
        </is>
      </c>
      <c r="F8" s="3" t="inlineStr">
        <is>
          <t>Autor</t>
        </is>
      </c>
      <c r="G8" s="3" t="inlineStr"/>
    </row>
    <row r="9" ht="62" customHeight="1">
      <c r="A9" s="3" t="inlineStr">
        <is>
          <t>ADR-008</t>
        </is>
      </c>
      <c r="B9" s="3" t="inlineStr">
        <is>
          <t>Recorte BlockSuite e integração DOM/PixiJS</t>
        </is>
      </c>
      <c r="C9" s="3" t="inlineStr">
        <is>
          <t>S12</t>
        </is>
      </c>
      <c r="D9" s="3" t="inlineStr">
        <is>
          <t>Fechar grafo de pacotes e licença/revisão; manter PixiJS como cena principal.</t>
        </is>
      </c>
      <c r="E9" s="3" t="inlineStr">
        <is>
          <t>A decidir</t>
        </is>
      </c>
      <c r="F9" s="3" t="inlineStr">
        <is>
          <t>Autor</t>
        </is>
      </c>
      <c r="G9" s="3" t="inlineStr"/>
    </row>
    <row r="10" ht="62" customHeight="1">
      <c r="A10" s="3" t="inlineStr">
        <is>
          <t>ADR-009</t>
        </is>
      </c>
      <c r="B10" s="3" t="inlineStr">
        <is>
          <t>Protocolos de workers e políticas por SO</t>
        </is>
      </c>
      <c r="C10" s="3" t="inlineStr">
        <is>
          <t>S23</t>
        </is>
      </c>
      <c r="D10" s="3" t="inlineStr">
        <is>
          <t>Fixar IPC, capabilities e fail-closed; tratar GPU/browser separadamente.</t>
        </is>
      </c>
      <c r="E10" s="3" t="inlineStr">
        <is>
          <t>A decidir</t>
        </is>
      </c>
      <c r="F10" s="3" t="inlineStr">
        <is>
          <t>Autor</t>
        </is>
      </c>
      <c r="G10" s="3" t="inlineStr"/>
    </row>
    <row r="11" ht="62" customHeight="1">
      <c r="A11" s="3" t="inlineStr">
        <is>
          <t>ADR-010</t>
        </is>
      </c>
      <c r="B11" s="3" t="inlineStr">
        <is>
          <t>Runtime LocalAI e backends/modelos permitidos</t>
        </is>
      </c>
      <c r="C11" s="3" t="inlineStr">
        <is>
          <t>S31</t>
        </is>
      </c>
      <c r="D11" s="3" t="inlineStr">
        <is>
          <t>Selecionar pacotes e desabilitar superfícies concorrentes de agentes/RAG/tools.</t>
        </is>
      </c>
      <c r="E11" s="3" t="inlineStr">
        <is>
          <t>A decidir</t>
        </is>
      </c>
      <c r="F11" s="3" t="inlineStr">
        <is>
          <t>Autor</t>
        </is>
      </c>
      <c r="G11" s="3" t="inlineStr"/>
    </row>
    <row r="12" ht="62" customHeight="1">
      <c r="A12" s="3" t="inlineStr">
        <is>
          <t>ADR-011</t>
        </is>
      </c>
      <c r="B12" s="3" t="inlineStr">
        <is>
          <t>Modelos de resumo, embeddings e transcrição</t>
        </is>
      </c>
      <c r="C12" s="3" t="inlineStr">
        <is>
          <t>S32</t>
        </is>
      </c>
      <c r="D12" s="3" t="inlineStr">
        <is>
          <t>Homologar por função/idioma/hardware; licença e hashes completos.</t>
        </is>
      </c>
      <c r="E12" s="3" t="inlineStr">
        <is>
          <t>A decidir</t>
        </is>
      </c>
      <c r="F12" s="3" t="inlineStr">
        <is>
          <t>Autor</t>
        </is>
      </c>
      <c r="G12" s="3" t="inlineStr"/>
    </row>
    <row r="13" ht="62" customHeight="1">
      <c r="A13" s="3" t="inlineStr">
        <is>
          <t>ADR-012</t>
        </is>
      </c>
      <c r="B13" s="3" t="inlineStr">
        <is>
          <t>Taxonomia, thresholds e abstenção</t>
        </is>
      </c>
      <c r="C13" s="3" t="inlineStr">
        <is>
          <t>S35</t>
        </is>
      </c>
      <c r="D13" s="3" t="inlineStr">
        <is>
          <t>Aprovar política calibrada; retirar merges silenciosos por distância/similaridade.</t>
        </is>
      </c>
      <c r="E13" s="3" t="inlineStr">
        <is>
          <t>A decidir</t>
        </is>
      </c>
      <c r="F13" s="3" t="inlineStr">
        <is>
          <t>Autor</t>
        </is>
      </c>
      <c r="G13" s="3" t="inlineStr"/>
    </row>
    <row r="14" ht="62" customHeight="1">
      <c r="A14" s="3" t="inlineStr">
        <is>
          <t>ADR-013</t>
        </is>
      </c>
      <c r="B14" s="3" t="inlineStr">
        <is>
          <t>Backend de busca inicial</t>
        </is>
      </c>
      <c r="C14" s="3" t="inlineStr">
        <is>
          <t>S40</t>
        </is>
      </c>
      <c r="D14" s="3" t="inlineStr">
        <is>
          <t>Escolher Qdrant ou HelixDB por evidência; não distribuir ambos por hábito.</t>
        </is>
      </c>
      <c r="E14" s="3" t="inlineStr">
        <is>
          <t>A decidir</t>
        </is>
      </c>
      <c r="F14" s="3" t="inlineStr">
        <is>
          <t>Autor</t>
        </is>
      </c>
      <c r="G14" s="3" t="inlineStr"/>
    </row>
    <row r="15" ht="62" customHeight="1">
      <c r="A15" s="3" t="inlineStr">
        <is>
          <t>ADR-014</t>
        </is>
      </c>
      <c r="B15" s="3" t="inlineStr">
        <is>
          <t>Recorte PageIndex e contrato de Context Engine</t>
        </is>
      </c>
      <c r="C15" s="3" t="inlineStr">
        <is>
          <t>S42</t>
        </is>
      </c>
      <c r="D15" s="3" t="inlineStr">
        <is>
          <t>Definir upstream mínimo e fronteiras substituídas; árvore é projeção do grafo.</t>
        </is>
      </c>
      <c r="E15" s="3" t="inlineStr">
        <is>
          <t>A decidir</t>
        </is>
      </c>
      <c r="F15" s="3" t="inlineStr">
        <is>
          <t>Autor</t>
        </is>
      </c>
      <c r="G15" s="3" t="inlineStr"/>
    </row>
    <row r="16" ht="62" customHeight="1">
      <c r="A16" s="3" t="inlineStr">
        <is>
          <t>ADR-015</t>
        </is>
      </c>
      <c r="B16" s="3" t="inlineStr">
        <is>
          <t>Instância SearxNG e normalização web</t>
        </is>
      </c>
      <c r="C16" s="3" t="inlineStr">
        <is>
          <t>S47</t>
        </is>
      </c>
      <c r="D16" s="3" t="inlineStr">
        <is>
          <t>Aprovar execução local/instância pessoal e política de consultas; sem instância pública implícita.</t>
        </is>
      </c>
      <c r="E16" s="3" t="inlineStr">
        <is>
          <t>A decidir</t>
        </is>
      </c>
      <c r="F16" s="3" t="inlineStr">
        <is>
          <t>Autor</t>
        </is>
      </c>
      <c r="G16" s="3" t="inlineStr"/>
    </row>
    <row r="17" ht="62" customHeight="1">
      <c r="A17" s="3" t="inlineStr">
        <is>
          <t>ADR-016</t>
        </is>
      </c>
      <c r="B17" s="3" t="inlineStr">
        <is>
          <t>Git, retenção e evidências criptográficas</t>
        </is>
      </c>
      <c r="C17" s="3" t="inlineStr">
        <is>
          <t>S58</t>
        </is>
      </c>
      <c r="D17" s="3" t="inlineStr">
        <is>
          <t>Aprovar dados incluídos/excluídos, purga, assinatura/ancoragem e alcance de rollback.</t>
        </is>
      </c>
      <c r="E17" s="3" t="inlineStr">
        <is>
          <t>A decidir</t>
        </is>
      </c>
      <c r="F17" s="3" t="inlineStr">
        <is>
          <t>Autor</t>
        </is>
      </c>
      <c r="G17" s="3" t="inlineStr"/>
    </row>
    <row r="18" ht="62" customHeight="1">
      <c r="A18" s="3" t="inlineStr">
        <is>
          <t>ADR-017</t>
        </is>
      </c>
      <c r="B18" s="3" t="inlineStr">
        <is>
          <t>Escopo pós-v1.0</t>
        </is>
      </c>
      <c r="C18" s="3" t="inlineStr">
        <is>
          <t>S61</t>
        </is>
      </c>
      <c r="D18" s="3" t="inlineStr">
        <is>
          <t>Ratificar evolução sem bloquear correções; distinguir obrigatório, experimental e não escopo.</t>
        </is>
      </c>
      <c r="E18" s="3" t="inlineStr">
        <is>
          <t>A decidir</t>
        </is>
      </c>
      <c r="F18" s="3" t="inlineStr">
        <is>
          <t>Autor</t>
        </is>
      </c>
      <c r="G18" s="3" t="inlineStr"/>
    </row>
    <row r="19" ht="62" customHeight="1">
      <c r="A19" s="3" t="inlineStr">
        <is>
          <t>ADR-018</t>
        </is>
      </c>
      <c r="B19" s="3" t="inlineStr">
        <is>
          <t>SDK/extensões da v2.0</t>
        </is>
      </c>
      <c r="C19" s="3" t="inlineStr">
        <is>
          <t>S67</t>
        </is>
      </c>
      <c r="D19" s="3" t="inlineStr">
        <is>
          <t>Aprovar superfície restrita, distribuição e permissões; não abrir execução arbitrária de plugins.</t>
        </is>
      </c>
      <c r="E19" s="3" t="inlineStr">
        <is>
          <t>A decidir</t>
        </is>
      </c>
      <c r="F19" s="3" t="inlineStr">
        <is>
          <t>Autor</t>
        </is>
      </c>
      <c r="G19" s="3" t="inlineStr"/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8" customWidth="1" min="2" max="2"/>
    <col width="67" customWidth="1" min="3" max="3"/>
    <col width="116" customWidth="1" min="4" max="4"/>
    <col width="90" customWidth="1" min="5" max="5"/>
    <col width="99" customWidth="1" min="6" max="6"/>
    <col width="80" customWidth="1" min="7" max="7"/>
  </cols>
  <sheetData>
    <row r="1" ht="34" customHeight="1">
      <c r="A1" s="8" t="inlineStr">
        <is>
          <t>Motor</t>
        </is>
      </c>
      <c r="B1" s="8" t="inlineStr">
        <is>
          <t>Trilha de sprints</t>
        </is>
      </c>
      <c r="C1" s="8" t="inlineStr">
        <is>
          <t>Modo de integração</t>
        </is>
      </c>
      <c r="D1" s="8" t="inlineStr">
        <is>
          <t>Recorte a reutilizar</t>
        </is>
      </c>
      <c r="E1" s="8" t="inlineStr">
        <is>
          <t>Excluir</t>
        </is>
      </c>
      <c r="F1" s="8" t="inlineStr">
        <is>
          <t>Desenvolvimento próprio</t>
        </is>
      </c>
      <c r="G1" s="8" t="inlineStr">
        <is>
          <t>Referência inicial</t>
        </is>
      </c>
    </row>
    <row r="2" ht="105" customHeight="1">
      <c r="A2" s="3" t="inlineStr">
        <is>
          <t>BlockSuite</t>
        </is>
      </c>
      <c r="B2" s="3" t="inlineStr">
        <is>
          <t>S12–S15; S18; S20–S21; S63; S70</t>
        </is>
      </c>
      <c r="C2" s="3" t="inlineStr">
        <is>
          <t>Bibliotecas + facade; patch set mínimo</t>
        </is>
      </c>
      <c r="D2" s="3" t="inlineStr">
        <is>
          <t>store/std/rich-text, modelos/blocos necessários; confirmar grafo workspace na revisão fixada</t>
        </is>
      </c>
      <c r="E2" s="3" t="inlineStr">
        <is>
          <t>UI AFFiNE, cloud e segundo canvas</t>
        </is>
      </c>
      <c r="F2" s="3" t="inlineStr">
        <is>
          <t>Codec Markdown, IDs, salvamento, overlay PixiJS e proveniência</t>
        </is>
      </c>
      <c r="G2" s="9" t="inlineStr">
        <is>
          <t>https://github.com/toeverything/AFFiNE/tree/canary/blocksuite</t>
        </is>
      </c>
    </row>
    <row r="3" ht="105" customHeight="1">
      <c r="A3" s="3" t="inlineStr">
        <is>
          <t>PageIndex</t>
        </is>
      </c>
      <c r="B3" s="3" t="inlineStr">
        <is>
          <t>S42–S46; S63; S70</t>
        </is>
      </c>
      <c r="C3" s="3" t="inlineStr">
        <is>
          <t>Recorte/fork delimitado + portas de modelo/dados</t>
        </is>
      </c>
      <c r="D3" s="3" t="inlineStr">
        <is>
          <t>page_index_md, navegação/resumos/tools úteis; confirmar módulos reais no checkout</t>
        </is>
      </c>
      <c r="E3" s="3" t="inlineStr">
        <is>
          <t>DocStore como autoridade, páginas de PDF artificiais, acesso global e cloud implícita</t>
        </is>
      </c>
      <c r="F3" s="3" t="inlineStr">
        <is>
          <t>Snapshot estrutural, IDs estáveis, relações cruzadas, budgets, invalidação e ToolBroker</t>
        </is>
      </c>
      <c r="G3" s="9" t="inlineStr">
        <is>
          <t>https://github.com/VectifyAI/PageIndex</t>
        </is>
      </c>
    </row>
    <row r="4" ht="105" customHeight="1">
      <c r="A4" s="3" t="inlineStr">
        <is>
          <t>Qdrant</t>
        </is>
      </c>
      <c r="B4" s="3" t="inlineStr">
        <is>
          <t>S37–S38; S40–S41 se escolhido</t>
        </is>
      </c>
      <c r="C4" s="3" t="inlineStr">
        <is>
          <t>Spike; depois adapter sem extrair o storage interno</t>
        </is>
      </c>
      <c r="D4" s="3" t="inlineStr">
        <is>
          <t>Edge ou Server conforme capacidades testadas</t>
        </is>
      </c>
      <c r="E4" s="3" t="inlineStr">
        <is>
          <t>Segundo banco permanente se não for escolhido; UI/cluster sem necessidade</t>
        </is>
      </c>
      <c r="F4" s="3" t="inlineStr">
        <is>
          <t>SearchProvider, fusão/escopo, revisões e reconstrução</t>
        </is>
      </c>
      <c r="G4" s="9" t="inlineStr">
        <is>
          <t>https://qdrant.tech/documentation/edge/</t>
        </is>
      </c>
    </row>
    <row r="5" ht="105" customHeight="1">
      <c r="A5" s="3" t="inlineStr">
        <is>
          <t>HelixDB</t>
        </is>
      </c>
      <c r="B5" s="3" t="inlineStr">
        <is>
          <t>S37; S39; S40–S41 se escolhido</t>
        </is>
      </c>
      <c r="C5" s="3" t="inlineStr">
        <is>
          <t>Spike; depois adapter embutido/local conforme evidência</t>
        </is>
      </c>
      <c r="D5" s="3" t="inlineStr">
        <is>
          <t>Engine/SDK e consultas requeridas de texto, vetores e relações derivadas</t>
        </is>
      </c>
      <c r="E5" s="3" t="inlineStr">
        <is>
          <t>Fonte da verdade e object storage remoto obrigatório</t>
        </is>
      </c>
      <c r="F5" s="3" t="inlineStr">
        <is>
          <t>SearchProvider, projeções da topologia e ciclo de índices</t>
        </is>
      </c>
      <c r="G5" s="9" t="inlineStr">
        <is>
          <t>https://docs.helix-db.com/database/helix-db/start-here/local-development/embedded-database</t>
        </is>
      </c>
    </row>
    <row r="6" ht="105" customHeight="1">
      <c r="A6" s="3" t="inlineStr">
        <is>
          <t>Jev</t>
        </is>
      </c>
      <c r="B6" s="3" t="inlineStr">
        <is>
          <t>S34–S35; S52; S63</t>
        </is>
      </c>
      <c r="C6" s="3" t="inlineStr">
        <is>
          <t>Adapter de serviço + contrato de decisões</t>
        </is>
      </c>
      <c r="D6" s="3" t="inlineStr">
        <is>
          <t>Choice, Score e Noul da API, com versão registrada</t>
        </is>
      </c>
      <c r="E6" s="3" t="inlineStr">
        <is>
          <t>Tentativa de extrair pesos fechados, executar Jev no LocalAI ou gerar texto livre</t>
        </is>
      </c>
      <c r="F6" s="3" t="inlineStr">
        <is>
          <t>Taxonomia, candidatos, calibração, consentimento, fallback e revisão</t>
        </is>
      </c>
      <c r="G6" s="9" t="inlineStr">
        <is>
          <t>https://docs.typesafe.ai/introduction</t>
        </is>
      </c>
    </row>
    <row r="7" ht="105" customHeight="1">
      <c r="A7" s="3" t="inlineStr">
        <is>
          <t>Docling</t>
        </is>
      </c>
      <c r="B7" s="3" t="inlineStr">
        <is>
          <t>S27–S28; S30; S63; S70</t>
        </is>
      </c>
      <c r="C7" s="3" t="inlineStr">
        <is>
          <t>Worker Python empacotado; adapter mínimo</t>
        </is>
      </c>
      <c r="D7" s="3" t="inlineStr">
        <is>
          <t>Parsing textual, tabelas, OCR aprovado e mapas de fonte</t>
        </is>
      </c>
      <c r="E7" s="3" t="inlineStr">
        <is>
          <t>Servidor sempre residente, todos os modelos e acesso amplo ao Vault</t>
        </is>
      </c>
      <c r="F7" s="3" t="inlineStr">
        <is>
          <t>NormalizedDocument, jobs, persistência, limites e reprocessamento</t>
        </is>
      </c>
      <c r="G7" s="9" t="inlineStr">
        <is>
          <t>https://github.com/docling-project/docling</t>
        </is>
      </c>
    </row>
    <row r="8" ht="105" customHeight="1">
      <c r="A8" s="3" t="inlineStr">
        <is>
          <t>Readability / Turndown</t>
        </is>
      </c>
      <c r="B8" s="3" t="inlineStr">
        <is>
          <t>S29–S30; S48; S63; S70</t>
        </is>
      </c>
      <c r="C8" s="3" t="inlineStr">
        <is>
          <t>Bibliotecas JS em ambiente DOM isolado</t>
        </is>
      </c>
      <c r="D8" s="3" t="inlineStr">
        <is>
          <t>Extração de artigo e conversão HTML para Markdown</t>
        </is>
      </c>
      <c r="E8" s="3" t="inlineStr">
        <is>
          <t>Scripts/trackers remotos e janela principal como parser hostil</t>
        </is>
      </c>
      <c r="F8" s="3" t="inlineStr">
        <is>
          <t>Sanitização, assets, origem, workers e normalização canônica</t>
        </is>
      </c>
      <c r="G8" s="9" t="inlineStr">
        <is>
          <t>https://github.com/mozilla/readability</t>
        </is>
      </c>
    </row>
    <row r="9" ht="105" customHeight="1">
      <c r="A9" s="3" t="inlineStr">
        <is>
          <t>SearxNG</t>
        </is>
      </c>
      <c r="B9" s="3" t="inlineStr">
        <is>
          <t>S47; S50; S63; S70</t>
        </is>
      </c>
      <c r="C9" s="3" t="inlineStr">
        <is>
          <t>Serviço local/pessoal configurado + adapter</t>
        </is>
      </c>
      <c r="D9" s="3" t="inlineStr">
        <is>
          <t>Metabusca e API JSON dos engines escolhidos</t>
        </is>
      </c>
      <c r="E9" s="3" t="inlineStr">
        <is>
          <t>Frontend próprio, instância pública implícita, alegação de busca offline</t>
        </is>
      </c>
      <c r="F9" s="3" t="inlineStr">
        <is>
          <t>Consulta/egress, UI, histórico, seleção, lifecycle e distribuição AGPL</t>
        </is>
      </c>
      <c r="G9" s="9" t="inlineStr">
        <is>
          <t>https://github.com/searxng/searxng</t>
        </is>
      </c>
    </row>
    <row r="10" ht="105" customHeight="1">
      <c r="A10" s="3" t="inlineStr">
        <is>
          <t>Scrapling</t>
        </is>
      </c>
      <c r="B10" s="3" t="inlineStr">
        <is>
          <t>S48–S50; S63; S70</t>
        </is>
      </c>
      <c r="C10" s="3" t="inlineStr">
        <is>
          <t>Worker HTTP e browser separado sob demanda</t>
        </is>
      </c>
      <c r="D10" s="3" t="inlineStr">
        <is>
          <t>Fetchers, parser/sessões e aquisição dinâmica quando aprovada</t>
        </is>
      </c>
      <c r="E10" s="3" t="inlineStr">
        <is>
          <t>Crawl irrestrito, um browser por widget e bypass universal prometido</t>
        </is>
      </c>
      <c r="F10" s="3" t="inlineStr">
        <is>
          <t>Política SSRF/rede, snapshots, pool, limits e promoção à Mesa</t>
        </is>
      </c>
      <c r="G10" s="9" t="inlineStr">
        <is>
          <t>https://github.com/D4Vinci/Scrapling</t>
        </is>
      </c>
    </row>
    <row r="11" ht="105" customHeight="1">
      <c r="A11" s="3" t="inlineStr">
        <is>
          <t>LocalAI</t>
        </is>
      </c>
      <c r="B11" s="3" t="inlineStr">
        <is>
          <t>S31–S32; S36; S63; S65; S70</t>
        </is>
      </c>
      <c r="C11" s="3" t="inlineStr">
        <is>
          <t>Runtime gerenciado, não reescrita de kernels</t>
        </is>
      </c>
      <c r="D11" s="3" t="inlineStr">
        <is>
          <t>APIs e backends homologados, carga/descarga e mecanismos de recursos</t>
        </is>
      </c>
      <c r="E11" s="3" t="inlineStr">
        <is>
          <t>Agentes, shell, memória/RAG paralelos e downloads automáticos arbitrários</t>
        </is>
      </c>
      <c r="F11" s="3" t="inlineStr">
        <is>
          <t>Catálogo, gateway, consentimento, pacotes, supervisor e diagnóstico</t>
        </is>
      </c>
      <c r="G11" s="9" t="inlineStr">
        <is>
          <t>https://github.com/mudler/LocalAI</t>
        </is>
      </c>
    </row>
    <row r="12" ht="105" customHeight="1">
      <c r="A12" s="3" t="inlineStr">
        <is>
          <t>PixiJS / Tauri / SQLite</t>
        </is>
      </c>
      <c r="B12" s="3" t="inlineStr">
        <is>
          <t>S04–S11; S16–S19; S54–S57</t>
        </is>
      </c>
      <c r="C12" s="3" t="inlineStr">
        <is>
          <t>Infraestrutura reutilizada com domínio próprio</t>
        </is>
      </c>
      <c r="D12" s="3" t="inlineStr">
        <is>
          <t>Janela/IPC, renderização e projeções SQL</t>
        </is>
      </c>
      <c r="E12" s="3" t="inlineStr">
        <is>
          <t>Autoridade de dados nas caches e permissões implícitas</t>
        </is>
      </c>
      <c r="F12" s="3" t="inlineStr">
        <is>
          <t>Vault, board, interação, conflitos, política de segurança e lifecycle</t>
        </is>
      </c>
      <c r="G12" s="9" t="inlineStr">
        <is>
          <t>Sandland-RFC-Integracao-e-Desconstrucao.md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6" customWidth="1" min="2" max="2"/>
    <col width="18" customWidth="1" min="3" max="3"/>
    <col width="36" customWidth="1" min="4" max="4"/>
    <col width="143" customWidth="1" min="5" max="5"/>
  </cols>
  <sheetData>
    <row r="1" ht="34" customHeight="1">
      <c r="A1" s="8" t="inlineStr">
        <is>
          <t>ID</t>
        </is>
      </c>
      <c r="B1" s="8" t="inlineStr">
        <is>
          <t>Risco</t>
        </is>
      </c>
      <c r="C1" s="8" t="inlineStr">
        <is>
          <t>Severidade</t>
        </is>
      </c>
      <c r="D1" s="8" t="inlineStr">
        <is>
          <t>Onde</t>
        </is>
      </c>
      <c r="E1" s="8" t="inlineStr">
        <is>
          <t>Resposta / contingência</t>
        </is>
      </c>
    </row>
    <row r="2" ht="78" customHeight="1">
      <c r="A2" s="3" t="inlineStr">
        <is>
          <t>K01</t>
        </is>
      </c>
      <c r="B2" s="3" t="inlineStr">
        <is>
          <t>Incompatibilidade do requisito Rust estrito com os motores escolhidos</t>
        </is>
      </c>
      <c r="C2" s="3" t="inlineStr">
        <is>
          <t>Crítico</t>
        </is>
      </c>
      <c r="D2" s="3" t="inlineStr">
        <is>
          <t>S01</t>
        </is>
      </c>
      <c r="E2" s="3" t="inlineStr">
        <is>
          <t>ADR-001 aprovada antes de implementar; rejeição implica replanejar ports, não fingir compatibilidade.</t>
        </is>
      </c>
    </row>
    <row r="3" ht="78" customHeight="1">
      <c r="A3" s="3" t="inlineStr">
        <is>
          <t>K02</t>
        </is>
      </c>
      <c r="B3" s="3" t="inlineStr">
        <is>
          <t>Perda autoral por dois stores ou dual-write arquivo/banco</t>
        </is>
      </c>
      <c r="C3" s="3" t="inlineStr">
        <is>
          <t>Crítico</t>
        </is>
      </c>
      <c r="D3" s="3" t="inlineStr">
        <is>
          <t>S02; S07–S11</t>
        </is>
      </c>
      <c r="E3" s="3" t="inlineStr">
        <is>
          <t>Journal/checkpoints, escritor único, expected_revision e destruição de caches como gate.</t>
        </is>
      </c>
    </row>
    <row r="4" ht="78" customHeight="1">
      <c r="A4" s="3" t="inlineStr">
        <is>
          <t>K03</t>
        </is>
      </c>
      <c r="B4" s="3" t="inlineStr">
        <is>
          <t>BlockSuite não representa todo o perfil Markdown sem perda</t>
        </is>
      </c>
      <c r="C4" s="3" t="inlineStr">
        <is>
          <t>Alto</t>
        </is>
      </c>
      <c r="D4" s="3" t="inlineStr">
        <is>
          <t>S12–S15</t>
        </is>
      </c>
      <c r="E4" s="3" t="inlineStr">
        <is>
          <t>Golden round-trip; limitar blocos ou extensão aberta; não converter silenciosamente em texto plano.</t>
        </is>
      </c>
    </row>
    <row r="5" ht="78" customHeight="1">
      <c r="A5" s="3" t="inlineStr">
        <is>
          <t>K04</t>
        </is>
      </c>
      <c r="B5" s="3" t="inlineStr">
        <is>
          <t>Recorte PageIndex reintroduz IDs instáveis ou acesso global</t>
        </is>
      </c>
      <c r="C5" s="3" t="inlineStr">
        <is>
          <t>Crítico</t>
        </is>
      </c>
      <c r="D5" s="3" t="inlineStr">
        <is>
          <t>S42–S46</t>
        </is>
      </c>
      <c r="E5" s="3" t="inlineStr">
        <is>
          <t>Portas de dados/modelos, grafo canônico, corpus contrastivo e testes negativos por ferramenta.</t>
        </is>
      </c>
    </row>
    <row r="6" ht="78" customHeight="1">
      <c r="A6" s="3" t="inlineStr">
        <is>
          <t>K05</t>
        </is>
      </c>
      <c r="B6" s="3" t="inlineStr">
        <is>
          <t>Qdrant e HelixDB não satisfazem requisitos de distribuição/recuperação</t>
        </is>
      </c>
      <c r="C6" s="3" t="inlineStr">
        <is>
          <t>Alto</t>
        </is>
      </c>
      <c r="D6" s="3" t="inlineStr">
        <is>
          <t>S37–S40</t>
        </is>
      </c>
      <c r="E6" s="3" t="inlineStr">
        <is>
          <t>Spikes comparáveis; decisão humana; se ambos falham, interromper integração e revisar ADR.</t>
        </is>
      </c>
    </row>
    <row r="7" ht="78" customHeight="1">
      <c r="A7" s="3" t="inlineStr">
        <is>
          <t>K06</t>
        </is>
      </c>
      <c r="B7" s="3" t="inlineStr">
        <is>
          <t>Jev obrigatório inviabiliza offline ou envia dados sem permissão</t>
        </is>
      </c>
      <c r="C7" s="3" t="inlineStr">
        <is>
          <t>Crítico</t>
        </is>
      </c>
      <c r="D7" s="3" t="inlineStr">
        <is>
          <t>S01; S34–S35</t>
        </is>
      </c>
      <c r="E7" s="3" t="inlineStr">
        <is>
          <t>Integração nativa autorizada, fallback distinto/pendência e consentimento antes de qualquer chamada.</t>
        </is>
      </c>
    </row>
    <row r="8" ht="78" customHeight="1">
      <c r="A8" s="3" t="inlineStr">
        <is>
          <t>K07</t>
        </is>
      </c>
      <c r="B8" s="3" t="inlineStr">
        <is>
          <t>Parsers/browser expõem host a conteúdo malformado</t>
        </is>
      </c>
      <c r="C8" s="3" t="inlineStr">
        <is>
          <t>Crítico</t>
        </is>
      </c>
      <c r="D8" s="3" t="inlineStr">
        <is>
          <t>S23–S30; S48–S49</t>
        </is>
      </c>
      <c r="E8" s="3" t="inlineStr">
        <is>
          <t>Perfis de SO reais, inputs mínimos, quotas, broker e capacidades desabilitadas onde não confinadas.</t>
        </is>
      </c>
    </row>
    <row r="9" ht="78" customHeight="1">
      <c r="A9" s="3" t="inlineStr">
        <is>
          <t>K08</t>
        </is>
      </c>
      <c r="B9" s="3" t="inlineStr">
        <is>
          <t>Sandbox de um SO é tratada como equivalente à de todos</t>
        </is>
      </c>
      <c r="C9" s="3" t="inlineStr">
        <is>
          <t>Crítico</t>
        </is>
      </c>
      <c r="D9" s="3" t="inlineStr">
        <is>
          <t>S24–S26; S56–S57</t>
        </is>
      </c>
      <c r="E9" s="3" t="inlineStr">
        <is>
          <t>Testes nativos; matriz de capacidades; AppContainer/ACLs além de Jobs; macOS com mecanismo auditado.</t>
        </is>
      </c>
    </row>
    <row r="10" ht="78" customHeight="1">
      <c r="A10" s="3" t="inlineStr">
        <is>
          <t>K09</t>
        </is>
      </c>
      <c r="B10" s="3" t="inlineStr">
        <is>
          <t>LocalAI/OCR/browser impedem atingir budgets</t>
        </is>
      </c>
      <c r="C10" s="3" t="inlineStr">
        <is>
          <t>Alto</t>
        </is>
      </c>
      <c r="D10" s="3" t="inlineStr">
        <is>
          <t>S31–S32; S49; S55</t>
        </is>
      </c>
      <c r="E10" s="3" t="inlineStr">
        <is>
          <t>Lazy start, unload, backpressure e medição de processos; revisão explícita, nunca esconder consumo.</t>
        </is>
      </c>
    </row>
    <row r="11" ht="78" customHeight="1">
      <c r="A11" s="3" t="inlineStr">
        <is>
          <t>K10</t>
        </is>
      </c>
      <c r="B11" s="3" t="inlineStr">
        <is>
          <t>Falta de hardware/assinatura/runner para cinco alvos</t>
        </is>
      </c>
      <c r="C11" s="3" t="inlineStr">
        <is>
          <t>Alto</t>
        </is>
      </c>
      <c r="D11" s="3" t="inlineStr">
        <is>
          <t>S01; S05; S56–S57</t>
        </is>
      </c>
      <c r="E11" s="3" t="inlineStr">
        <is>
          <t>Inventariar acesso e custos; sem teste real não publicar plataforma como homologada.</t>
        </is>
      </c>
    </row>
    <row r="12" ht="78" customHeight="1">
      <c r="A12" s="3" t="inlineStr">
        <is>
          <t>K11</t>
        </is>
      </c>
      <c r="B12" s="3" t="inlineStr">
        <is>
          <t>Atualização upstream torna o fork difícil de manter</t>
        </is>
      </c>
      <c r="C12" s="3" t="inlineStr">
        <is>
          <t>Alto</t>
        </is>
      </c>
      <c r="D12" s="3" t="inlineStr">
        <is>
          <t>S03; S12; S42; S63; S70</t>
        </is>
      </c>
      <c r="E12" s="3" t="inlineStr">
        <is>
          <t>Facades estreitas, patches pequenos, lockfiles e comparação diferencial.</t>
        </is>
      </c>
    </row>
    <row r="13" ht="78" customHeight="1">
      <c r="A13" s="3" t="inlineStr">
        <is>
          <t>K12</t>
        </is>
      </c>
      <c r="B13" s="3" t="inlineStr">
        <is>
          <t>Geração fluente esconde erro factual ou citação inventada</t>
        </is>
      </c>
      <c r="C13" s="3" t="inlineStr">
        <is>
          <t>Alto</t>
        </is>
      </c>
      <c r="D13" s="3" t="inlineStr">
        <is>
          <t>S33; S46; S51</t>
        </is>
      </c>
      <c r="E13" s="3" t="inlineStr">
        <is>
          <t>Validação de referências, corpus reservado, cobertura declarada, abstenção e revisão humana.</t>
        </is>
      </c>
    </row>
    <row r="14" ht="78" customHeight="1">
      <c r="A14" s="3" t="inlineStr">
        <is>
          <t>K13</t>
        </is>
      </c>
      <c r="B14" s="3" t="inlineStr">
        <is>
          <t>Escopo e backlog excedem capacidade de um mantenedor</t>
        </is>
      </c>
      <c r="C14" s="3" t="inlineStr">
        <is>
          <t>Alto</t>
        </is>
      </c>
      <c r="D14" s="3" t="inlineStr">
        <is>
          <t>Todos</t>
        </is>
      </c>
      <c r="E14" s="3" t="inlineStr">
        <is>
          <t>WIP humano 1; releases úteis cedo; sprints podem ser subdivididos; v2 proposta ratificada antes de executar.</t>
        </is>
      </c>
    </row>
    <row r="15" ht="78" customHeight="1">
      <c r="A15" s="3" t="inlineStr">
        <is>
          <t>K14</t>
        </is>
      </c>
      <c r="B15" s="3" t="inlineStr">
        <is>
          <t>Agente declara testes verdes sem executá-los</t>
        </is>
      </c>
      <c r="C15" s="3" t="inlineStr">
        <is>
          <t>Crítico</t>
        </is>
      </c>
      <c r="D15" s="3" t="inlineStr">
        <is>
          <t>S04–S05; todos os gates</t>
        </is>
      </c>
      <c r="E15" s="3" t="inlineStr">
        <is>
          <t>Evidência vinculada a commit/ambiente; revisor humano; resultados não executados ficam pendentes.</t>
        </is>
      </c>
    </row>
    <row r="16" ht="78" customHeight="1">
      <c r="A16" s="3" t="inlineStr">
        <is>
          <t>K15</t>
        </is>
      </c>
      <c r="B16" s="3" t="inlineStr">
        <is>
          <t>Licenças/pesos ou API são considerados gratuitos por ser nonprofit</t>
        </is>
      </c>
      <c r="C16" s="3" t="inlineStr">
        <is>
          <t>Alto</t>
        </is>
      </c>
      <c r="D16" s="3" t="inlineStr">
        <is>
          <t>S03; S32; S47; releases</t>
        </is>
      </c>
      <c r="E16" s="3" t="inlineStr">
        <is>
          <t>SBOM, direitos por artefato e orçamento/consentimento; licença do código não cobre automaticamente modelos.</t>
        </is>
      </c>
    </row>
    <row r="17" ht="78" customHeight="1">
      <c r="A17" s="3" t="inlineStr">
        <is>
          <t>K16</t>
        </is>
      </c>
      <c r="B17" s="3" t="inlineStr">
        <is>
          <t>Nova extensão v2 amplia privilégios ou acopla dados ao provedor</t>
        </is>
      </c>
      <c r="C17" s="3" t="inlineStr">
        <is>
          <t>Crítico</t>
        </is>
      </c>
      <c r="D17" s="3" t="inlineStr">
        <is>
          <t>S67–S72</t>
        </is>
      </c>
      <c r="E17" s="3" t="inlineStr">
        <is>
          <t>SDK restrito, capabilities, revogação, sandbox e prova File-as-Truth com extensões removidas.</t>
        </is>
      </c>
    </row>
    <row r="18" ht="78" customHeight="1">
      <c r="A18" s="3" t="inlineStr">
        <is>
          <t>K17</t>
        </is>
      </c>
      <c r="B18" s="3" t="inlineStr">
        <is>
          <t>Mudança de embedding mistura espaços vetoriais</t>
        </is>
      </c>
      <c r="C18" s="3" t="inlineStr">
        <is>
          <t>Alto</t>
        </is>
      </c>
      <c r="D18" s="3" t="inlineStr">
        <is>
          <t>S32; S37; S40–S41; S63</t>
        </is>
      </c>
      <c r="E18" s="3" t="inlineStr">
        <is>
          <t>Manifesto por índice; rebuild/swap de geração e comparação de qualidade.</t>
        </is>
      </c>
    </row>
    <row r="19" ht="78" customHeight="1">
      <c r="A19" s="3" t="inlineStr">
        <is>
          <t>K18</t>
        </is>
      </c>
      <c r="B19" s="3" t="inlineStr">
        <is>
          <t>Migração ou purga apaga histórico necessário</t>
        </is>
      </c>
      <c r="C19" s="3" t="inlineStr">
        <is>
          <t>Crítico</t>
        </is>
      </c>
      <c r="D19" s="3" t="inlineStr">
        <is>
          <t>S08; S58; S62; S71</t>
        </is>
      </c>
      <c r="E19" s="3" t="inlineStr">
        <is>
          <t>Preview, checkpoint, falhas injetadas, retenção explícita e restore testado.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5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5" customWidth="1" min="2" max="2"/>
    <col width="17" customWidth="1" min="3" max="3"/>
    <col width="17" customWidth="1" min="4" max="4"/>
    <col width="100" customWidth="1" min="5" max="5"/>
  </cols>
  <sheetData>
    <row r="1" ht="34" customHeight="1">
      <c r="A1" s="8" t="inlineStr">
        <is>
          <t>Pré-requisito ID</t>
        </is>
      </c>
      <c r="B1" s="8" t="inlineStr">
        <is>
          <t>Item dependente ID</t>
        </is>
      </c>
      <c r="C1" s="8" t="inlineStr">
        <is>
          <t>Sprint origem</t>
        </is>
      </c>
      <c r="D1" s="8" t="inlineStr">
        <is>
          <t>Sprint destino</t>
        </is>
      </c>
      <c r="E1" s="8" t="inlineStr">
        <is>
          <t>Regra</t>
        </is>
      </c>
    </row>
    <row r="2" ht="28" customHeight="1">
      <c r="A2" s="3" t="inlineStr">
        <is>
          <t>SL-S01-01</t>
        </is>
      </c>
      <c r="B2" s="3" t="inlineStr">
        <is>
          <t>SL-S01-02</t>
        </is>
      </c>
      <c r="C2" s="3" t="inlineStr">
        <is>
          <t>S01</t>
        </is>
      </c>
      <c r="D2" s="3" t="inlineStr">
        <is>
          <t>S01</t>
        </is>
      </c>
      <c r="E2" s="3" t="inlineStr">
        <is>
          <t>Bloqueia até aceite; sequência conservadora dentro do sprint</t>
        </is>
      </c>
    </row>
    <row r="3" ht="28" customHeight="1">
      <c r="A3" s="3" t="inlineStr">
        <is>
          <t>SL-S01-02</t>
        </is>
      </c>
      <c r="B3" s="3" t="inlineStr">
        <is>
          <t>SL-S01-03</t>
        </is>
      </c>
      <c r="C3" s="3" t="inlineStr">
        <is>
          <t>S01</t>
        </is>
      </c>
      <c r="D3" s="3" t="inlineStr">
        <is>
          <t>S01</t>
        </is>
      </c>
      <c r="E3" s="3" t="inlineStr">
        <is>
          <t>Bloqueia até aceite; sequência conservadora dentro do sprint</t>
        </is>
      </c>
    </row>
    <row r="4" ht="28" customHeight="1">
      <c r="A4" s="3" t="inlineStr">
        <is>
          <t>SL-S01-03</t>
        </is>
      </c>
      <c r="B4" s="3" t="inlineStr">
        <is>
          <t>SL-S01-04</t>
        </is>
      </c>
      <c r="C4" s="3" t="inlineStr">
        <is>
          <t>S01</t>
        </is>
      </c>
      <c r="D4" s="3" t="inlineStr">
        <is>
          <t>S01</t>
        </is>
      </c>
      <c r="E4" s="3" t="inlineStr">
        <is>
          <t>Bloqueia até aceite; sequência conservadora dentro do sprint</t>
        </is>
      </c>
    </row>
    <row r="5" ht="28" customHeight="1">
      <c r="A5" s="3" t="inlineStr">
        <is>
          <t>SL-S01-04</t>
        </is>
      </c>
      <c r="B5" s="3" t="inlineStr">
        <is>
          <t>SL-S01-05</t>
        </is>
      </c>
      <c r="C5" s="3" t="inlineStr">
        <is>
          <t>S01</t>
        </is>
      </c>
      <c r="D5" s="3" t="inlineStr">
        <is>
          <t>S01</t>
        </is>
      </c>
      <c r="E5" s="3" t="inlineStr">
        <is>
          <t>Bloqueia até aceite; sequência conservadora dentro do sprint</t>
        </is>
      </c>
    </row>
    <row r="6" ht="28" customHeight="1">
      <c r="A6" s="3" t="inlineStr">
        <is>
          <t>SL-S01-05</t>
        </is>
      </c>
      <c r="B6" s="3" t="inlineStr">
        <is>
          <t>SL-S01-06</t>
        </is>
      </c>
      <c r="C6" s="3" t="inlineStr">
        <is>
          <t>S01</t>
        </is>
      </c>
      <c r="D6" s="3" t="inlineStr">
        <is>
          <t>S01</t>
        </is>
      </c>
      <c r="E6" s="3" t="inlineStr">
        <is>
          <t>Bloqueia até aceite; sequência conservadora dentro do sprint</t>
        </is>
      </c>
    </row>
    <row r="7" ht="28" customHeight="1">
      <c r="A7" s="3" t="inlineStr">
        <is>
          <t>SL-S01-06</t>
        </is>
      </c>
      <c r="B7" s="3" t="inlineStr">
        <is>
          <t>SL-S01-07</t>
        </is>
      </c>
      <c r="C7" s="3" t="inlineStr">
        <is>
          <t>S01</t>
        </is>
      </c>
      <c r="D7" s="3" t="inlineStr">
        <is>
          <t>S01</t>
        </is>
      </c>
      <c r="E7" s="3" t="inlineStr">
        <is>
          <t>Bloqueia até aceite; sequência conservadora dentro do sprint</t>
        </is>
      </c>
    </row>
    <row r="8" ht="28" customHeight="1">
      <c r="A8" s="3" t="inlineStr">
        <is>
          <t>SL-S01-07</t>
        </is>
      </c>
      <c r="B8" s="3" t="inlineStr">
        <is>
          <t>SL-S01-08</t>
        </is>
      </c>
      <c r="C8" s="3" t="inlineStr">
        <is>
          <t>S01</t>
        </is>
      </c>
      <c r="D8" s="3" t="inlineStr">
        <is>
          <t>S01</t>
        </is>
      </c>
      <c r="E8" s="3" t="inlineStr">
        <is>
          <t>Bloqueia até aceite; sequência conservadora dentro do sprint</t>
        </is>
      </c>
    </row>
    <row r="9" ht="28" customHeight="1">
      <c r="A9" s="3" t="inlineStr">
        <is>
          <t>SL-S01-08</t>
        </is>
      </c>
      <c r="B9" s="3" t="inlineStr">
        <is>
          <t>SL-S01-09</t>
        </is>
      </c>
      <c r="C9" s="3" t="inlineStr">
        <is>
          <t>S01</t>
        </is>
      </c>
      <c r="D9" s="3" t="inlineStr">
        <is>
          <t>S01</t>
        </is>
      </c>
      <c r="E9" s="3" t="inlineStr">
        <is>
          <t>Bloqueia até aceite; sequência conservadora dentro do sprint</t>
        </is>
      </c>
    </row>
    <row r="10" ht="28" customHeight="1">
      <c r="A10" s="3" t="inlineStr">
        <is>
          <t>SL-S01-09</t>
        </is>
      </c>
      <c r="B10" s="3" t="inlineStr">
        <is>
          <t>SL-S01-10</t>
        </is>
      </c>
      <c r="C10" s="3" t="inlineStr">
        <is>
          <t>S01</t>
        </is>
      </c>
      <c r="D10" s="3" t="inlineStr">
        <is>
          <t>S01</t>
        </is>
      </c>
      <c r="E10" s="3" t="inlineStr">
        <is>
          <t>Bloqueia até aceite; sequência conservadora dentro do sprint</t>
        </is>
      </c>
    </row>
    <row r="11" ht="28" customHeight="1">
      <c r="A11" s="3" t="inlineStr">
        <is>
          <t>SL-S01-01</t>
        </is>
      </c>
      <c r="B11" s="3" t="inlineStr">
        <is>
          <t>SL-S01-GATE</t>
        </is>
      </c>
      <c r="C11" s="3" t="inlineStr">
        <is>
          <t>S01</t>
        </is>
      </c>
      <c r="D11" s="3" t="inlineStr">
        <is>
          <t>S01</t>
        </is>
      </c>
      <c r="E11" s="3" t="inlineStr">
        <is>
          <t>Bloqueia até aceite; sequência conservadora dentro do sprint</t>
        </is>
      </c>
    </row>
    <row r="12" ht="28" customHeight="1">
      <c r="A12" s="3" t="inlineStr">
        <is>
          <t>SL-S01-02</t>
        </is>
      </c>
      <c r="B12" s="3" t="inlineStr">
        <is>
          <t>SL-S01-GATE</t>
        </is>
      </c>
      <c r="C12" s="3" t="inlineStr">
        <is>
          <t>S01</t>
        </is>
      </c>
      <c r="D12" s="3" t="inlineStr">
        <is>
          <t>S01</t>
        </is>
      </c>
      <c r="E12" s="3" t="inlineStr">
        <is>
          <t>Bloqueia até aceite; sequência conservadora dentro do sprint</t>
        </is>
      </c>
    </row>
    <row r="13" ht="28" customHeight="1">
      <c r="A13" s="3" t="inlineStr">
        <is>
          <t>SL-S01-03</t>
        </is>
      </c>
      <c r="B13" s="3" t="inlineStr">
        <is>
          <t>SL-S01-GATE</t>
        </is>
      </c>
      <c r="C13" s="3" t="inlineStr">
        <is>
          <t>S01</t>
        </is>
      </c>
      <c r="D13" s="3" t="inlineStr">
        <is>
          <t>S01</t>
        </is>
      </c>
      <c r="E13" s="3" t="inlineStr">
        <is>
          <t>Bloqueia até aceite; sequência conservadora dentro do sprint</t>
        </is>
      </c>
    </row>
    <row r="14" ht="28" customHeight="1">
      <c r="A14" s="3" t="inlineStr">
        <is>
          <t>SL-S01-04</t>
        </is>
      </c>
      <c r="B14" s="3" t="inlineStr">
        <is>
          <t>SL-S01-GATE</t>
        </is>
      </c>
      <c r="C14" s="3" t="inlineStr">
        <is>
          <t>S01</t>
        </is>
      </c>
      <c r="D14" s="3" t="inlineStr">
        <is>
          <t>S01</t>
        </is>
      </c>
      <c r="E14" s="3" t="inlineStr">
        <is>
          <t>Bloqueia até aceite; sequência conservadora dentro do sprint</t>
        </is>
      </c>
    </row>
    <row r="15" ht="28" customHeight="1">
      <c r="A15" s="3" t="inlineStr">
        <is>
          <t>SL-S01-05</t>
        </is>
      </c>
      <c r="B15" s="3" t="inlineStr">
        <is>
          <t>SL-S01-GATE</t>
        </is>
      </c>
      <c r="C15" s="3" t="inlineStr">
        <is>
          <t>S01</t>
        </is>
      </c>
      <c r="D15" s="3" t="inlineStr">
        <is>
          <t>S01</t>
        </is>
      </c>
      <c r="E15" s="3" t="inlineStr">
        <is>
          <t>Bloqueia até aceite; sequência conservadora dentro do sprint</t>
        </is>
      </c>
    </row>
    <row r="16" ht="28" customHeight="1">
      <c r="A16" s="3" t="inlineStr">
        <is>
          <t>SL-S01-06</t>
        </is>
      </c>
      <c r="B16" s="3" t="inlineStr">
        <is>
          <t>SL-S01-GATE</t>
        </is>
      </c>
      <c r="C16" s="3" t="inlineStr">
        <is>
          <t>S01</t>
        </is>
      </c>
      <c r="D16" s="3" t="inlineStr">
        <is>
          <t>S01</t>
        </is>
      </c>
      <c r="E16" s="3" t="inlineStr">
        <is>
          <t>Bloqueia até aceite; sequência conservadora dentro do sprint</t>
        </is>
      </c>
    </row>
    <row r="17" ht="28" customHeight="1">
      <c r="A17" s="3" t="inlineStr">
        <is>
          <t>SL-S01-07</t>
        </is>
      </c>
      <c r="B17" s="3" t="inlineStr">
        <is>
          <t>SL-S01-GATE</t>
        </is>
      </c>
      <c r="C17" s="3" t="inlineStr">
        <is>
          <t>S01</t>
        </is>
      </c>
      <c r="D17" s="3" t="inlineStr">
        <is>
          <t>S01</t>
        </is>
      </c>
      <c r="E17" s="3" t="inlineStr">
        <is>
          <t>Bloqueia até aceite; sequência conservadora dentro do sprint</t>
        </is>
      </c>
    </row>
    <row r="18" ht="28" customHeight="1">
      <c r="A18" s="3" t="inlineStr">
        <is>
          <t>SL-S01-08</t>
        </is>
      </c>
      <c r="B18" s="3" t="inlineStr">
        <is>
          <t>SL-S01-GATE</t>
        </is>
      </c>
      <c r="C18" s="3" t="inlineStr">
        <is>
          <t>S01</t>
        </is>
      </c>
      <c r="D18" s="3" t="inlineStr">
        <is>
          <t>S01</t>
        </is>
      </c>
      <c r="E18" s="3" t="inlineStr">
        <is>
          <t>Bloqueia até aceite; sequência conservadora dentro do sprint</t>
        </is>
      </c>
    </row>
    <row r="19" ht="28" customHeight="1">
      <c r="A19" s="3" t="inlineStr">
        <is>
          <t>SL-S01-09</t>
        </is>
      </c>
      <c r="B19" s="3" t="inlineStr">
        <is>
          <t>SL-S01-GATE</t>
        </is>
      </c>
      <c r="C19" s="3" t="inlineStr">
        <is>
          <t>S01</t>
        </is>
      </c>
      <c r="D19" s="3" t="inlineStr">
        <is>
          <t>S01</t>
        </is>
      </c>
      <c r="E19" s="3" t="inlineStr">
        <is>
          <t>Bloqueia até aceite; sequência conservadora dentro do sprint</t>
        </is>
      </c>
    </row>
    <row r="20" ht="28" customHeight="1">
      <c r="A20" s="3" t="inlineStr">
        <is>
          <t>SL-S01-10</t>
        </is>
      </c>
      <c r="B20" s="3" t="inlineStr">
        <is>
          <t>SL-S01-GATE</t>
        </is>
      </c>
      <c r="C20" s="3" t="inlineStr">
        <is>
          <t>S01</t>
        </is>
      </c>
      <c r="D20" s="3" t="inlineStr">
        <is>
          <t>S01</t>
        </is>
      </c>
      <c r="E20" s="3" t="inlineStr">
        <is>
          <t>Bloqueia até aceite; sequência conservadora dentro do sprint</t>
        </is>
      </c>
    </row>
    <row r="21" ht="28" customHeight="1">
      <c r="A21" s="3" t="inlineStr">
        <is>
          <t>SL-S01-GATE</t>
        </is>
      </c>
      <c r="B21" s="3" t="inlineStr">
        <is>
          <t>SL-S02-01</t>
        </is>
      </c>
      <c r="C21" s="3" t="inlineStr">
        <is>
          <t>S01</t>
        </is>
      </c>
      <c r="D21" s="3" t="inlineStr">
        <is>
          <t>S02</t>
        </is>
      </c>
      <c r="E21" s="3" t="inlineStr">
        <is>
          <t>Bloqueia até aceite; sequência conservadora dentro do sprint</t>
        </is>
      </c>
    </row>
    <row r="22" ht="28" customHeight="1">
      <c r="A22" s="3" t="inlineStr">
        <is>
          <t>SL-S02-01</t>
        </is>
      </c>
      <c r="B22" s="3" t="inlineStr">
        <is>
          <t>SL-S02-02</t>
        </is>
      </c>
      <c r="C22" s="3" t="inlineStr">
        <is>
          <t>S02</t>
        </is>
      </c>
      <c r="D22" s="3" t="inlineStr">
        <is>
          <t>S02</t>
        </is>
      </c>
      <c r="E22" s="3" t="inlineStr">
        <is>
          <t>Bloqueia até aceite; sequência conservadora dentro do sprint</t>
        </is>
      </c>
    </row>
    <row r="23" ht="28" customHeight="1">
      <c r="A23" s="3" t="inlineStr">
        <is>
          <t>SL-S02-02</t>
        </is>
      </c>
      <c r="B23" s="3" t="inlineStr">
        <is>
          <t>SL-S02-03</t>
        </is>
      </c>
      <c r="C23" s="3" t="inlineStr">
        <is>
          <t>S02</t>
        </is>
      </c>
      <c r="D23" s="3" t="inlineStr">
        <is>
          <t>S02</t>
        </is>
      </c>
      <c r="E23" s="3" t="inlineStr">
        <is>
          <t>Bloqueia até aceite; sequência conservadora dentro do sprint</t>
        </is>
      </c>
    </row>
    <row r="24" ht="28" customHeight="1">
      <c r="A24" s="3" t="inlineStr">
        <is>
          <t>SL-S02-03</t>
        </is>
      </c>
      <c r="B24" s="3" t="inlineStr">
        <is>
          <t>SL-S02-04</t>
        </is>
      </c>
      <c r="C24" s="3" t="inlineStr">
        <is>
          <t>S02</t>
        </is>
      </c>
      <c r="D24" s="3" t="inlineStr">
        <is>
          <t>S02</t>
        </is>
      </c>
      <c r="E24" s="3" t="inlineStr">
        <is>
          <t>Bloqueia até aceite; sequência conservadora dentro do sprint</t>
        </is>
      </c>
    </row>
    <row r="25" ht="28" customHeight="1">
      <c r="A25" s="3" t="inlineStr">
        <is>
          <t>SL-S02-04</t>
        </is>
      </c>
      <c r="B25" s="3" t="inlineStr">
        <is>
          <t>SL-S02-05</t>
        </is>
      </c>
      <c r="C25" s="3" t="inlineStr">
        <is>
          <t>S02</t>
        </is>
      </c>
      <c r="D25" s="3" t="inlineStr">
        <is>
          <t>S02</t>
        </is>
      </c>
      <c r="E25" s="3" t="inlineStr">
        <is>
          <t>Bloqueia até aceite; sequência conservadora dentro do sprint</t>
        </is>
      </c>
    </row>
    <row r="26" ht="28" customHeight="1">
      <c r="A26" s="3" t="inlineStr">
        <is>
          <t>SL-S02-05</t>
        </is>
      </c>
      <c r="B26" s="3" t="inlineStr">
        <is>
          <t>SL-S02-06</t>
        </is>
      </c>
      <c r="C26" s="3" t="inlineStr">
        <is>
          <t>S02</t>
        </is>
      </c>
      <c r="D26" s="3" t="inlineStr">
        <is>
          <t>S02</t>
        </is>
      </c>
      <c r="E26" s="3" t="inlineStr">
        <is>
          <t>Bloqueia até aceite; sequência conservadora dentro do sprint</t>
        </is>
      </c>
    </row>
    <row r="27" ht="28" customHeight="1">
      <c r="A27" s="3" t="inlineStr">
        <is>
          <t>SL-S02-06</t>
        </is>
      </c>
      <c r="B27" s="3" t="inlineStr">
        <is>
          <t>SL-S02-07</t>
        </is>
      </c>
      <c r="C27" s="3" t="inlineStr">
        <is>
          <t>S02</t>
        </is>
      </c>
      <c r="D27" s="3" t="inlineStr">
        <is>
          <t>S02</t>
        </is>
      </c>
      <c r="E27" s="3" t="inlineStr">
        <is>
          <t>Bloqueia até aceite; sequência conservadora dentro do sprint</t>
        </is>
      </c>
    </row>
    <row r="28" ht="28" customHeight="1">
      <c r="A28" s="3" t="inlineStr">
        <is>
          <t>SL-S02-07</t>
        </is>
      </c>
      <c r="B28" s="3" t="inlineStr">
        <is>
          <t>SL-S02-08</t>
        </is>
      </c>
      <c r="C28" s="3" t="inlineStr">
        <is>
          <t>S02</t>
        </is>
      </c>
      <c r="D28" s="3" t="inlineStr">
        <is>
          <t>S02</t>
        </is>
      </c>
      <c r="E28" s="3" t="inlineStr">
        <is>
          <t>Bloqueia até aceite; sequência conservadora dentro do sprint</t>
        </is>
      </c>
    </row>
    <row r="29" ht="28" customHeight="1">
      <c r="A29" s="3" t="inlineStr">
        <is>
          <t>SL-S02-08</t>
        </is>
      </c>
      <c r="B29" s="3" t="inlineStr">
        <is>
          <t>SL-S02-09</t>
        </is>
      </c>
      <c r="C29" s="3" t="inlineStr">
        <is>
          <t>S02</t>
        </is>
      </c>
      <c r="D29" s="3" t="inlineStr">
        <is>
          <t>S02</t>
        </is>
      </c>
      <c r="E29" s="3" t="inlineStr">
        <is>
          <t>Bloqueia até aceite; sequência conservadora dentro do sprint</t>
        </is>
      </c>
    </row>
    <row r="30" ht="28" customHeight="1">
      <c r="A30" s="3" t="inlineStr">
        <is>
          <t>SL-S02-09</t>
        </is>
      </c>
      <c r="B30" s="3" t="inlineStr">
        <is>
          <t>SL-S02-10</t>
        </is>
      </c>
      <c r="C30" s="3" t="inlineStr">
        <is>
          <t>S02</t>
        </is>
      </c>
      <c r="D30" s="3" t="inlineStr">
        <is>
          <t>S02</t>
        </is>
      </c>
      <c r="E30" s="3" t="inlineStr">
        <is>
          <t>Bloqueia até aceite; sequência conservadora dentro do sprint</t>
        </is>
      </c>
    </row>
    <row r="31" ht="28" customHeight="1">
      <c r="A31" s="3" t="inlineStr">
        <is>
          <t>SL-S02-01</t>
        </is>
      </c>
      <c r="B31" s="3" t="inlineStr">
        <is>
          <t>SL-S02-GATE</t>
        </is>
      </c>
      <c r="C31" s="3" t="inlineStr">
        <is>
          <t>S02</t>
        </is>
      </c>
      <c r="D31" s="3" t="inlineStr">
        <is>
          <t>S02</t>
        </is>
      </c>
      <c r="E31" s="3" t="inlineStr">
        <is>
          <t>Bloqueia até aceite; sequência conservadora dentro do sprint</t>
        </is>
      </c>
    </row>
    <row r="32" ht="28" customHeight="1">
      <c r="A32" s="3" t="inlineStr">
        <is>
          <t>SL-S02-02</t>
        </is>
      </c>
      <c r="B32" s="3" t="inlineStr">
        <is>
          <t>SL-S02-GATE</t>
        </is>
      </c>
      <c r="C32" s="3" t="inlineStr">
        <is>
          <t>S02</t>
        </is>
      </c>
      <c r="D32" s="3" t="inlineStr">
        <is>
          <t>S02</t>
        </is>
      </c>
      <c r="E32" s="3" t="inlineStr">
        <is>
          <t>Bloqueia até aceite; sequência conservadora dentro do sprint</t>
        </is>
      </c>
    </row>
    <row r="33" ht="28" customHeight="1">
      <c r="A33" s="3" t="inlineStr">
        <is>
          <t>SL-S02-03</t>
        </is>
      </c>
      <c r="B33" s="3" t="inlineStr">
        <is>
          <t>SL-S02-GATE</t>
        </is>
      </c>
      <c r="C33" s="3" t="inlineStr">
        <is>
          <t>S02</t>
        </is>
      </c>
      <c r="D33" s="3" t="inlineStr">
        <is>
          <t>S02</t>
        </is>
      </c>
      <c r="E33" s="3" t="inlineStr">
        <is>
          <t>Bloqueia até aceite; sequência conservadora dentro do sprint</t>
        </is>
      </c>
    </row>
    <row r="34" ht="28" customHeight="1">
      <c r="A34" s="3" t="inlineStr">
        <is>
          <t>SL-S02-04</t>
        </is>
      </c>
      <c r="B34" s="3" t="inlineStr">
        <is>
          <t>SL-S02-GATE</t>
        </is>
      </c>
      <c r="C34" s="3" t="inlineStr">
        <is>
          <t>S02</t>
        </is>
      </c>
      <c r="D34" s="3" t="inlineStr">
        <is>
          <t>S02</t>
        </is>
      </c>
      <c r="E34" s="3" t="inlineStr">
        <is>
          <t>Bloqueia até aceite; sequência conservadora dentro do sprint</t>
        </is>
      </c>
    </row>
    <row r="35" ht="28" customHeight="1">
      <c r="A35" s="3" t="inlineStr">
        <is>
          <t>SL-S02-05</t>
        </is>
      </c>
      <c r="B35" s="3" t="inlineStr">
        <is>
          <t>SL-S02-GATE</t>
        </is>
      </c>
      <c r="C35" s="3" t="inlineStr">
        <is>
          <t>S02</t>
        </is>
      </c>
      <c r="D35" s="3" t="inlineStr">
        <is>
          <t>S02</t>
        </is>
      </c>
      <c r="E35" s="3" t="inlineStr">
        <is>
          <t>Bloqueia até aceite; sequência conservadora dentro do sprint</t>
        </is>
      </c>
    </row>
    <row r="36" ht="28" customHeight="1">
      <c r="A36" s="3" t="inlineStr">
        <is>
          <t>SL-S02-06</t>
        </is>
      </c>
      <c r="B36" s="3" t="inlineStr">
        <is>
          <t>SL-S02-GATE</t>
        </is>
      </c>
      <c r="C36" s="3" t="inlineStr">
        <is>
          <t>S02</t>
        </is>
      </c>
      <c r="D36" s="3" t="inlineStr">
        <is>
          <t>S02</t>
        </is>
      </c>
      <c r="E36" s="3" t="inlineStr">
        <is>
          <t>Bloqueia até aceite; sequência conservadora dentro do sprint</t>
        </is>
      </c>
    </row>
    <row r="37" ht="28" customHeight="1">
      <c r="A37" s="3" t="inlineStr">
        <is>
          <t>SL-S02-07</t>
        </is>
      </c>
      <c r="B37" s="3" t="inlineStr">
        <is>
          <t>SL-S02-GATE</t>
        </is>
      </c>
      <c r="C37" s="3" t="inlineStr">
        <is>
          <t>S02</t>
        </is>
      </c>
      <c r="D37" s="3" t="inlineStr">
        <is>
          <t>S02</t>
        </is>
      </c>
      <c r="E37" s="3" t="inlineStr">
        <is>
          <t>Bloqueia até aceite; sequência conservadora dentro do sprint</t>
        </is>
      </c>
    </row>
    <row r="38" ht="28" customHeight="1">
      <c r="A38" s="3" t="inlineStr">
        <is>
          <t>SL-S02-08</t>
        </is>
      </c>
      <c r="B38" s="3" t="inlineStr">
        <is>
          <t>SL-S02-GATE</t>
        </is>
      </c>
      <c r="C38" s="3" t="inlineStr">
        <is>
          <t>S02</t>
        </is>
      </c>
      <c r="D38" s="3" t="inlineStr">
        <is>
          <t>S02</t>
        </is>
      </c>
      <c r="E38" s="3" t="inlineStr">
        <is>
          <t>Bloqueia até aceite; sequência conservadora dentro do sprint</t>
        </is>
      </c>
    </row>
    <row r="39" ht="28" customHeight="1">
      <c r="A39" s="3" t="inlineStr">
        <is>
          <t>SL-S02-09</t>
        </is>
      </c>
      <c r="B39" s="3" t="inlineStr">
        <is>
          <t>SL-S02-GATE</t>
        </is>
      </c>
      <c r="C39" s="3" t="inlineStr">
        <is>
          <t>S02</t>
        </is>
      </c>
      <c r="D39" s="3" t="inlineStr">
        <is>
          <t>S02</t>
        </is>
      </c>
      <c r="E39" s="3" t="inlineStr">
        <is>
          <t>Bloqueia até aceite; sequência conservadora dentro do sprint</t>
        </is>
      </c>
    </row>
    <row r="40" ht="28" customHeight="1">
      <c r="A40" s="3" t="inlineStr">
        <is>
          <t>SL-S02-10</t>
        </is>
      </c>
      <c r="B40" s="3" t="inlineStr">
        <is>
          <t>SL-S02-GATE</t>
        </is>
      </c>
      <c r="C40" s="3" t="inlineStr">
        <is>
          <t>S02</t>
        </is>
      </c>
      <c r="D40" s="3" t="inlineStr">
        <is>
          <t>S02</t>
        </is>
      </c>
      <c r="E40" s="3" t="inlineStr">
        <is>
          <t>Bloqueia até aceite; sequência conservadora dentro do sprint</t>
        </is>
      </c>
    </row>
    <row r="41" ht="28" customHeight="1">
      <c r="A41" s="3" t="inlineStr">
        <is>
          <t>SL-S01-GATE</t>
        </is>
      </c>
      <c r="B41" s="3" t="inlineStr">
        <is>
          <t>SL-S03-01</t>
        </is>
      </c>
      <c r="C41" s="3" t="inlineStr">
        <is>
          <t>S01</t>
        </is>
      </c>
      <c r="D41" s="3" t="inlineStr">
        <is>
          <t>S03</t>
        </is>
      </c>
      <c r="E41" s="3" t="inlineStr">
        <is>
          <t>Bloqueia até aceite; sequência conservadora dentro do sprint</t>
        </is>
      </c>
    </row>
    <row r="42" ht="28" customHeight="1">
      <c r="A42" s="3" t="inlineStr">
        <is>
          <t>SL-S02-GATE</t>
        </is>
      </c>
      <c r="B42" s="3" t="inlineStr">
        <is>
          <t>SL-S03-01</t>
        </is>
      </c>
      <c r="C42" s="3" t="inlineStr">
        <is>
          <t>S02</t>
        </is>
      </c>
      <c r="D42" s="3" t="inlineStr">
        <is>
          <t>S03</t>
        </is>
      </c>
      <c r="E42" s="3" t="inlineStr">
        <is>
          <t>Bloqueia até aceite; sequência conservadora dentro do sprint</t>
        </is>
      </c>
    </row>
    <row r="43" ht="28" customHeight="1">
      <c r="A43" s="3" t="inlineStr">
        <is>
          <t>SL-S03-01</t>
        </is>
      </c>
      <c r="B43" s="3" t="inlineStr">
        <is>
          <t>SL-S03-02</t>
        </is>
      </c>
      <c r="C43" s="3" t="inlineStr">
        <is>
          <t>S03</t>
        </is>
      </c>
      <c r="D43" s="3" t="inlineStr">
        <is>
          <t>S03</t>
        </is>
      </c>
      <c r="E43" s="3" t="inlineStr">
        <is>
          <t>Bloqueia até aceite; sequência conservadora dentro do sprint</t>
        </is>
      </c>
    </row>
    <row r="44" ht="28" customHeight="1">
      <c r="A44" s="3" t="inlineStr">
        <is>
          <t>SL-S03-02</t>
        </is>
      </c>
      <c r="B44" s="3" t="inlineStr">
        <is>
          <t>SL-S03-03</t>
        </is>
      </c>
      <c r="C44" s="3" t="inlineStr">
        <is>
          <t>S03</t>
        </is>
      </c>
      <c r="D44" s="3" t="inlineStr">
        <is>
          <t>S03</t>
        </is>
      </c>
      <c r="E44" s="3" t="inlineStr">
        <is>
          <t>Bloqueia até aceite; sequência conservadora dentro do sprint</t>
        </is>
      </c>
    </row>
    <row r="45" ht="28" customHeight="1">
      <c r="A45" s="3" t="inlineStr">
        <is>
          <t>SL-S03-03</t>
        </is>
      </c>
      <c r="B45" s="3" t="inlineStr">
        <is>
          <t>SL-S03-04</t>
        </is>
      </c>
      <c r="C45" s="3" t="inlineStr">
        <is>
          <t>S03</t>
        </is>
      </c>
      <c r="D45" s="3" t="inlineStr">
        <is>
          <t>S03</t>
        </is>
      </c>
      <c r="E45" s="3" t="inlineStr">
        <is>
          <t>Bloqueia até aceite; sequência conservadora dentro do sprint</t>
        </is>
      </c>
    </row>
    <row r="46" ht="28" customHeight="1">
      <c r="A46" s="3" t="inlineStr">
        <is>
          <t>SL-S03-04</t>
        </is>
      </c>
      <c r="B46" s="3" t="inlineStr">
        <is>
          <t>SL-S03-05</t>
        </is>
      </c>
      <c r="C46" s="3" t="inlineStr">
        <is>
          <t>S03</t>
        </is>
      </c>
      <c r="D46" s="3" t="inlineStr">
        <is>
          <t>S03</t>
        </is>
      </c>
      <c r="E46" s="3" t="inlineStr">
        <is>
          <t>Bloqueia até aceite; sequência conservadora dentro do sprint</t>
        </is>
      </c>
    </row>
    <row r="47" ht="28" customHeight="1">
      <c r="A47" s="3" t="inlineStr">
        <is>
          <t>SL-S03-05</t>
        </is>
      </c>
      <c r="B47" s="3" t="inlineStr">
        <is>
          <t>SL-S03-06</t>
        </is>
      </c>
      <c r="C47" s="3" t="inlineStr">
        <is>
          <t>S03</t>
        </is>
      </c>
      <c r="D47" s="3" t="inlineStr">
        <is>
          <t>S03</t>
        </is>
      </c>
      <c r="E47" s="3" t="inlineStr">
        <is>
          <t>Bloqueia até aceite; sequência conservadora dentro do sprint</t>
        </is>
      </c>
    </row>
    <row r="48" ht="28" customHeight="1">
      <c r="A48" s="3" t="inlineStr">
        <is>
          <t>SL-S03-06</t>
        </is>
      </c>
      <c r="B48" s="3" t="inlineStr">
        <is>
          <t>SL-S03-07</t>
        </is>
      </c>
      <c r="C48" s="3" t="inlineStr">
        <is>
          <t>S03</t>
        </is>
      </c>
      <c r="D48" s="3" t="inlineStr">
        <is>
          <t>S03</t>
        </is>
      </c>
      <c r="E48" s="3" t="inlineStr">
        <is>
          <t>Bloqueia até aceite; sequência conservadora dentro do sprint</t>
        </is>
      </c>
    </row>
    <row r="49" ht="28" customHeight="1">
      <c r="A49" s="3" t="inlineStr">
        <is>
          <t>SL-S03-07</t>
        </is>
      </c>
      <c r="B49" s="3" t="inlineStr">
        <is>
          <t>SL-S03-08</t>
        </is>
      </c>
      <c r="C49" s="3" t="inlineStr">
        <is>
          <t>S03</t>
        </is>
      </c>
      <c r="D49" s="3" t="inlineStr">
        <is>
          <t>S03</t>
        </is>
      </c>
      <c r="E49" s="3" t="inlineStr">
        <is>
          <t>Bloqueia até aceite; sequência conservadora dentro do sprint</t>
        </is>
      </c>
    </row>
    <row r="50" ht="28" customHeight="1">
      <c r="A50" s="3" t="inlineStr">
        <is>
          <t>SL-S03-08</t>
        </is>
      </c>
      <c r="B50" s="3" t="inlineStr">
        <is>
          <t>SL-S03-09</t>
        </is>
      </c>
      <c r="C50" s="3" t="inlineStr">
        <is>
          <t>S03</t>
        </is>
      </c>
      <c r="D50" s="3" t="inlineStr">
        <is>
          <t>S03</t>
        </is>
      </c>
      <c r="E50" s="3" t="inlineStr">
        <is>
          <t>Bloqueia até aceite; sequência conservadora dentro do sprint</t>
        </is>
      </c>
    </row>
    <row r="51" ht="28" customHeight="1">
      <c r="A51" s="3" t="inlineStr">
        <is>
          <t>SL-S03-09</t>
        </is>
      </c>
      <c r="B51" s="3" t="inlineStr">
        <is>
          <t>SL-S03-10</t>
        </is>
      </c>
      <c r="C51" s="3" t="inlineStr">
        <is>
          <t>S03</t>
        </is>
      </c>
      <c r="D51" s="3" t="inlineStr">
        <is>
          <t>S03</t>
        </is>
      </c>
      <c r="E51" s="3" t="inlineStr">
        <is>
          <t>Bloqueia até aceite; sequência conservadora dentro do sprint</t>
        </is>
      </c>
    </row>
    <row r="52" ht="28" customHeight="1">
      <c r="A52" s="3" t="inlineStr">
        <is>
          <t>SL-S03-01</t>
        </is>
      </c>
      <c r="B52" s="3" t="inlineStr">
        <is>
          <t>SL-S03-GATE</t>
        </is>
      </c>
      <c r="C52" s="3" t="inlineStr">
        <is>
          <t>S03</t>
        </is>
      </c>
      <c r="D52" s="3" t="inlineStr">
        <is>
          <t>S03</t>
        </is>
      </c>
      <c r="E52" s="3" t="inlineStr">
        <is>
          <t>Bloqueia até aceite; sequência conservadora dentro do sprint</t>
        </is>
      </c>
    </row>
    <row r="53" ht="28" customHeight="1">
      <c r="A53" s="3" t="inlineStr">
        <is>
          <t>SL-S03-02</t>
        </is>
      </c>
      <c r="B53" s="3" t="inlineStr">
        <is>
          <t>SL-S03-GATE</t>
        </is>
      </c>
      <c r="C53" s="3" t="inlineStr">
        <is>
          <t>S03</t>
        </is>
      </c>
      <c r="D53" s="3" t="inlineStr">
        <is>
          <t>S03</t>
        </is>
      </c>
      <c r="E53" s="3" t="inlineStr">
        <is>
          <t>Bloqueia até aceite; sequência conservadora dentro do sprint</t>
        </is>
      </c>
    </row>
    <row r="54" ht="28" customHeight="1">
      <c r="A54" s="3" t="inlineStr">
        <is>
          <t>SL-S03-03</t>
        </is>
      </c>
      <c r="B54" s="3" t="inlineStr">
        <is>
          <t>SL-S03-GATE</t>
        </is>
      </c>
      <c r="C54" s="3" t="inlineStr">
        <is>
          <t>S03</t>
        </is>
      </c>
      <c r="D54" s="3" t="inlineStr">
        <is>
          <t>S03</t>
        </is>
      </c>
      <c r="E54" s="3" t="inlineStr">
        <is>
          <t>Bloqueia até aceite; sequência conservadora dentro do sprint</t>
        </is>
      </c>
    </row>
    <row r="55" ht="28" customHeight="1">
      <c r="A55" s="3" t="inlineStr">
        <is>
          <t>SL-S03-04</t>
        </is>
      </c>
      <c r="B55" s="3" t="inlineStr">
        <is>
          <t>SL-S03-GATE</t>
        </is>
      </c>
      <c r="C55" s="3" t="inlineStr">
        <is>
          <t>S03</t>
        </is>
      </c>
      <c r="D55" s="3" t="inlineStr">
        <is>
          <t>S03</t>
        </is>
      </c>
      <c r="E55" s="3" t="inlineStr">
        <is>
          <t>Bloqueia até aceite; sequência conservadora dentro do sprint</t>
        </is>
      </c>
    </row>
    <row r="56" ht="28" customHeight="1">
      <c r="A56" s="3" t="inlineStr">
        <is>
          <t>SL-S03-05</t>
        </is>
      </c>
      <c r="B56" s="3" t="inlineStr">
        <is>
          <t>SL-S03-GATE</t>
        </is>
      </c>
      <c r="C56" s="3" t="inlineStr">
        <is>
          <t>S03</t>
        </is>
      </c>
      <c r="D56" s="3" t="inlineStr">
        <is>
          <t>S03</t>
        </is>
      </c>
      <c r="E56" s="3" t="inlineStr">
        <is>
          <t>Bloqueia até aceite; sequência conservadora dentro do sprint</t>
        </is>
      </c>
    </row>
    <row r="57" ht="28" customHeight="1">
      <c r="A57" s="3" t="inlineStr">
        <is>
          <t>SL-S03-06</t>
        </is>
      </c>
      <c r="B57" s="3" t="inlineStr">
        <is>
          <t>SL-S03-GATE</t>
        </is>
      </c>
      <c r="C57" s="3" t="inlineStr">
        <is>
          <t>S03</t>
        </is>
      </c>
      <c r="D57" s="3" t="inlineStr">
        <is>
          <t>S03</t>
        </is>
      </c>
      <c r="E57" s="3" t="inlineStr">
        <is>
          <t>Bloqueia até aceite; sequência conservadora dentro do sprint</t>
        </is>
      </c>
    </row>
    <row r="58" ht="28" customHeight="1">
      <c r="A58" s="3" t="inlineStr">
        <is>
          <t>SL-S03-07</t>
        </is>
      </c>
      <c r="B58" s="3" t="inlineStr">
        <is>
          <t>SL-S03-GATE</t>
        </is>
      </c>
      <c r="C58" s="3" t="inlineStr">
        <is>
          <t>S03</t>
        </is>
      </c>
      <c r="D58" s="3" t="inlineStr">
        <is>
          <t>S03</t>
        </is>
      </c>
      <c r="E58" s="3" t="inlineStr">
        <is>
          <t>Bloqueia até aceite; sequência conservadora dentro do sprint</t>
        </is>
      </c>
    </row>
    <row r="59" ht="28" customHeight="1">
      <c r="A59" s="3" t="inlineStr">
        <is>
          <t>SL-S03-08</t>
        </is>
      </c>
      <c r="B59" s="3" t="inlineStr">
        <is>
          <t>SL-S03-GATE</t>
        </is>
      </c>
      <c r="C59" s="3" t="inlineStr">
        <is>
          <t>S03</t>
        </is>
      </c>
      <c r="D59" s="3" t="inlineStr">
        <is>
          <t>S03</t>
        </is>
      </c>
      <c r="E59" s="3" t="inlineStr">
        <is>
          <t>Bloqueia até aceite; sequência conservadora dentro do sprint</t>
        </is>
      </c>
    </row>
    <row r="60" ht="28" customHeight="1">
      <c r="A60" s="3" t="inlineStr">
        <is>
          <t>SL-S03-09</t>
        </is>
      </c>
      <c r="B60" s="3" t="inlineStr">
        <is>
          <t>SL-S03-GATE</t>
        </is>
      </c>
      <c r="C60" s="3" t="inlineStr">
        <is>
          <t>S03</t>
        </is>
      </c>
      <c r="D60" s="3" t="inlineStr">
        <is>
          <t>S03</t>
        </is>
      </c>
      <c r="E60" s="3" t="inlineStr">
        <is>
          <t>Bloqueia até aceite; sequência conservadora dentro do sprint</t>
        </is>
      </c>
    </row>
    <row r="61" ht="28" customHeight="1">
      <c r="A61" s="3" t="inlineStr">
        <is>
          <t>SL-S03-10</t>
        </is>
      </c>
      <c r="B61" s="3" t="inlineStr">
        <is>
          <t>SL-S03-GATE</t>
        </is>
      </c>
      <c r="C61" s="3" t="inlineStr">
        <is>
          <t>S03</t>
        </is>
      </c>
      <c r="D61" s="3" t="inlineStr">
        <is>
          <t>S03</t>
        </is>
      </c>
      <c r="E61" s="3" t="inlineStr">
        <is>
          <t>Bloqueia até aceite; sequência conservadora dentro do sprint</t>
        </is>
      </c>
    </row>
    <row r="62" ht="28" customHeight="1">
      <c r="A62" s="3" t="inlineStr">
        <is>
          <t>SL-S03-GATE</t>
        </is>
      </c>
      <c r="B62" s="3" t="inlineStr">
        <is>
          <t>SL-S04-01</t>
        </is>
      </c>
      <c r="C62" s="3" t="inlineStr">
        <is>
          <t>S03</t>
        </is>
      </c>
      <c r="D62" s="3" t="inlineStr">
        <is>
          <t>S04</t>
        </is>
      </c>
      <c r="E62" s="3" t="inlineStr">
        <is>
          <t>Bloqueia até aceite; sequência conservadora dentro do sprint</t>
        </is>
      </c>
    </row>
    <row r="63" ht="28" customHeight="1">
      <c r="A63" s="3" t="inlineStr">
        <is>
          <t>SL-S04-01</t>
        </is>
      </c>
      <c r="B63" s="3" t="inlineStr">
        <is>
          <t>SL-S04-02</t>
        </is>
      </c>
      <c r="C63" s="3" t="inlineStr">
        <is>
          <t>S04</t>
        </is>
      </c>
      <c r="D63" s="3" t="inlineStr">
        <is>
          <t>S04</t>
        </is>
      </c>
      <c r="E63" s="3" t="inlineStr">
        <is>
          <t>Bloqueia até aceite; sequência conservadora dentro do sprint</t>
        </is>
      </c>
    </row>
    <row r="64" ht="28" customHeight="1">
      <c r="A64" s="3" t="inlineStr">
        <is>
          <t>SL-S04-02</t>
        </is>
      </c>
      <c r="B64" s="3" t="inlineStr">
        <is>
          <t>SL-S04-03</t>
        </is>
      </c>
      <c r="C64" s="3" t="inlineStr">
        <is>
          <t>S04</t>
        </is>
      </c>
      <c r="D64" s="3" t="inlineStr">
        <is>
          <t>S04</t>
        </is>
      </c>
      <c r="E64" s="3" t="inlineStr">
        <is>
          <t>Bloqueia até aceite; sequência conservadora dentro do sprint</t>
        </is>
      </c>
    </row>
    <row r="65" ht="28" customHeight="1">
      <c r="A65" s="3" t="inlineStr">
        <is>
          <t>SL-S04-03</t>
        </is>
      </c>
      <c r="B65" s="3" t="inlineStr">
        <is>
          <t>SL-S04-04</t>
        </is>
      </c>
      <c r="C65" s="3" t="inlineStr">
        <is>
          <t>S04</t>
        </is>
      </c>
      <c r="D65" s="3" t="inlineStr">
        <is>
          <t>S04</t>
        </is>
      </c>
      <c r="E65" s="3" t="inlineStr">
        <is>
          <t>Bloqueia até aceite; sequência conservadora dentro do sprint</t>
        </is>
      </c>
    </row>
    <row r="66" ht="28" customHeight="1">
      <c r="A66" s="3" t="inlineStr">
        <is>
          <t>SL-S04-04</t>
        </is>
      </c>
      <c r="B66" s="3" t="inlineStr">
        <is>
          <t>SL-S04-05</t>
        </is>
      </c>
      <c r="C66" s="3" t="inlineStr">
        <is>
          <t>S04</t>
        </is>
      </c>
      <c r="D66" s="3" t="inlineStr">
        <is>
          <t>S04</t>
        </is>
      </c>
      <c r="E66" s="3" t="inlineStr">
        <is>
          <t>Bloqueia até aceite; sequência conservadora dentro do sprint</t>
        </is>
      </c>
    </row>
    <row r="67" ht="28" customHeight="1">
      <c r="A67" s="3" t="inlineStr">
        <is>
          <t>SL-S04-05</t>
        </is>
      </c>
      <c r="B67" s="3" t="inlineStr">
        <is>
          <t>SL-S04-06</t>
        </is>
      </c>
      <c r="C67" s="3" t="inlineStr">
        <is>
          <t>S04</t>
        </is>
      </c>
      <c r="D67" s="3" t="inlineStr">
        <is>
          <t>S04</t>
        </is>
      </c>
      <c r="E67" s="3" t="inlineStr">
        <is>
          <t>Bloqueia até aceite; sequência conservadora dentro do sprint</t>
        </is>
      </c>
    </row>
    <row r="68" ht="28" customHeight="1">
      <c r="A68" s="3" t="inlineStr">
        <is>
          <t>SL-S04-06</t>
        </is>
      </c>
      <c r="B68" s="3" t="inlineStr">
        <is>
          <t>SL-S04-07</t>
        </is>
      </c>
      <c r="C68" s="3" t="inlineStr">
        <is>
          <t>S04</t>
        </is>
      </c>
      <c r="D68" s="3" t="inlineStr">
        <is>
          <t>S04</t>
        </is>
      </c>
      <c r="E68" s="3" t="inlineStr">
        <is>
          <t>Bloqueia até aceite; sequência conservadora dentro do sprint</t>
        </is>
      </c>
    </row>
    <row r="69" ht="28" customHeight="1">
      <c r="A69" s="3" t="inlineStr">
        <is>
          <t>SL-S04-07</t>
        </is>
      </c>
      <c r="B69" s="3" t="inlineStr">
        <is>
          <t>SL-S04-08</t>
        </is>
      </c>
      <c r="C69" s="3" t="inlineStr">
        <is>
          <t>S04</t>
        </is>
      </c>
      <c r="D69" s="3" t="inlineStr">
        <is>
          <t>S04</t>
        </is>
      </c>
      <c r="E69" s="3" t="inlineStr">
        <is>
          <t>Bloqueia até aceite; sequência conservadora dentro do sprint</t>
        </is>
      </c>
    </row>
    <row r="70" ht="28" customHeight="1">
      <c r="A70" s="3" t="inlineStr">
        <is>
          <t>SL-S04-08</t>
        </is>
      </c>
      <c r="B70" s="3" t="inlineStr">
        <is>
          <t>SL-S04-09</t>
        </is>
      </c>
      <c r="C70" s="3" t="inlineStr">
        <is>
          <t>S04</t>
        </is>
      </c>
      <c r="D70" s="3" t="inlineStr">
        <is>
          <t>S04</t>
        </is>
      </c>
      <c r="E70" s="3" t="inlineStr">
        <is>
          <t>Bloqueia até aceite; sequência conservadora dentro do sprint</t>
        </is>
      </c>
    </row>
    <row r="71" ht="28" customHeight="1">
      <c r="A71" s="3" t="inlineStr">
        <is>
          <t>SL-S04-09</t>
        </is>
      </c>
      <c r="B71" s="3" t="inlineStr">
        <is>
          <t>SL-S04-10</t>
        </is>
      </c>
      <c r="C71" s="3" t="inlineStr">
        <is>
          <t>S04</t>
        </is>
      </c>
      <c r="D71" s="3" t="inlineStr">
        <is>
          <t>S04</t>
        </is>
      </c>
      <c r="E71" s="3" t="inlineStr">
        <is>
          <t>Bloqueia até aceite; sequência conservadora dentro do sprint</t>
        </is>
      </c>
    </row>
    <row r="72" ht="28" customHeight="1">
      <c r="A72" s="3" t="inlineStr">
        <is>
          <t>SL-S04-01</t>
        </is>
      </c>
      <c r="B72" s="3" t="inlineStr">
        <is>
          <t>SL-S04-GATE</t>
        </is>
      </c>
      <c r="C72" s="3" t="inlineStr">
        <is>
          <t>S04</t>
        </is>
      </c>
      <c r="D72" s="3" t="inlineStr">
        <is>
          <t>S04</t>
        </is>
      </c>
      <c r="E72" s="3" t="inlineStr">
        <is>
          <t>Bloqueia até aceite; sequência conservadora dentro do sprint</t>
        </is>
      </c>
    </row>
    <row r="73" ht="28" customHeight="1">
      <c r="A73" s="3" t="inlineStr">
        <is>
          <t>SL-S04-02</t>
        </is>
      </c>
      <c r="B73" s="3" t="inlineStr">
        <is>
          <t>SL-S04-GATE</t>
        </is>
      </c>
      <c r="C73" s="3" t="inlineStr">
        <is>
          <t>S04</t>
        </is>
      </c>
      <c r="D73" s="3" t="inlineStr">
        <is>
          <t>S04</t>
        </is>
      </c>
      <c r="E73" s="3" t="inlineStr">
        <is>
          <t>Bloqueia até aceite; sequência conservadora dentro do sprint</t>
        </is>
      </c>
    </row>
    <row r="74" ht="28" customHeight="1">
      <c r="A74" s="3" t="inlineStr">
        <is>
          <t>SL-S04-03</t>
        </is>
      </c>
      <c r="B74" s="3" t="inlineStr">
        <is>
          <t>SL-S04-GATE</t>
        </is>
      </c>
      <c r="C74" s="3" t="inlineStr">
        <is>
          <t>S04</t>
        </is>
      </c>
      <c r="D74" s="3" t="inlineStr">
        <is>
          <t>S04</t>
        </is>
      </c>
      <c r="E74" s="3" t="inlineStr">
        <is>
          <t>Bloqueia até aceite; sequência conservadora dentro do sprint</t>
        </is>
      </c>
    </row>
    <row r="75" ht="28" customHeight="1">
      <c r="A75" s="3" t="inlineStr">
        <is>
          <t>SL-S04-04</t>
        </is>
      </c>
      <c r="B75" s="3" t="inlineStr">
        <is>
          <t>SL-S04-GATE</t>
        </is>
      </c>
      <c r="C75" s="3" t="inlineStr">
        <is>
          <t>S04</t>
        </is>
      </c>
      <c r="D75" s="3" t="inlineStr">
        <is>
          <t>S04</t>
        </is>
      </c>
      <c r="E75" s="3" t="inlineStr">
        <is>
          <t>Bloqueia até aceite; sequência conservadora dentro do sprint</t>
        </is>
      </c>
    </row>
    <row r="76" ht="28" customHeight="1">
      <c r="A76" s="3" t="inlineStr">
        <is>
          <t>SL-S04-05</t>
        </is>
      </c>
      <c r="B76" s="3" t="inlineStr">
        <is>
          <t>SL-S04-GATE</t>
        </is>
      </c>
      <c r="C76" s="3" t="inlineStr">
        <is>
          <t>S04</t>
        </is>
      </c>
      <c r="D76" s="3" t="inlineStr">
        <is>
          <t>S04</t>
        </is>
      </c>
      <c r="E76" s="3" t="inlineStr">
        <is>
          <t>Bloqueia até aceite; sequência conservadora dentro do sprint</t>
        </is>
      </c>
    </row>
    <row r="77" ht="28" customHeight="1">
      <c r="A77" s="3" t="inlineStr">
        <is>
          <t>SL-S04-06</t>
        </is>
      </c>
      <c r="B77" s="3" t="inlineStr">
        <is>
          <t>SL-S04-GATE</t>
        </is>
      </c>
      <c r="C77" s="3" t="inlineStr">
        <is>
          <t>S04</t>
        </is>
      </c>
      <c r="D77" s="3" t="inlineStr">
        <is>
          <t>S04</t>
        </is>
      </c>
      <c r="E77" s="3" t="inlineStr">
        <is>
          <t>Bloqueia até aceite; sequência conservadora dentro do sprint</t>
        </is>
      </c>
    </row>
    <row r="78" ht="28" customHeight="1">
      <c r="A78" s="3" t="inlineStr">
        <is>
          <t>SL-S04-07</t>
        </is>
      </c>
      <c r="B78" s="3" t="inlineStr">
        <is>
          <t>SL-S04-GATE</t>
        </is>
      </c>
      <c r="C78" s="3" t="inlineStr">
        <is>
          <t>S04</t>
        </is>
      </c>
      <c r="D78" s="3" t="inlineStr">
        <is>
          <t>S04</t>
        </is>
      </c>
      <c r="E78" s="3" t="inlineStr">
        <is>
          <t>Bloqueia até aceite; sequência conservadora dentro do sprint</t>
        </is>
      </c>
    </row>
    <row r="79" ht="28" customHeight="1">
      <c r="A79" s="3" t="inlineStr">
        <is>
          <t>SL-S04-08</t>
        </is>
      </c>
      <c r="B79" s="3" t="inlineStr">
        <is>
          <t>SL-S04-GATE</t>
        </is>
      </c>
      <c r="C79" s="3" t="inlineStr">
        <is>
          <t>S04</t>
        </is>
      </c>
      <c r="D79" s="3" t="inlineStr">
        <is>
          <t>S04</t>
        </is>
      </c>
      <c r="E79" s="3" t="inlineStr">
        <is>
          <t>Bloqueia até aceite; sequência conservadora dentro do sprint</t>
        </is>
      </c>
    </row>
    <row r="80" ht="28" customHeight="1">
      <c r="A80" s="3" t="inlineStr">
        <is>
          <t>SL-S04-09</t>
        </is>
      </c>
      <c r="B80" s="3" t="inlineStr">
        <is>
          <t>SL-S04-GATE</t>
        </is>
      </c>
      <c r="C80" s="3" t="inlineStr">
        <is>
          <t>S04</t>
        </is>
      </c>
      <c r="D80" s="3" t="inlineStr">
        <is>
          <t>S04</t>
        </is>
      </c>
      <c r="E80" s="3" t="inlineStr">
        <is>
          <t>Bloqueia até aceite; sequência conservadora dentro do sprint</t>
        </is>
      </c>
    </row>
    <row r="81" ht="28" customHeight="1">
      <c r="A81" s="3" t="inlineStr">
        <is>
          <t>SL-S04-10</t>
        </is>
      </c>
      <c r="B81" s="3" t="inlineStr">
        <is>
          <t>SL-S04-GATE</t>
        </is>
      </c>
      <c r="C81" s="3" t="inlineStr">
        <is>
          <t>S04</t>
        </is>
      </c>
      <c r="D81" s="3" t="inlineStr">
        <is>
          <t>S04</t>
        </is>
      </c>
      <c r="E81" s="3" t="inlineStr">
        <is>
          <t>Bloqueia até aceite; sequência conservadora dentro do sprint</t>
        </is>
      </c>
    </row>
    <row r="82" ht="28" customHeight="1">
      <c r="A82" s="3" t="inlineStr">
        <is>
          <t>SL-S04-GATE</t>
        </is>
      </c>
      <c r="B82" s="3" t="inlineStr">
        <is>
          <t>SL-S05-01</t>
        </is>
      </c>
      <c r="C82" s="3" t="inlineStr">
        <is>
          <t>S04</t>
        </is>
      </c>
      <c r="D82" s="3" t="inlineStr">
        <is>
          <t>S05</t>
        </is>
      </c>
      <c r="E82" s="3" t="inlineStr">
        <is>
          <t>Bloqueia até aceite; sequência conservadora dentro do sprint</t>
        </is>
      </c>
    </row>
    <row r="83" ht="28" customHeight="1">
      <c r="A83" s="3" t="inlineStr">
        <is>
          <t>SL-S05-01</t>
        </is>
      </c>
      <c r="B83" s="3" t="inlineStr">
        <is>
          <t>SL-S05-02</t>
        </is>
      </c>
      <c r="C83" s="3" t="inlineStr">
        <is>
          <t>S05</t>
        </is>
      </c>
      <c r="D83" s="3" t="inlineStr">
        <is>
          <t>S05</t>
        </is>
      </c>
      <c r="E83" s="3" t="inlineStr">
        <is>
          <t>Bloqueia até aceite; sequência conservadora dentro do sprint</t>
        </is>
      </c>
    </row>
    <row r="84" ht="28" customHeight="1">
      <c r="A84" s="3" t="inlineStr">
        <is>
          <t>SL-S05-02</t>
        </is>
      </c>
      <c r="B84" s="3" t="inlineStr">
        <is>
          <t>SL-S05-03</t>
        </is>
      </c>
      <c r="C84" s="3" t="inlineStr">
        <is>
          <t>S05</t>
        </is>
      </c>
      <c r="D84" s="3" t="inlineStr">
        <is>
          <t>S05</t>
        </is>
      </c>
      <c r="E84" s="3" t="inlineStr">
        <is>
          <t>Bloqueia até aceite; sequência conservadora dentro do sprint</t>
        </is>
      </c>
    </row>
    <row r="85" ht="28" customHeight="1">
      <c r="A85" s="3" t="inlineStr">
        <is>
          <t>SL-S05-03</t>
        </is>
      </c>
      <c r="B85" s="3" t="inlineStr">
        <is>
          <t>SL-S05-04</t>
        </is>
      </c>
      <c r="C85" s="3" t="inlineStr">
        <is>
          <t>S05</t>
        </is>
      </c>
      <c r="D85" s="3" t="inlineStr">
        <is>
          <t>S05</t>
        </is>
      </c>
      <c r="E85" s="3" t="inlineStr">
        <is>
          <t>Bloqueia até aceite; sequência conservadora dentro do sprint</t>
        </is>
      </c>
    </row>
    <row r="86" ht="28" customHeight="1">
      <c r="A86" s="3" t="inlineStr">
        <is>
          <t>SL-S05-04</t>
        </is>
      </c>
      <c r="B86" s="3" t="inlineStr">
        <is>
          <t>SL-S05-05</t>
        </is>
      </c>
      <c r="C86" s="3" t="inlineStr">
        <is>
          <t>S05</t>
        </is>
      </c>
      <c r="D86" s="3" t="inlineStr">
        <is>
          <t>S05</t>
        </is>
      </c>
      <c r="E86" s="3" t="inlineStr">
        <is>
          <t>Bloqueia até aceite; sequência conservadora dentro do sprint</t>
        </is>
      </c>
    </row>
    <row r="87" ht="28" customHeight="1">
      <c r="A87" s="3" t="inlineStr">
        <is>
          <t>SL-S05-05</t>
        </is>
      </c>
      <c r="B87" s="3" t="inlineStr">
        <is>
          <t>SL-S05-06</t>
        </is>
      </c>
      <c r="C87" s="3" t="inlineStr">
        <is>
          <t>S05</t>
        </is>
      </c>
      <c r="D87" s="3" t="inlineStr">
        <is>
          <t>S05</t>
        </is>
      </c>
      <c r="E87" s="3" t="inlineStr">
        <is>
          <t>Bloqueia até aceite; sequência conservadora dentro do sprint</t>
        </is>
      </c>
    </row>
    <row r="88" ht="28" customHeight="1">
      <c r="A88" s="3" t="inlineStr">
        <is>
          <t>SL-S05-06</t>
        </is>
      </c>
      <c r="B88" s="3" t="inlineStr">
        <is>
          <t>SL-S05-07</t>
        </is>
      </c>
      <c r="C88" s="3" t="inlineStr">
        <is>
          <t>S05</t>
        </is>
      </c>
      <c r="D88" s="3" t="inlineStr">
        <is>
          <t>S05</t>
        </is>
      </c>
      <c r="E88" s="3" t="inlineStr">
        <is>
          <t>Bloqueia até aceite; sequência conservadora dentro do sprint</t>
        </is>
      </c>
    </row>
    <row r="89" ht="28" customHeight="1">
      <c r="A89" s="3" t="inlineStr">
        <is>
          <t>SL-S05-07</t>
        </is>
      </c>
      <c r="B89" s="3" t="inlineStr">
        <is>
          <t>SL-S05-08</t>
        </is>
      </c>
      <c r="C89" s="3" t="inlineStr">
        <is>
          <t>S05</t>
        </is>
      </c>
      <c r="D89" s="3" t="inlineStr">
        <is>
          <t>S05</t>
        </is>
      </c>
      <c r="E89" s="3" t="inlineStr">
        <is>
          <t>Bloqueia até aceite; sequência conservadora dentro do sprint</t>
        </is>
      </c>
    </row>
    <row r="90" ht="28" customHeight="1">
      <c r="A90" s="3" t="inlineStr">
        <is>
          <t>SL-S05-08</t>
        </is>
      </c>
      <c r="B90" s="3" t="inlineStr">
        <is>
          <t>SL-S05-09</t>
        </is>
      </c>
      <c r="C90" s="3" t="inlineStr">
        <is>
          <t>S05</t>
        </is>
      </c>
      <c r="D90" s="3" t="inlineStr">
        <is>
          <t>S05</t>
        </is>
      </c>
      <c r="E90" s="3" t="inlineStr">
        <is>
          <t>Bloqueia até aceite; sequência conservadora dentro do sprint</t>
        </is>
      </c>
    </row>
    <row r="91" ht="28" customHeight="1">
      <c r="A91" s="3" t="inlineStr">
        <is>
          <t>SL-S05-09</t>
        </is>
      </c>
      <c r="B91" s="3" t="inlineStr">
        <is>
          <t>SL-S05-10</t>
        </is>
      </c>
      <c r="C91" s="3" t="inlineStr">
        <is>
          <t>S05</t>
        </is>
      </c>
      <c r="D91" s="3" t="inlineStr">
        <is>
          <t>S05</t>
        </is>
      </c>
      <c r="E91" s="3" t="inlineStr">
        <is>
          <t>Bloqueia até aceite; sequência conservadora dentro do sprint</t>
        </is>
      </c>
    </row>
    <row r="92" ht="28" customHeight="1">
      <c r="A92" s="3" t="inlineStr">
        <is>
          <t>SL-S05-01</t>
        </is>
      </c>
      <c r="B92" s="3" t="inlineStr">
        <is>
          <t>SL-S05-GATE</t>
        </is>
      </c>
      <c r="C92" s="3" t="inlineStr">
        <is>
          <t>S05</t>
        </is>
      </c>
      <c r="D92" s="3" t="inlineStr">
        <is>
          <t>S05</t>
        </is>
      </c>
      <c r="E92" s="3" t="inlineStr">
        <is>
          <t>Bloqueia até aceite; sequência conservadora dentro do sprint</t>
        </is>
      </c>
    </row>
    <row r="93" ht="28" customHeight="1">
      <c r="A93" s="3" t="inlineStr">
        <is>
          <t>SL-S05-02</t>
        </is>
      </c>
      <c r="B93" s="3" t="inlineStr">
        <is>
          <t>SL-S05-GATE</t>
        </is>
      </c>
      <c r="C93" s="3" t="inlineStr">
        <is>
          <t>S05</t>
        </is>
      </c>
      <c r="D93" s="3" t="inlineStr">
        <is>
          <t>S05</t>
        </is>
      </c>
      <c r="E93" s="3" t="inlineStr">
        <is>
          <t>Bloqueia até aceite; sequência conservadora dentro do sprint</t>
        </is>
      </c>
    </row>
    <row r="94" ht="28" customHeight="1">
      <c r="A94" s="3" t="inlineStr">
        <is>
          <t>SL-S05-03</t>
        </is>
      </c>
      <c r="B94" s="3" t="inlineStr">
        <is>
          <t>SL-S05-GATE</t>
        </is>
      </c>
      <c r="C94" s="3" t="inlineStr">
        <is>
          <t>S05</t>
        </is>
      </c>
      <c r="D94" s="3" t="inlineStr">
        <is>
          <t>S05</t>
        </is>
      </c>
      <c r="E94" s="3" t="inlineStr">
        <is>
          <t>Bloqueia até aceite; sequência conservadora dentro do sprint</t>
        </is>
      </c>
    </row>
    <row r="95" ht="28" customHeight="1">
      <c r="A95" s="3" t="inlineStr">
        <is>
          <t>SL-S05-04</t>
        </is>
      </c>
      <c r="B95" s="3" t="inlineStr">
        <is>
          <t>SL-S05-GATE</t>
        </is>
      </c>
      <c r="C95" s="3" t="inlineStr">
        <is>
          <t>S05</t>
        </is>
      </c>
      <c r="D95" s="3" t="inlineStr">
        <is>
          <t>S05</t>
        </is>
      </c>
      <c r="E95" s="3" t="inlineStr">
        <is>
          <t>Bloqueia até aceite; sequência conservadora dentro do sprint</t>
        </is>
      </c>
    </row>
    <row r="96" ht="28" customHeight="1">
      <c r="A96" s="3" t="inlineStr">
        <is>
          <t>SL-S05-05</t>
        </is>
      </c>
      <c r="B96" s="3" t="inlineStr">
        <is>
          <t>SL-S05-GATE</t>
        </is>
      </c>
      <c r="C96" s="3" t="inlineStr">
        <is>
          <t>S05</t>
        </is>
      </c>
      <c r="D96" s="3" t="inlineStr">
        <is>
          <t>S05</t>
        </is>
      </c>
      <c r="E96" s="3" t="inlineStr">
        <is>
          <t>Bloqueia até aceite; sequência conservadora dentro do sprint</t>
        </is>
      </c>
    </row>
    <row r="97" ht="28" customHeight="1">
      <c r="A97" s="3" t="inlineStr">
        <is>
          <t>SL-S05-06</t>
        </is>
      </c>
      <c r="B97" s="3" t="inlineStr">
        <is>
          <t>SL-S05-GATE</t>
        </is>
      </c>
      <c r="C97" s="3" t="inlineStr">
        <is>
          <t>S05</t>
        </is>
      </c>
      <c r="D97" s="3" t="inlineStr">
        <is>
          <t>S05</t>
        </is>
      </c>
      <c r="E97" s="3" t="inlineStr">
        <is>
          <t>Bloqueia até aceite; sequência conservadora dentro do sprint</t>
        </is>
      </c>
    </row>
    <row r="98" ht="28" customHeight="1">
      <c r="A98" s="3" t="inlineStr">
        <is>
          <t>SL-S05-07</t>
        </is>
      </c>
      <c r="B98" s="3" t="inlineStr">
        <is>
          <t>SL-S05-GATE</t>
        </is>
      </c>
      <c r="C98" s="3" t="inlineStr">
        <is>
          <t>S05</t>
        </is>
      </c>
      <c r="D98" s="3" t="inlineStr">
        <is>
          <t>S05</t>
        </is>
      </c>
      <c r="E98" s="3" t="inlineStr">
        <is>
          <t>Bloqueia até aceite; sequência conservadora dentro do sprint</t>
        </is>
      </c>
    </row>
    <row r="99" ht="28" customHeight="1">
      <c r="A99" s="3" t="inlineStr">
        <is>
          <t>SL-S05-08</t>
        </is>
      </c>
      <c r="B99" s="3" t="inlineStr">
        <is>
          <t>SL-S05-GATE</t>
        </is>
      </c>
      <c r="C99" s="3" t="inlineStr">
        <is>
          <t>S05</t>
        </is>
      </c>
      <c r="D99" s="3" t="inlineStr">
        <is>
          <t>S05</t>
        </is>
      </c>
      <c r="E99" s="3" t="inlineStr">
        <is>
          <t>Bloqueia até aceite; sequência conservadora dentro do sprint</t>
        </is>
      </c>
    </row>
    <row r="100" ht="28" customHeight="1">
      <c r="A100" s="3" t="inlineStr">
        <is>
          <t>SL-S05-09</t>
        </is>
      </c>
      <c r="B100" s="3" t="inlineStr">
        <is>
          <t>SL-S05-GATE</t>
        </is>
      </c>
      <c r="C100" s="3" t="inlineStr">
        <is>
          <t>S05</t>
        </is>
      </c>
      <c r="D100" s="3" t="inlineStr">
        <is>
          <t>S05</t>
        </is>
      </c>
      <c r="E100" s="3" t="inlineStr">
        <is>
          <t>Bloqueia até aceite; sequência conservadora dentro do sprint</t>
        </is>
      </c>
    </row>
    <row r="101" ht="28" customHeight="1">
      <c r="A101" s="3" t="inlineStr">
        <is>
          <t>SL-S05-10</t>
        </is>
      </c>
      <c r="B101" s="3" t="inlineStr">
        <is>
          <t>SL-S05-GATE</t>
        </is>
      </c>
      <c r="C101" s="3" t="inlineStr">
        <is>
          <t>S05</t>
        </is>
      </c>
      <c r="D101" s="3" t="inlineStr">
        <is>
          <t>S05</t>
        </is>
      </c>
      <c r="E101" s="3" t="inlineStr">
        <is>
          <t>Bloqueia até aceite; sequência conservadora dentro do sprint</t>
        </is>
      </c>
    </row>
    <row r="102" ht="28" customHeight="1">
      <c r="A102" s="3" t="inlineStr">
        <is>
          <t>SL-S04-GATE</t>
        </is>
      </c>
      <c r="B102" s="3" t="inlineStr">
        <is>
          <t>SL-S06-01</t>
        </is>
      </c>
      <c r="C102" s="3" t="inlineStr">
        <is>
          <t>S04</t>
        </is>
      </c>
      <c r="D102" s="3" t="inlineStr">
        <is>
          <t>S06</t>
        </is>
      </c>
      <c r="E102" s="3" t="inlineStr">
        <is>
          <t>Bloqueia até aceite; sequência conservadora dentro do sprint</t>
        </is>
      </c>
    </row>
    <row r="103" ht="28" customHeight="1">
      <c r="A103" s="3" t="inlineStr">
        <is>
          <t>SL-S05-GATE</t>
        </is>
      </c>
      <c r="B103" s="3" t="inlineStr">
        <is>
          <t>SL-S06-01</t>
        </is>
      </c>
      <c r="C103" s="3" t="inlineStr">
        <is>
          <t>S05</t>
        </is>
      </c>
      <c r="D103" s="3" t="inlineStr">
        <is>
          <t>S06</t>
        </is>
      </c>
      <c r="E103" s="3" t="inlineStr">
        <is>
          <t>Bloqueia até aceite; sequência conservadora dentro do sprint</t>
        </is>
      </c>
    </row>
    <row r="104" ht="28" customHeight="1">
      <c r="A104" s="3" t="inlineStr">
        <is>
          <t>SL-S06-01</t>
        </is>
      </c>
      <c r="B104" s="3" t="inlineStr">
        <is>
          <t>SL-S06-02</t>
        </is>
      </c>
      <c r="C104" s="3" t="inlineStr">
        <is>
          <t>S06</t>
        </is>
      </c>
      <c r="D104" s="3" t="inlineStr">
        <is>
          <t>S06</t>
        </is>
      </c>
      <c r="E104" s="3" t="inlineStr">
        <is>
          <t>Bloqueia até aceite; sequência conservadora dentro do sprint</t>
        </is>
      </c>
    </row>
    <row r="105" ht="28" customHeight="1">
      <c r="A105" s="3" t="inlineStr">
        <is>
          <t>SL-S06-02</t>
        </is>
      </c>
      <c r="B105" s="3" t="inlineStr">
        <is>
          <t>SL-S06-03</t>
        </is>
      </c>
      <c r="C105" s="3" t="inlineStr">
        <is>
          <t>S06</t>
        </is>
      </c>
      <c r="D105" s="3" t="inlineStr">
        <is>
          <t>S06</t>
        </is>
      </c>
      <c r="E105" s="3" t="inlineStr">
        <is>
          <t>Bloqueia até aceite; sequência conservadora dentro do sprint</t>
        </is>
      </c>
    </row>
    <row r="106" ht="28" customHeight="1">
      <c r="A106" s="3" t="inlineStr">
        <is>
          <t>SL-S06-03</t>
        </is>
      </c>
      <c r="B106" s="3" t="inlineStr">
        <is>
          <t>SL-S06-04</t>
        </is>
      </c>
      <c r="C106" s="3" t="inlineStr">
        <is>
          <t>S06</t>
        </is>
      </c>
      <c r="D106" s="3" t="inlineStr">
        <is>
          <t>S06</t>
        </is>
      </c>
      <c r="E106" s="3" t="inlineStr">
        <is>
          <t>Bloqueia até aceite; sequência conservadora dentro do sprint</t>
        </is>
      </c>
    </row>
    <row r="107" ht="28" customHeight="1">
      <c r="A107" s="3" t="inlineStr">
        <is>
          <t>SL-S06-04</t>
        </is>
      </c>
      <c r="B107" s="3" t="inlineStr">
        <is>
          <t>SL-S06-05</t>
        </is>
      </c>
      <c r="C107" s="3" t="inlineStr">
        <is>
          <t>S06</t>
        </is>
      </c>
      <c r="D107" s="3" t="inlineStr">
        <is>
          <t>S06</t>
        </is>
      </c>
      <c r="E107" s="3" t="inlineStr">
        <is>
          <t>Bloqueia até aceite; sequência conservadora dentro do sprint</t>
        </is>
      </c>
    </row>
    <row r="108" ht="28" customHeight="1">
      <c r="A108" s="3" t="inlineStr">
        <is>
          <t>SL-S06-05</t>
        </is>
      </c>
      <c r="B108" s="3" t="inlineStr">
        <is>
          <t>SL-S06-06</t>
        </is>
      </c>
      <c r="C108" s="3" t="inlineStr">
        <is>
          <t>S06</t>
        </is>
      </c>
      <c r="D108" s="3" t="inlineStr">
        <is>
          <t>S06</t>
        </is>
      </c>
      <c r="E108" s="3" t="inlineStr">
        <is>
          <t>Bloqueia até aceite; sequência conservadora dentro do sprint</t>
        </is>
      </c>
    </row>
    <row r="109" ht="28" customHeight="1">
      <c r="A109" s="3" t="inlineStr">
        <is>
          <t>SL-S06-06</t>
        </is>
      </c>
      <c r="B109" s="3" t="inlineStr">
        <is>
          <t>SL-S06-07</t>
        </is>
      </c>
      <c r="C109" s="3" t="inlineStr">
        <is>
          <t>S06</t>
        </is>
      </c>
      <c r="D109" s="3" t="inlineStr">
        <is>
          <t>S06</t>
        </is>
      </c>
      <c r="E109" s="3" t="inlineStr">
        <is>
          <t>Bloqueia até aceite; sequência conservadora dentro do sprint</t>
        </is>
      </c>
    </row>
    <row r="110" ht="28" customHeight="1">
      <c r="A110" s="3" t="inlineStr">
        <is>
          <t>SL-S06-07</t>
        </is>
      </c>
      <c r="B110" s="3" t="inlineStr">
        <is>
          <t>SL-S06-08</t>
        </is>
      </c>
      <c r="C110" s="3" t="inlineStr">
        <is>
          <t>S06</t>
        </is>
      </c>
      <c r="D110" s="3" t="inlineStr">
        <is>
          <t>S06</t>
        </is>
      </c>
      <c r="E110" s="3" t="inlineStr">
        <is>
          <t>Bloqueia até aceite; sequência conservadora dentro do sprint</t>
        </is>
      </c>
    </row>
    <row r="111" ht="28" customHeight="1">
      <c r="A111" s="3" t="inlineStr">
        <is>
          <t>SL-S06-08</t>
        </is>
      </c>
      <c r="B111" s="3" t="inlineStr">
        <is>
          <t>SL-S06-09</t>
        </is>
      </c>
      <c r="C111" s="3" t="inlineStr">
        <is>
          <t>S06</t>
        </is>
      </c>
      <c r="D111" s="3" t="inlineStr">
        <is>
          <t>S06</t>
        </is>
      </c>
      <c r="E111" s="3" t="inlineStr">
        <is>
          <t>Bloqueia até aceite; sequência conservadora dentro do sprint</t>
        </is>
      </c>
    </row>
    <row r="112" ht="28" customHeight="1">
      <c r="A112" s="3" t="inlineStr">
        <is>
          <t>SL-S06-09</t>
        </is>
      </c>
      <c r="B112" s="3" t="inlineStr">
        <is>
          <t>SL-S06-10</t>
        </is>
      </c>
      <c r="C112" s="3" t="inlineStr">
        <is>
          <t>S06</t>
        </is>
      </c>
      <c r="D112" s="3" t="inlineStr">
        <is>
          <t>S06</t>
        </is>
      </c>
      <c r="E112" s="3" t="inlineStr">
        <is>
          <t>Bloqueia até aceite; sequência conservadora dentro do sprint</t>
        </is>
      </c>
    </row>
    <row r="113" ht="28" customHeight="1">
      <c r="A113" s="3" t="inlineStr">
        <is>
          <t>SL-S06-01</t>
        </is>
      </c>
      <c r="B113" s="3" t="inlineStr">
        <is>
          <t>SL-S06-GATE</t>
        </is>
      </c>
      <c r="C113" s="3" t="inlineStr">
        <is>
          <t>S06</t>
        </is>
      </c>
      <c r="D113" s="3" t="inlineStr">
        <is>
          <t>S06</t>
        </is>
      </c>
      <c r="E113" s="3" t="inlineStr">
        <is>
          <t>Bloqueia até aceite; sequência conservadora dentro do sprint</t>
        </is>
      </c>
    </row>
    <row r="114" ht="28" customHeight="1">
      <c r="A114" s="3" t="inlineStr">
        <is>
          <t>SL-S06-02</t>
        </is>
      </c>
      <c r="B114" s="3" t="inlineStr">
        <is>
          <t>SL-S06-GATE</t>
        </is>
      </c>
      <c r="C114" s="3" t="inlineStr">
        <is>
          <t>S06</t>
        </is>
      </c>
      <c r="D114" s="3" t="inlineStr">
        <is>
          <t>S06</t>
        </is>
      </c>
      <c r="E114" s="3" t="inlineStr">
        <is>
          <t>Bloqueia até aceite; sequência conservadora dentro do sprint</t>
        </is>
      </c>
    </row>
    <row r="115" ht="28" customHeight="1">
      <c r="A115" s="3" t="inlineStr">
        <is>
          <t>SL-S06-03</t>
        </is>
      </c>
      <c r="B115" s="3" t="inlineStr">
        <is>
          <t>SL-S06-GATE</t>
        </is>
      </c>
      <c r="C115" s="3" t="inlineStr">
        <is>
          <t>S06</t>
        </is>
      </c>
      <c r="D115" s="3" t="inlineStr">
        <is>
          <t>S06</t>
        </is>
      </c>
      <c r="E115" s="3" t="inlineStr">
        <is>
          <t>Bloqueia até aceite; sequência conservadora dentro do sprint</t>
        </is>
      </c>
    </row>
    <row r="116" ht="28" customHeight="1">
      <c r="A116" s="3" t="inlineStr">
        <is>
          <t>SL-S06-04</t>
        </is>
      </c>
      <c r="B116" s="3" t="inlineStr">
        <is>
          <t>SL-S06-GATE</t>
        </is>
      </c>
      <c r="C116" s="3" t="inlineStr">
        <is>
          <t>S06</t>
        </is>
      </c>
      <c r="D116" s="3" t="inlineStr">
        <is>
          <t>S06</t>
        </is>
      </c>
      <c r="E116" s="3" t="inlineStr">
        <is>
          <t>Bloqueia até aceite; sequência conservadora dentro do sprint</t>
        </is>
      </c>
    </row>
    <row r="117" ht="28" customHeight="1">
      <c r="A117" s="3" t="inlineStr">
        <is>
          <t>SL-S06-05</t>
        </is>
      </c>
      <c r="B117" s="3" t="inlineStr">
        <is>
          <t>SL-S06-GATE</t>
        </is>
      </c>
      <c r="C117" s="3" t="inlineStr">
        <is>
          <t>S06</t>
        </is>
      </c>
      <c r="D117" s="3" t="inlineStr">
        <is>
          <t>S06</t>
        </is>
      </c>
      <c r="E117" s="3" t="inlineStr">
        <is>
          <t>Bloqueia até aceite; sequência conservadora dentro do sprint</t>
        </is>
      </c>
    </row>
    <row r="118" ht="28" customHeight="1">
      <c r="A118" s="3" t="inlineStr">
        <is>
          <t>SL-S06-06</t>
        </is>
      </c>
      <c r="B118" s="3" t="inlineStr">
        <is>
          <t>SL-S06-GATE</t>
        </is>
      </c>
      <c r="C118" s="3" t="inlineStr">
        <is>
          <t>S06</t>
        </is>
      </c>
      <c r="D118" s="3" t="inlineStr">
        <is>
          <t>S06</t>
        </is>
      </c>
      <c r="E118" s="3" t="inlineStr">
        <is>
          <t>Bloqueia até aceite; sequência conservadora dentro do sprint</t>
        </is>
      </c>
    </row>
    <row r="119" ht="28" customHeight="1">
      <c r="A119" s="3" t="inlineStr">
        <is>
          <t>SL-S06-07</t>
        </is>
      </c>
      <c r="B119" s="3" t="inlineStr">
        <is>
          <t>SL-S06-GATE</t>
        </is>
      </c>
      <c r="C119" s="3" t="inlineStr">
        <is>
          <t>S06</t>
        </is>
      </c>
      <c r="D119" s="3" t="inlineStr">
        <is>
          <t>S06</t>
        </is>
      </c>
      <c r="E119" s="3" t="inlineStr">
        <is>
          <t>Bloqueia até aceite; sequência conservadora dentro do sprint</t>
        </is>
      </c>
    </row>
    <row r="120" ht="28" customHeight="1">
      <c r="A120" s="3" t="inlineStr">
        <is>
          <t>SL-S06-08</t>
        </is>
      </c>
      <c r="B120" s="3" t="inlineStr">
        <is>
          <t>SL-S06-GATE</t>
        </is>
      </c>
      <c r="C120" s="3" t="inlineStr">
        <is>
          <t>S06</t>
        </is>
      </c>
      <c r="D120" s="3" t="inlineStr">
        <is>
          <t>S06</t>
        </is>
      </c>
      <c r="E120" s="3" t="inlineStr">
        <is>
          <t>Bloqueia até aceite; sequência conservadora dentro do sprint</t>
        </is>
      </c>
    </row>
    <row r="121" ht="28" customHeight="1">
      <c r="A121" s="3" t="inlineStr">
        <is>
          <t>SL-S06-09</t>
        </is>
      </c>
      <c r="B121" s="3" t="inlineStr">
        <is>
          <t>SL-S06-GATE</t>
        </is>
      </c>
      <c r="C121" s="3" t="inlineStr">
        <is>
          <t>S06</t>
        </is>
      </c>
      <c r="D121" s="3" t="inlineStr">
        <is>
          <t>S06</t>
        </is>
      </c>
      <c r="E121" s="3" t="inlineStr">
        <is>
          <t>Bloqueia até aceite; sequência conservadora dentro do sprint</t>
        </is>
      </c>
    </row>
    <row r="122" ht="28" customHeight="1">
      <c r="A122" s="3" t="inlineStr">
        <is>
          <t>SL-S06-10</t>
        </is>
      </c>
      <c r="B122" s="3" t="inlineStr">
        <is>
          <t>SL-S06-GATE</t>
        </is>
      </c>
      <c r="C122" s="3" t="inlineStr">
        <is>
          <t>S06</t>
        </is>
      </c>
      <c r="D122" s="3" t="inlineStr">
        <is>
          <t>S06</t>
        </is>
      </c>
      <c r="E122" s="3" t="inlineStr">
        <is>
          <t>Bloqueia até aceite; sequência conservadora dentro do sprint</t>
        </is>
      </c>
    </row>
    <row r="123" ht="28" customHeight="1">
      <c r="A123" s="3" t="inlineStr">
        <is>
          <t>SL-S02-GATE</t>
        </is>
      </c>
      <c r="B123" s="3" t="inlineStr">
        <is>
          <t>SL-S07-01</t>
        </is>
      </c>
      <c r="C123" s="3" t="inlineStr">
        <is>
          <t>S02</t>
        </is>
      </c>
      <c r="D123" s="3" t="inlineStr">
        <is>
          <t>S07</t>
        </is>
      </c>
      <c r="E123" s="3" t="inlineStr">
        <is>
          <t>Bloqueia até aceite; sequência conservadora dentro do sprint</t>
        </is>
      </c>
    </row>
    <row r="124" ht="28" customHeight="1">
      <c r="A124" s="3" t="inlineStr">
        <is>
          <t>SL-S06-GATE</t>
        </is>
      </c>
      <c r="B124" s="3" t="inlineStr">
        <is>
          <t>SL-S07-01</t>
        </is>
      </c>
      <c r="C124" s="3" t="inlineStr">
        <is>
          <t>S06</t>
        </is>
      </c>
      <c r="D124" s="3" t="inlineStr">
        <is>
          <t>S07</t>
        </is>
      </c>
      <c r="E124" s="3" t="inlineStr">
        <is>
          <t>Bloqueia até aceite; sequência conservadora dentro do sprint</t>
        </is>
      </c>
    </row>
    <row r="125" ht="28" customHeight="1">
      <c r="A125" s="3" t="inlineStr">
        <is>
          <t>SL-S07-01</t>
        </is>
      </c>
      <c r="B125" s="3" t="inlineStr">
        <is>
          <t>SL-S07-02</t>
        </is>
      </c>
      <c r="C125" s="3" t="inlineStr">
        <is>
          <t>S07</t>
        </is>
      </c>
      <c r="D125" s="3" t="inlineStr">
        <is>
          <t>S07</t>
        </is>
      </c>
      <c r="E125" s="3" t="inlineStr">
        <is>
          <t>Bloqueia até aceite; sequência conservadora dentro do sprint</t>
        </is>
      </c>
    </row>
    <row r="126" ht="28" customHeight="1">
      <c r="A126" s="3" t="inlineStr">
        <is>
          <t>SL-S07-02</t>
        </is>
      </c>
      <c r="B126" s="3" t="inlineStr">
        <is>
          <t>SL-S07-03</t>
        </is>
      </c>
      <c r="C126" s="3" t="inlineStr">
        <is>
          <t>S07</t>
        </is>
      </c>
      <c r="D126" s="3" t="inlineStr">
        <is>
          <t>S07</t>
        </is>
      </c>
      <c r="E126" s="3" t="inlineStr">
        <is>
          <t>Bloqueia até aceite; sequência conservadora dentro do sprint</t>
        </is>
      </c>
    </row>
    <row r="127" ht="28" customHeight="1">
      <c r="A127" s="3" t="inlineStr">
        <is>
          <t>SL-S07-03</t>
        </is>
      </c>
      <c r="B127" s="3" t="inlineStr">
        <is>
          <t>SL-S07-04</t>
        </is>
      </c>
      <c r="C127" s="3" t="inlineStr">
        <is>
          <t>S07</t>
        </is>
      </c>
      <c r="D127" s="3" t="inlineStr">
        <is>
          <t>S07</t>
        </is>
      </c>
      <c r="E127" s="3" t="inlineStr">
        <is>
          <t>Bloqueia até aceite; sequência conservadora dentro do sprint</t>
        </is>
      </c>
    </row>
    <row r="128" ht="28" customHeight="1">
      <c r="A128" s="3" t="inlineStr">
        <is>
          <t>SL-S07-04</t>
        </is>
      </c>
      <c r="B128" s="3" t="inlineStr">
        <is>
          <t>SL-S07-05</t>
        </is>
      </c>
      <c r="C128" s="3" t="inlineStr">
        <is>
          <t>S07</t>
        </is>
      </c>
      <c r="D128" s="3" t="inlineStr">
        <is>
          <t>S07</t>
        </is>
      </c>
      <c r="E128" s="3" t="inlineStr">
        <is>
          <t>Bloqueia até aceite; sequência conservadora dentro do sprint</t>
        </is>
      </c>
    </row>
    <row r="129" ht="28" customHeight="1">
      <c r="A129" s="3" t="inlineStr">
        <is>
          <t>SL-S07-05</t>
        </is>
      </c>
      <c r="B129" s="3" t="inlineStr">
        <is>
          <t>SL-S07-06</t>
        </is>
      </c>
      <c r="C129" s="3" t="inlineStr">
        <is>
          <t>S07</t>
        </is>
      </c>
      <c r="D129" s="3" t="inlineStr">
        <is>
          <t>S07</t>
        </is>
      </c>
      <c r="E129" s="3" t="inlineStr">
        <is>
          <t>Bloqueia até aceite; sequência conservadora dentro do sprint</t>
        </is>
      </c>
    </row>
    <row r="130" ht="28" customHeight="1">
      <c r="A130" s="3" t="inlineStr">
        <is>
          <t>SL-S07-06</t>
        </is>
      </c>
      <c r="B130" s="3" t="inlineStr">
        <is>
          <t>SL-S07-07</t>
        </is>
      </c>
      <c r="C130" s="3" t="inlineStr">
        <is>
          <t>S07</t>
        </is>
      </c>
      <c r="D130" s="3" t="inlineStr">
        <is>
          <t>S07</t>
        </is>
      </c>
      <c r="E130" s="3" t="inlineStr">
        <is>
          <t>Bloqueia até aceite; sequência conservadora dentro do sprint</t>
        </is>
      </c>
    </row>
    <row r="131" ht="28" customHeight="1">
      <c r="A131" s="3" t="inlineStr">
        <is>
          <t>SL-S07-07</t>
        </is>
      </c>
      <c r="B131" s="3" t="inlineStr">
        <is>
          <t>SL-S07-08</t>
        </is>
      </c>
      <c r="C131" s="3" t="inlineStr">
        <is>
          <t>S07</t>
        </is>
      </c>
      <c r="D131" s="3" t="inlineStr">
        <is>
          <t>S07</t>
        </is>
      </c>
      <c r="E131" s="3" t="inlineStr">
        <is>
          <t>Bloqueia até aceite; sequência conservadora dentro do sprint</t>
        </is>
      </c>
    </row>
    <row r="132" ht="28" customHeight="1">
      <c r="A132" s="3" t="inlineStr">
        <is>
          <t>SL-S07-08</t>
        </is>
      </c>
      <c r="B132" s="3" t="inlineStr">
        <is>
          <t>SL-S07-09</t>
        </is>
      </c>
      <c r="C132" s="3" t="inlineStr">
        <is>
          <t>S07</t>
        </is>
      </c>
      <c r="D132" s="3" t="inlineStr">
        <is>
          <t>S07</t>
        </is>
      </c>
      <c r="E132" s="3" t="inlineStr">
        <is>
          <t>Bloqueia até aceite; sequência conservadora dentro do sprint</t>
        </is>
      </c>
    </row>
    <row r="133" ht="28" customHeight="1">
      <c r="A133" s="3" t="inlineStr">
        <is>
          <t>SL-S07-09</t>
        </is>
      </c>
      <c r="B133" s="3" t="inlineStr">
        <is>
          <t>SL-S07-10</t>
        </is>
      </c>
      <c r="C133" s="3" t="inlineStr">
        <is>
          <t>S07</t>
        </is>
      </c>
      <c r="D133" s="3" t="inlineStr">
        <is>
          <t>S07</t>
        </is>
      </c>
      <c r="E133" s="3" t="inlineStr">
        <is>
          <t>Bloqueia até aceite; sequência conservadora dentro do sprint</t>
        </is>
      </c>
    </row>
    <row r="134" ht="28" customHeight="1">
      <c r="A134" s="3" t="inlineStr">
        <is>
          <t>SL-S07-01</t>
        </is>
      </c>
      <c r="B134" s="3" t="inlineStr">
        <is>
          <t>SL-S07-GATE</t>
        </is>
      </c>
      <c r="C134" s="3" t="inlineStr">
        <is>
          <t>S07</t>
        </is>
      </c>
      <c r="D134" s="3" t="inlineStr">
        <is>
          <t>S07</t>
        </is>
      </c>
      <c r="E134" s="3" t="inlineStr">
        <is>
          <t>Bloqueia até aceite; sequência conservadora dentro do sprint</t>
        </is>
      </c>
    </row>
    <row r="135" ht="28" customHeight="1">
      <c r="A135" s="3" t="inlineStr">
        <is>
          <t>SL-S07-02</t>
        </is>
      </c>
      <c r="B135" s="3" t="inlineStr">
        <is>
          <t>SL-S07-GATE</t>
        </is>
      </c>
      <c r="C135" s="3" t="inlineStr">
        <is>
          <t>S07</t>
        </is>
      </c>
      <c r="D135" s="3" t="inlineStr">
        <is>
          <t>S07</t>
        </is>
      </c>
      <c r="E135" s="3" t="inlineStr">
        <is>
          <t>Bloqueia até aceite; sequência conservadora dentro do sprint</t>
        </is>
      </c>
    </row>
    <row r="136" ht="28" customHeight="1">
      <c r="A136" s="3" t="inlineStr">
        <is>
          <t>SL-S07-03</t>
        </is>
      </c>
      <c r="B136" s="3" t="inlineStr">
        <is>
          <t>SL-S07-GATE</t>
        </is>
      </c>
      <c r="C136" s="3" t="inlineStr">
        <is>
          <t>S07</t>
        </is>
      </c>
      <c r="D136" s="3" t="inlineStr">
        <is>
          <t>S07</t>
        </is>
      </c>
      <c r="E136" s="3" t="inlineStr">
        <is>
          <t>Bloqueia até aceite; sequência conservadora dentro do sprint</t>
        </is>
      </c>
    </row>
    <row r="137" ht="28" customHeight="1">
      <c r="A137" s="3" t="inlineStr">
        <is>
          <t>SL-S07-04</t>
        </is>
      </c>
      <c r="B137" s="3" t="inlineStr">
        <is>
          <t>SL-S07-GATE</t>
        </is>
      </c>
      <c r="C137" s="3" t="inlineStr">
        <is>
          <t>S07</t>
        </is>
      </c>
      <c r="D137" s="3" t="inlineStr">
        <is>
          <t>S07</t>
        </is>
      </c>
      <c r="E137" s="3" t="inlineStr">
        <is>
          <t>Bloqueia até aceite; sequência conservadora dentro do sprint</t>
        </is>
      </c>
    </row>
    <row r="138" ht="28" customHeight="1">
      <c r="A138" s="3" t="inlineStr">
        <is>
          <t>SL-S07-05</t>
        </is>
      </c>
      <c r="B138" s="3" t="inlineStr">
        <is>
          <t>SL-S07-GATE</t>
        </is>
      </c>
      <c r="C138" s="3" t="inlineStr">
        <is>
          <t>S07</t>
        </is>
      </c>
      <c r="D138" s="3" t="inlineStr">
        <is>
          <t>S07</t>
        </is>
      </c>
      <c r="E138" s="3" t="inlineStr">
        <is>
          <t>Bloqueia até aceite; sequência conservadora dentro do sprint</t>
        </is>
      </c>
    </row>
    <row r="139" ht="28" customHeight="1">
      <c r="A139" s="3" t="inlineStr">
        <is>
          <t>SL-S07-06</t>
        </is>
      </c>
      <c r="B139" s="3" t="inlineStr">
        <is>
          <t>SL-S07-GATE</t>
        </is>
      </c>
      <c r="C139" s="3" t="inlineStr">
        <is>
          <t>S07</t>
        </is>
      </c>
      <c r="D139" s="3" t="inlineStr">
        <is>
          <t>S07</t>
        </is>
      </c>
      <c r="E139" s="3" t="inlineStr">
        <is>
          <t>Bloqueia até aceite; sequência conservadora dentro do sprint</t>
        </is>
      </c>
    </row>
    <row r="140" ht="28" customHeight="1">
      <c r="A140" s="3" t="inlineStr">
        <is>
          <t>SL-S07-07</t>
        </is>
      </c>
      <c r="B140" s="3" t="inlineStr">
        <is>
          <t>SL-S07-GATE</t>
        </is>
      </c>
      <c r="C140" s="3" t="inlineStr">
        <is>
          <t>S07</t>
        </is>
      </c>
      <c r="D140" s="3" t="inlineStr">
        <is>
          <t>S07</t>
        </is>
      </c>
      <c r="E140" s="3" t="inlineStr">
        <is>
          <t>Bloqueia até aceite; sequência conservadora dentro do sprint</t>
        </is>
      </c>
    </row>
    <row r="141" ht="28" customHeight="1">
      <c r="A141" s="3" t="inlineStr">
        <is>
          <t>SL-S07-08</t>
        </is>
      </c>
      <c r="B141" s="3" t="inlineStr">
        <is>
          <t>SL-S07-GATE</t>
        </is>
      </c>
      <c r="C141" s="3" t="inlineStr">
        <is>
          <t>S07</t>
        </is>
      </c>
      <c r="D141" s="3" t="inlineStr">
        <is>
          <t>S07</t>
        </is>
      </c>
      <c r="E141" s="3" t="inlineStr">
        <is>
          <t>Bloqueia até aceite; sequência conservadora dentro do sprint</t>
        </is>
      </c>
    </row>
    <row r="142" ht="28" customHeight="1">
      <c r="A142" s="3" t="inlineStr">
        <is>
          <t>SL-S07-09</t>
        </is>
      </c>
      <c r="B142" s="3" t="inlineStr">
        <is>
          <t>SL-S07-GATE</t>
        </is>
      </c>
      <c r="C142" s="3" t="inlineStr">
        <is>
          <t>S07</t>
        </is>
      </c>
      <c r="D142" s="3" t="inlineStr">
        <is>
          <t>S07</t>
        </is>
      </c>
      <c r="E142" s="3" t="inlineStr">
        <is>
          <t>Bloqueia até aceite; sequência conservadora dentro do sprint</t>
        </is>
      </c>
    </row>
    <row r="143" ht="28" customHeight="1">
      <c r="A143" s="3" t="inlineStr">
        <is>
          <t>SL-S07-10</t>
        </is>
      </c>
      <c r="B143" s="3" t="inlineStr">
        <is>
          <t>SL-S07-GATE</t>
        </is>
      </c>
      <c r="C143" s="3" t="inlineStr">
        <is>
          <t>S07</t>
        </is>
      </c>
      <c r="D143" s="3" t="inlineStr">
        <is>
          <t>S07</t>
        </is>
      </c>
      <c r="E143" s="3" t="inlineStr">
        <is>
          <t>Bloqueia até aceite; sequência conservadora dentro do sprint</t>
        </is>
      </c>
    </row>
    <row r="144" ht="28" customHeight="1">
      <c r="A144" s="3" t="inlineStr">
        <is>
          <t>SL-S07-GATE</t>
        </is>
      </c>
      <c r="B144" s="3" t="inlineStr">
        <is>
          <t>SL-S08-01</t>
        </is>
      </c>
      <c r="C144" s="3" t="inlineStr">
        <is>
          <t>S07</t>
        </is>
      </c>
      <c r="D144" s="3" t="inlineStr">
        <is>
          <t>S08</t>
        </is>
      </c>
      <c r="E144" s="3" t="inlineStr">
        <is>
          <t>Bloqueia até aceite; sequência conservadora dentro do sprint</t>
        </is>
      </c>
    </row>
    <row r="145" ht="28" customHeight="1">
      <c r="A145" s="3" t="inlineStr">
        <is>
          <t>SL-S08-01</t>
        </is>
      </c>
      <c r="B145" s="3" t="inlineStr">
        <is>
          <t>SL-S08-02</t>
        </is>
      </c>
      <c r="C145" s="3" t="inlineStr">
        <is>
          <t>S08</t>
        </is>
      </c>
      <c r="D145" s="3" t="inlineStr">
        <is>
          <t>S08</t>
        </is>
      </c>
      <c r="E145" s="3" t="inlineStr">
        <is>
          <t>Bloqueia até aceite; sequência conservadora dentro do sprint</t>
        </is>
      </c>
    </row>
    <row r="146" ht="28" customHeight="1">
      <c r="A146" s="3" t="inlineStr">
        <is>
          <t>SL-S08-02</t>
        </is>
      </c>
      <c r="B146" s="3" t="inlineStr">
        <is>
          <t>SL-S08-03</t>
        </is>
      </c>
      <c r="C146" s="3" t="inlineStr">
        <is>
          <t>S08</t>
        </is>
      </c>
      <c r="D146" s="3" t="inlineStr">
        <is>
          <t>S08</t>
        </is>
      </c>
      <c r="E146" s="3" t="inlineStr">
        <is>
          <t>Bloqueia até aceite; sequência conservadora dentro do sprint</t>
        </is>
      </c>
    </row>
    <row r="147" ht="28" customHeight="1">
      <c r="A147" s="3" t="inlineStr">
        <is>
          <t>SL-S08-03</t>
        </is>
      </c>
      <c r="B147" s="3" t="inlineStr">
        <is>
          <t>SL-S08-04</t>
        </is>
      </c>
      <c r="C147" s="3" t="inlineStr">
        <is>
          <t>S08</t>
        </is>
      </c>
      <c r="D147" s="3" t="inlineStr">
        <is>
          <t>S08</t>
        </is>
      </c>
      <c r="E147" s="3" t="inlineStr">
        <is>
          <t>Bloqueia até aceite; sequência conservadora dentro do sprint</t>
        </is>
      </c>
    </row>
    <row r="148" ht="28" customHeight="1">
      <c r="A148" s="3" t="inlineStr">
        <is>
          <t>SL-S08-04</t>
        </is>
      </c>
      <c r="B148" s="3" t="inlineStr">
        <is>
          <t>SL-S08-05</t>
        </is>
      </c>
      <c r="C148" s="3" t="inlineStr">
        <is>
          <t>S08</t>
        </is>
      </c>
      <c r="D148" s="3" t="inlineStr">
        <is>
          <t>S08</t>
        </is>
      </c>
      <c r="E148" s="3" t="inlineStr">
        <is>
          <t>Bloqueia até aceite; sequência conservadora dentro do sprint</t>
        </is>
      </c>
    </row>
    <row r="149" ht="28" customHeight="1">
      <c r="A149" s="3" t="inlineStr">
        <is>
          <t>SL-S08-05</t>
        </is>
      </c>
      <c r="B149" s="3" t="inlineStr">
        <is>
          <t>SL-S08-06</t>
        </is>
      </c>
      <c r="C149" s="3" t="inlineStr">
        <is>
          <t>S08</t>
        </is>
      </c>
      <c r="D149" s="3" t="inlineStr">
        <is>
          <t>S08</t>
        </is>
      </c>
      <c r="E149" s="3" t="inlineStr">
        <is>
          <t>Bloqueia até aceite; sequência conservadora dentro do sprint</t>
        </is>
      </c>
    </row>
    <row r="150" ht="28" customHeight="1">
      <c r="A150" s="3" t="inlineStr">
        <is>
          <t>SL-S08-06</t>
        </is>
      </c>
      <c r="B150" s="3" t="inlineStr">
        <is>
          <t>SL-S08-07</t>
        </is>
      </c>
      <c r="C150" s="3" t="inlineStr">
        <is>
          <t>S08</t>
        </is>
      </c>
      <c r="D150" s="3" t="inlineStr">
        <is>
          <t>S08</t>
        </is>
      </c>
      <c r="E150" s="3" t="inlineStr">
        <is>
          <t>Bloqueia até aceite; sequência conservadora dentro do sprint</t>
        </is>
      </c>
    </row>
    <row r="151" ht="28" customHeight="1">
      <c r="A151" s="3" t="inlineStr">
        <is>
          <t>SL-S08-07</t>
        </is>
      </c>
      <c r="B151" s="3" t="inlineStr">
        <is>
          <t>SL-S08-08</t>
        </is>
      </c>
      <c r="C151" s="3" t="inlineStr">
        <is>
          <t>S08</t>
        </is>
      </c>
      <c r="D151" s="3" t="inlineStr">
        <is>
          <t>S08</t>
        </is>
      </c>
      <c r="E151" s="3" t="inlineStr">
        <is>
          <t>Bloqueia até aceite; sequência conservadora dentro do sprint</t>
        </is>
      </c>
    </row>
    <row r="152" ht="28" customHeight="1">
      <c r="A152" s="3" t="inlineStr">
        <is>
          <t>SL-S08-08</t>
        </is>
      </c>
      <c r="B152" s="3" t="inlineStr">
        <is>
          <t>SL-S08-09</t>
        </is>
      </c>
      <c r="C152" s="3" t="inlineStr">
        <is>
          <t>S08</t>
        </is>
      </c>
      <c r="D152" s="3" t="inlineStr">
        <is>
          <t>S08</t>
        </is>
      </c>
      <c r="E152" s="3" t="inlineStr">
        <is>
          <t>Bloqueia até aceite; sequência conservadora dentro do sprint</t>
        </is>
      </c>
    </row>
    <row r="153" ht="28" customHeight="1">
      <c r="A153" s="3" t="inlineStr">
        <is>
          <t>SL-S08-09</t>
        </is>
      </c>
      <c r="B153" s="3" t="inlineStr">
        <is>
          <t>SL-S08-10</t>
        </is>
      </c>
      <c r="C153" s="3" t="inlineStr">
        <is>
          <t>S08</t>
        </is>
      </c>
      <c r="D153" s="3" t="inlineStr">
        <is>
          <t>S08</t>
        </is>
      </c>
      <c r="E153" s="3" t="inlineStr">
        <is>
          <t>Bloqueia até aceite; sequência conservadora dentro do sprint</t>
        </is>
      </c>
    </row>
    <row r="154" ht="28" customHeight="1">
      <c r="A154" s="3" t="inlineStr">
        <is>
          <t>SL-S08-01</t>
        </is>
      </c>
      <c r="B154" s="3" t="inlineStr">
        <is>
          <t>SL-S08-GATE</t>
        </is>
      </c>
      <c r="C154" s="3" t="inlineStr">
        <is>
          <t>S08</t>
        </is>
      </c>
      <c r="D154" s="3" t="inlineStr">
        <is>
          <t>S08</t>
        </is>
      </c>
      <c r="E154" s="3" t="inlineStr">
        <is>
          <t>Bloqueia até aceite; sequência conservadora dentro do sprint</t>
        </is>
      </c>
    </row>
    <row r="155" ht="28" customHeight="1">
      <c r="A155" s="3" t="inlineStr">
        <is>
          <t>SL-S08-02</t>
        </is>
      </c>
      <c r="B155" s="3" t="inlineStr">
        <is>
          <t>SL-S08-GATE</t>
        </is>
      </c>
      <c r="C155" s="3" t="inlineStr">
        <is>
          <t>S08</t>
        </is>
      </c>
      <c r="D155" s="3" t="inlineStr">
        <is>
          <t>S08</t>
        </is>
      </c>
      <c r="E155" s="3" t="inlineStr">
        <is>
          <t>Bloqueia até aceite; sequência conservadora dentro do sprint</t>
        </is>
      </c>
    </row>
    <row r="156" ht="28" customHeight="1">
      <c r="A156" s="3" t="inlineStr">
        <is>
          <t>SL-S08-03</t>
        </is>
      </c>
      <c r="B156" s="3" t="inlineStr">
        <is>
          <t>SL-S08-GATE</t>
        </is>
      </c>
      <c r="C156" s="3" t="inlineStr">
        <is>
          <t>S08</t>
        </is>
      </c>
      <c r="D156" s="3" t="inlineStr">
        <is>
          <t>S08</t>
        </is>
      </c>
      <c r="E156" s="3" t="inlineStr">
        <is>
          <t>Bloqueia até aceite; sequência conservadora dentro do sprint</t>
        </is>
      </c>
    </row>
    <row r="157" ht="28" customHeight="1">
      <c r="A157" s="3" t="inlineStr">
        <is>
          <t>SL-S08-04</t>
        </is>
      </c>
      <c r="B157" s="3" t="inlineStr">
        <is>
          <t>SL-S08-GATE</t>
        </is>
      </c>
      <c r="C157" s="3" t="inlineStr">
        <is>
          <t>S08</t>
        </is>
      </c>
      <c r="D157" s="3" t="inlineStr">
        <is>
          <t>S08</t>
        </is>
      </c>
      <c r="E157" s="3" t="inlineStr">
        <is>
          <t>Bloqueia até aceite; sequência conservadora dentro do sprint</t>
        </is>
      </c>
    </row>
    <row r="158" ht="28" customHeight="1">
      <c r="A158" s="3" t="inlineStr">
        <is>
          <t>SL-S08-05</t>
        </is>
      </c>
      <c r="B158" s="3" t="inlineStr">
        <is>
          <t>SL-S08-GATE</t>
        </is>
      </c>
      <c r="C158" s="3" t="inlineStr">
        <is>
          <t>S08</t>
        </is>
      </c>
      <c r="D158" s="3" t="inlineStr">
        <is>
          <t>S08</t>
        </is>
      </c>
      <c r="E158" s="3" t="inlineStr">
        <is>
          <t>Bloqueia até aceite; sequência conservadora dentro do sprint</t>
        </is>
      </c>
    </row>
    <row r="159" ht="28" customHeight="1">
      <c r="A159" s="3" t="inlineStr">
        <is>
          <t>SL-S08-06</t>
        </is>
      </c>
      <c r="B159" s="3" t="inlineStr">
        <is>
          <t>SL-S08-GATE</t>
        </is>
      </c>
      <c r="C159" s="3" t="inlineStr">
        <is>
          <t>S08</t>
        </is>
      </c>
      <c r="D159" s="3" t="inlineStr">
        <is>
          <t>S08</t>
        </is>
      </c>
      <c r="E159" s="3" t="inlineStr">
        <is>
          <t>Bloqueia até aceite; sequência conservadora dentro do sprint</t>
        </is>
      </c>
    </row>
    <row r="160" ht="28" customHeight="1">
      <c r="A160" s="3" t="inlineStr">
        <is>
          <t>SL-S08-07</t>
        </is>
      </c>
      <c r="B160" s="3" t="inlineStr">
        <is>
          <t>SL-S08-GATE</t>
        </is>
      </c>
      <c r="C160" s="3" t="inlineStr">
        <is>
          <t>S08</t>
        </is>
      </c>
      <c r="D160" s="3" t="inlineStr">
        <is>
          <t>S08</t>
        </is>
      </c>
      <c r="E160" s="3" t="inlineStr">
        <is>
          <t>Bloqueia até aceite; sequência conservadora dentro do sprint</t>
        </is>
      </c>
    </row>
    <row r="161" ht="28" customHeight="1">
      <c r="A161" s="3" t="inlineStr">
        <is>
          <t>SL-S08-08</t>
        </is>
      </c>
      <c r="B161" s="3" t="inlineStr">
        <is>
          <t>SL-S08-GATE</t>
        </is>
      </c>
      <c r="C161" s="3" t="inlineStr">
        <is>
          <t>S08</t>
        </is>
      </c>
      <c r="D161" s="3" t="inlineStr">
        <is>
          <t>S08</t>
        </is>
      </c>
      <c r="E161" s="3" t="inlineStr">
        <is>
          <t>Bloqueia até aceite; sequência conservadora dentro do sprint</t>
        </is>
      </c>
    </row>
    <row r="162" ht="28" customHeight="1">
      <c r="A162" s="3" t="inlineStr">
        <is>
          <t>SL-S08-09</t>
        </is>
      </c>
      <c r="B162" s="3" t="inlineStr">
        <is>
          <t>SL-S08-GATE</t>
        </is>
      </c>
      <c r="C162" s="3" t="inlineStr">
        <is>
          <t>S08</t>
        </is>
      </c>
      <c r="D162" s="3" t="inlineStr">
        <is>
          <t>S08</t>
        </is>
      </c>
      <c r="E162" s="3" t="inlineStr">
        <is>
          <t>Bloqueia até aceite; sequência conservadora dentro do sprint</t>
        </is>
      </c>
    </row>
    <row r="163" ht="28" customHeight="1">
      <c r="A163" s="3" t="inlineStr">
        <is>
          <t>SL-S08-10</t>
        </is>
      </c>
      <c r="B163" s="3" t="inlineStr">
        <is>
          <t>SL-S08-GATE</t>
        </is>
      </c>
      <c r="C163" s="3" t="inlineStr">
        <is>
          <t>S08</t>
        </is>
      </c>
      <c r="D163" s="3" t="inlineStr">
        <is>
          <t>S08</t>
        </is>
      </c>
      <c r="E163" s="3" t="inlineStr">
        <is>
          <t>Bloqueia até aceite; sequência conservadora dentro do sprint</t>
        </is>
      </c>
    </row>
    <row r="164" ht="28" customHeight="1">
      <c r="A164" s="3" t="inlineStr">
        <is>
          <t>SL-S07-GATE</t>
        </is>
      </c>
      <c r="B164" s="3" t="inlineStr">
        <is>
          <t>SL-S09-01</t>
        </is>
      </c>
      <c r="C164" s="3" t="inlineStr">
        <is>
          <t>S07</t>
        </is>
      </c>
      <c r="D164" s="3" t="inlineStr">
        <is>
          <t>S09</t>
        </is>
      </c>
      <c r="E164" s="3" t="inlineStr">
        <is>
          <t>Bloqueia até aceite; sequência conservadora dentro do sprint</t>
        </is>
      </c>
    </row>
    <row r="165" ht="28" customHeight="1">
      <c r="A165" s="3" t="inlineStr">
        <is>
          <t>SL-S08-GATE</t>
        </is>
      </c>
      <c r="B165" s="3" t="inlineStr">
        <is>
          <t>SL-S09-01</t>
        </is>
      </c>
      <c r="C165" s="3" t="inlineStr">
        <is>
          <t>S08</t>
        </is>
      </c>
      <c r="D165" s="3" t="inlineStr">
        <is>
          <t>S09</t>
        </is>
      </c>
      <c r="E165" s="3" t="inlineStr">
        <is>
          <t>Bloqueia até aceite; sequência conservadora dentro do sprint</t>
        </is>
      </c>
    </row>
    <row r="166" ht="28" customHeight="1">
      <c r="A166" s="3" t="inlineStr">
        <is>
          <t>SL-S09-01</t>
        </is>
      </c>
      <c r="B166" s="3" t="inlineStr">
        <is>
          <t>SL-S09-02</t>
        </is>
      </c>
      <c r="C166" s="3" t="inlineStr">
        <is>
          <t>S09</t>
        </is>
      </c>
      <c r="D166" s="3" t="inlineStr">
        <is>
          <t>S09</t>
        </is>
      </c>
      <c r="E166" s="3" t="inlineStr">
        <is>
          <t>Bloqueia até aceite; sequência conservadora dentro do sprint</t>
        </is>
      </c>
    </row>
    <row r="167" ht="28" customHeight="1">
      <c r="A167" s="3" t="inlineStr">
        <is>
          <t>SL-S09-02</t>
        </is>
      </c>
      <c r="B167" s="3" t="inlineStr">
        <is>
          <t>SL-S09-03</t>
        </is>
      </c>
      <c r="C167" s="3" t="inlineStr">
        <is>
          <t>S09</t>
        </is>
      </c>
      <c r="D167" s="3" t="inlineStr">
        <is>
          <t>S09</t>
        </is>
      </c>
      <c r="E167" s="3" t="inlineStr">
        <is>
          <t>Bloqueia até aceite; sequência conservadora dentro do sprint</t>
        </is>
      </c>
    </row>
    <row r="168" ht="28" customHeight="1">
      <c r="A168" s="3" t="inlineStr">
        <is>
          <t>SL-S09-03</t>
        </is>
      </c>
      <c r="B168" s="3" t="inlineStr">
        <is>
          <t>SL-S09-04</t>
        </is>
      </c>
      <c r="C168" s="3" t="inlineStr">
        <is>
          <t>S09</t>
        </is>
      </c>
      <c r="D168" s="3" t="inlineStr">
        <is>
          <t>S09</t>
        </is>
      </c>
      <c r="E168" s="3" t="inlineStr">
        <is>
          <t>Bloqueia até aceite; sequência conservadora dentro do sprint</t>
        </is>
      </c>
    </row>
    <row r="169" ht="28" customHeight="1">
      <c r="A169" s="3" t="inlineStr">
        <is>
          <t>SL-S09-04</t>
        </is>
      </c>
      <c r="B169" s="3" t="inlineStr">
        <is>
          <t>SL-S09-05</t>
        </is>
      </c>
      <c r="C169" s="3" t="inlineStr">
        <is>
          <t>S09</t>
        </is>
      </c>
      <c r="D169" s="3" t="inlineStr">
        <is>
          <t>S09</t>
        </is>
      </c>
      <c r="E169" s="3" t="inlineStr">
        <is>
          <t>Bloqueia até aceite; sequência conservadora dentro do sprint</t>
        </is>
      </c>
    </row>
    <row r="170" ht="28" customHeight="1">
      <c r="A170" s="3" t="inlineStr">
        <is>
          <t>SL-S09-05</t>
        </is>
      </c>
      <c r="B170" s="3" t="inlineStr">
        <is>
          <t>SL-S09-06</t>
        </is>
      </c>
      <c r="C170" s="3" t="inlineStr">
        <is>
          <t>S09</t>
        </is>
      </c>
      <c r="D170" s="3" t="inlineStr">
        <is>
          <t>S09</t>
        </is>
      </c>
      <c r="E170" s="3" t="inlineStr">
        <is>
          <t>Bloqueia até aceite; sequência conservadora dentro do sprint</t>
        </is>
      </c>
    </row>
    <row r="171" ht="28" customHeight="1">
      <c r="A171" s="3" t="inlineStr">
        <is>
          <t>SL-S09-06</t>
        </is>
      </c>
      <c r="B171" s="3" t="inlineStr">
        <is>
          <t>SL-S09-07</t>
        </is>
      </c>
      <c r="C171" s="3" t="inlineStr">
        <is>
          <t>S09</t>
        </is>
      </c>
      <c r="D171" s="3" t="inlineStr">
        <is>
          <t>S09</t>
        </is>
      </c>
      <c r="E171" s="3" t="inlineStr">
        <is>
          <t>Bloqueia até aceite; sequência conservadora dentro do sprint</t>
        </is>
      </c>
    </row>
    <row r="172" ht="28" customHeight="1">
      <c r="A172" s="3" t="inlineStr">
        <is>
          <t>SL-S09-07</t>
        </is>
      </c>
      <c r="B172" s="3" t="inlineStr">
        <is>
          <t>SL-S09-08</t>
        </is>
      </c>
      <c r="C172" s="3" t="inlineStr">
        <is>
          <t>S09</t>
        </is>
      </c>
      <c r="D172" s="3" t="inlineStr">
        <is>
          <t>S09</t>
        </is>
      </c>
      <c r="E172" s="3" t="inlineStr">
        <is>
          <t>Bloqueia até aceite; sequência conservadora dentro do sprint</t>
        </is>
      </c>
    </row>
    <row r="173" ht="28" customHeight="1">
      <c r="A173" s="3" t="inlineStr">
        <is>
          <t>SL-S09-08</t>
        </is>
      </c>
      <c r="B173" s="3" t="inlineStr">
        <is>
          <t>SL-S09-09</t>
        </is>
      </c>
      <c r="C173" s="3" t="inlineStr">
        <is>
          <t>S09</t>
        </is>
      </c>
      <c r="D173" s="3" t="inlineStr">
        <is>
          <t>S09</t>
        </is>
      </c>
      <c r="E173" s="3" t="inlineStr">
        <is>
          <t>Bloqueia até aceite; sequência conservadora dentro do sprint</t>
        </is>
      </c>
    </row>
    <row r="174" ht="28" customHeight="1">
      <c r="A174" s="3" t="inlineStr">
        <is>
          <t>SL-S09-09</t>
        </is>
      </c>
      <c r="B174" s="3" t="inlineStr">
        <is>
          <t>SL-S09-10</t>
        </is>
      </c>
      <c r="C174" s="3" t="inlineStr">
        <is>
          <t>S09</t>
        </is>
      </c>
      <c r="D174" s="3" t="inlineStr">
        <is>
          <t>S09</t>
        </is>
      </c>
      <c r="E174" s="3" t="inlineStr">
        <is>
          <t>Bloqueia até aceite; sequência conservadora dentro do sprint</t>
        </is>
      </c>
    </row>
    <row r="175" ht="28" customHeight="1">
      <c r="A175" s="3" t="inlineStr">
        <is>
          <t>SL-S09-01</t>
        </is>
      </c>
      <c r="B175" s="3" t="inlineStr">
        <is>
          <t>SL-S09-GATE</t>
        </is>
      </c>
      <c r="C175" s="3" t="inlineStr">
        <is>
          <t>S09</t>
        </is>
      </c>
      <c r="D175" s="3" t="inlineStr">
        <is>
          <t>S09</t>
        </is>
      </c>
      <c r="E175" s="3" t="inlineStr">
        <is>
          <t>Bloqueia até aceite; sequência conservadora dentro do sprint</t>
        </is>
      </c>
    </row>
    <row r="176" ht="28" customHeight="1">
      <c r="A176" s="3" t="inlineStr">
        <is>
          <t>SL-S09-02</t>
        </is>
      </c>
      <c r="B176" s="3" t="inlineStr">
        <is>
          <t>SL-S09-GATE</t>
        </is>
      </c>
      <c r="C176" s="3" t="inlineStr">
        <is>
          <t>S09</t>
        </is>
      </c>
      <c r="D176" s="3" t="inlineStr">
        <is>
          <t>S09</t>
        </is>
      </c>
      <c r="E176" s="3" t="inlineStr">
        <is>
          <t>Bloqueia até aceite; sequência conservadora dentro do sprint</t>
        </is>
      </c>
    </row>
    <row r="177" ht="28" customHeight="1">
      <c r="A177" s="3" t="inlineStr">
        <is>
          <t>SL-S09-03</t>
        </is>
      </c>
      <c r="B177" s="3" t="inlineStr">
        <is>
          <t>SL-S09-GATE</t>
        </is>
      </c>
      <c r="C177" s="3" t="inlineStr">
        <is>
          <t>S09</t>
        </is>
      </c>
      <c r="D177" s="3" t="inlineStr">
        <is>
          <t>S09</t>
        </is>
      </c>
      <c r="E177" s="3" t="inlineStr">
        <is>
          <t>Bloqueia até aceite; sequência conservadora dentro do sprint</t>
        </is>
      </c>
    </row>
    <row r="178" ht="28" customHeight="1">
      <c r="A178" s="3" t="inlineStr">
        <is>
          <t>SL-S09-04</t>
        </is>
      </c>
      <c r="B178" s="3" t="inlineStr">
        <is>
          <t>SL-S09-GATE</t>
        </is>
      </c>
      <c r="C178" s="3" t="inlineStr">
        <is>
          <t>S09</t>
        </is>
      </c>
      <c r="D178" s="3" t="inlineStr">
        <is>
          <t>S09</t>
        </is>
      </c>
      <c r="E178" s="3" t="inlineStr">
        <is>
          <t>Bloqueia até aceite; sequência conservadora dentro do sprint</t>
        </is>
      </c>
    </row>
    <row r="179" ht="28" customHeight="1">
      <c r="A179" s="3" t="inlineStr">
        <is>
          <t>SL-S09-05</t>
        </is>
      </c>
      <c r="B179" s="3" t="inlineStr">
        <is>
          <t>SL-S09-GATE</t>
        </is>
      </c>
      <c r="C179" s="3" t="inlineStr">
        <is>
          <t>S09</t>
        </is>
      </c>
      <c r="D179" s="3" t="inlineStr">
        <is>
          <t>S09</t>
        </is>
      </c>
      <c r="E179" s="3" t="inlineStr">
        <is>
          <t>Bloqueia até aceite; sequência conservadora dentro do sprint</t>
        </is>
      </c>
    </row>
    <row r="180" ht="28" customHeight="1">
      <c r="A180" s="3" t="inlineStr">
        <is>
          <t>SL-S09-06</t>
        </is>
      </c>
      <c r="B180" s="3" t="inlineStr">
        <is>
          <t>SL-S09-GATE</t>
        </is>
      </c>
      <c r="C180" s="3" t="inlineStr">
        <is>
          <t>S09</t>
        </is>
      </c>
      <c r="D180" s="3" t="inlineStr">
        <is>
          <t>S09</t>
        </is>
      </c>
      <c r="E180" s="3" t="inlineStr">
        <is>
          <t>Bloqueia até aceite; sequência conservadora dentro do sprint</t>
        </is>
      </c>
    </row>
    <row r="181" ht="28" customHeight="1">
      <c r="A181" s="3" t="inlineStr">
        <is>
          <t>SL-S09-07</t>
        </is>
      </c>
      <c r="B181" s="3" t="inlineStr">
        <is>
          <t>SL-S09-GATE</t>
        </is>
      </c>
      <c r="C181" s="3" t="inlineStr">
        <is>
          <t>S09</t>
        </is>
      </c>
      <c r="D181" s="3" t="inlineStr">
        <is>
          <t>S09</t>
        </is>
      </c>
      <c r="E181" s="3" t="inlineStr">
        <is>
          <t>Bloqueia até aceite; sequência conservadora dentro do sprint</t>
        </is>
      </c>
    </row>
    <row r="182" ht="28" customHeight="1">
      <c r="A182" s="3" t="inlineStr">
        <is>
          <t>SL-S09-08</t>
        </is>
      </c>
      <c r="B182" s="3" t="inlineStr">
        <is>
          <t>SL-S09-GATE</t>
        </is>
      </c>
      <c r="C182" s="3" t="inlineStr">
        <is>
          <t>S09</t>
        </is>
      </c>
      <c r="D182" s="3" t="inlineStr">
        <is>
          <t>S09</t>
        </is>
      </c>
      <c r="E182" s="3" t="inlineStr">
        <is>
          <t>Bloqueia até aceite; sequência conservadora dentro do sprint</t>
        </is>
      </c>
    </row>
    <row r="183" ht="28" customHeight="1">
      <c r="A183" s="3" t="inlineStr">
        <is>
          <t>SL-S09-09</t>
        </is>
      </c>
      <c r="B183" s="3" t="inlineStr">
        <is>
          <t>SL-S09-GATE</t>
        </is>
      </c>
      <c r="C183" s="3" t="inlineStr">
        <is>
          <t>S09</t>
        </is>
      </c>
      <c r="D183" s="3" t="inlineStr">
        <is>
          <t>S09</t>
        </is>
      </c>
      <c r="E183" s="3" t="inlineStr">
        <is>
          <t>Bloqueia até aceite; sequência conservadora dentro do sprint</t>
        </is>
      </c>
    </row>
    <row r="184" ht="28" customHeight="1">
      <c r="A184" s="3" t="inlineStr">
        <is>
          <t>SL-S09-10</t>
        </is>
      </c>
      <c r="B184" s="3" t="inlineStr">
        <is>
          <t>SL-S09-GATE</t>
        </is>
      </c>
      <c r="C184" s="3" t="inlineStr">
        <is>
          <t>S09</t>
        </is>
      </c>
      <c r="D184" s="3" t="inlineStr">
        <is>
          <t>S09</t>
        </is>
      </c>
      <c r="E184" s="3" t="inlineStr">
        <is>
          <t>Bloqueia até aceite; sequência conservadora dentro do sprint</t>
        </is>
      </c>
    </row>
    <row r="185" ht="28" customHeight="1">
      <c r="A185" s="3" t="inlineStr">
        <is>
          <t>SL-S08-GATE</t>
        </is>
      </c>
      <c r="B185" s="3" t="inlineStr">
        <is>
          <t>SL-S10-01</t>
        </is>
      </c>
      <c r="C185" s="3" t="inlineStr">
        <is>
          <t>S08</t>
        </is>
      </c>
      <c r="D185" s="3" t="inlineStr">
        <is>
          <t>S10</t>
        </is>
      </c>
      <c r="E185" s="3" t="inlineStr">
        <is>
          <t>Bloqueia até aceite; sequência conservadora dentro do sprint</t>
        </is>
      </c>
    </row>
    <row r="186" ht="28" customHeight="1">
      <c r="A186" s="3" t="inlineStr">
        <is>
          <t>SL-S09-GATE</t>
        </is>
      </c>
      <c r="B186" s="3" t="inlineStr">
        <is>
          <t>SL-S10-01</t>
        </is>
      </c>
      <c r="C186" s="3" t="inlineStr">
        <is>
          <t>S09</t>
        </is>
      </c>
      <c r="D186" s="3" t="inlineStr">
        <is>
          <t>S10</t>
        </is>
      </c>
      <c r="E186" s="3" t="inlineStr">
        <is>
          <t>Bloqueia até aceite; sequência conservadora dentro do sprint</t>
        </is>
      </c>
    </row>
    <row r="187" ht="28" customHeight="1">
      <c r="A187" s="3" t="inlineStr">
        <is>
          <t>SL-S10-01</t>
        </is>
      </c>
      <c r="B187" s="3" t="inlineStr">
        <is>
          <t>SL-S10-02</t>
        </is>
      </c>
      <c r="C187" s="3" t="inlineStr">
        <is>
          <t>S10</t>
        </is>
      </c>
      <c r="D187" s="3" t="inlineStr">
        <is>
          <t>S10</t>
        </is>
      </c>
      <c r="E187" s="3" t="inlineStr">
        <is>
          <t>Bloqueia até aceite; sequência conservadora dentro do sprint</t>
        </is>
      </c>
    </row>
    <row r="188" ht="28" customHeight="1">
      <c r="A188" s="3" t="inlineStr">
        <is>
          <t>SL-S10-02</t>
        </is>
      </c>
      <c r="B188" s="3" t="inlineStr">
        <is>
          <t>SL-S10-03</t>
        </is>
      </c>
      <c r="C188" s="3" t="inlineStr">
        <is>
          <t>S10</t>
        </is>
      </c>
      <c r="D188" s="3" t="inlineStr">
        <is>
          <t>S10</t>
        </is>
      </c>
      <c r="E188" s="3" t="inlineStr">
        <is>
          <t>Bloqueia até aceite; sequência conservadora dentro do sprint</t>
        </is>
      </c>
    </row>
    <row r="189" ht="28" customHeight="1">
      <c r="A189" s="3" t="inlineStr">
        <is>
          <t>SL-S10-03</t>
        </is>
      </c>
      <c r="B189" s="3" t="inlineStr">
        <is>
          <t>SL-S10-04</t>
        </is>
      </c>
      <c r="C189" s="3" t="inlineStr">
        <is>
          <t>S10</t>
        </is>
      </c>
      <c r="D189" s="3" t="inlineStr">
        <is>
          <t>S10</t>
        </is>
      </c>
      <c r="E189" s="3" t="inlineStr">
        <is>
          <t>Bloqueia até aceite; sequência conservadora dentro do sprint</t>
        </is>
      </c>
    </row>
    <row r="190" ht="28" customHeight="1">
      <c r="A190" s="3" t="inlineStr">
        <is>
          <t>SL-S10-04</t>
        </is>
      </c>
      <c r="B190" s="3" t="inlineStr">
        <is>
          <t>SL-S10-05</t>
        </is>
      </c>
      <c r="C190" s="3" t="inlineStr">
        <is>
          <t>S10</t>
        </is>
      </c>
      <c r="D190" s="3" t="inlineStr">
        <is>
          <t>S10</t>
        </is>
      </c>
      <c r="E190" s="3" t="inlineStr">
        <is>
          <t>Bloqueia até aceite; sequência conservadora dentro do sprint</t>
        </is>
      </c>
    </row>
    <row r="191" ht="28" customHeight="1">
      <c r="A191" s="3" t="inlineStr">
        <is>
          <t>SL-S10-05</t>
        </is>
      </c>
      <c r="B191" s="3" t="inlineStr">
        <is>
          <t>SL-S10-06</t>
        </is>
      </c>
      <c r="C191" s="3" t="inlineStr">
        <is>
          <t>S10</t>
        </is>
      </c>
      <c r="D191" s="3" t="inlineStr">
        <is>
          <t>S10</t>
        </is>
      </c>
      <c r="E191" s="3" t="inlineStr">
        <is>
          <t>Bloqueia até aceite; sequência conservadora dentro do sprint</t>
        </is>
      </c>
    </row>
    <row r="192" ht="28" customHeight="1">
      <c r="A192" s="3" t="inlineStr">
        <is>
          <t>SL-S10-06</t>
        </is>
      </c>
      <c r="B192" s="3" t="inlineStr">
        <is>
          <t>SL-S10-07</t>
        </is>
      </c>
      <c r="C192" s="3" t="inlineStr">
        <is>
          <t>S10</t>
        </is>
      </c>
      <c r="D192" s="3" t="inlineStr">
        <is>
          <t>S10</t>
        </is>
      </c>
      <c r="E192" s="3" t="inlineStr">
        <is>
          <t>Bloqueia até aceite; sequência conservadora dentro do sprint</t>
        </is>
      </c>
    </row>
    <row r="193" ht="28" customHeight="1">
      <c r="A193" s="3" t="inlineStr">
        <is>
          <t>SL-S10-07</t>
        </is>
      </c>
      <c r="B193" s="3" t="inlineStr">
        <is>
          <t>SL-S10-08</t>
        </is>
      </c>
      <c r="C193" s="3" t="inlineStr">
        <is>
          <t>S10</t>
        </is>
      </c>
      <c r="D193" s="3" t="inlineStr">
        <is>
          <t>S10</t>
        </is>
      </c>
      <c r="E193" s="3" t="inlineStr">
        <is>
          <t>Bloqueia até aceite; sequência conservadora dentro do sprint</t>
        </is>
      </c>
    </row>
    <row r="194" ht="28" customHeight="1">
      <c r="A194" s="3" t="inlineStr">
        <is>
          <t>SL-S10-08</t>
        </is>
      </c>
      <c r="B194" s="3" t="inlineStr">
        <is>
          <t>SL-S10-09</t>
        </is>
      </c>
      <c r="C194" s="3" t="inlineStr">
        <is>
          <t>S10</t>
        </is>
      </c>
      <c r="D194" s="3" t="inlineStr">
        <is>
          <t>S10</t>
        </is>
      </c>
      <c r="E194" s="3" t="inlineStr">
        <is>
          <t>Bloqueia até aceite; sequência conservadora dentro do sprint</t>
        </is>
      </c>
    </row>
    <row r="195" ht="28" customHeight="1">
      <c r="A195" s="3" t="inlineStr">
        <is>
          <t>SL-S10-09</t>
        </is>
      </c>
      <c r="B195" s="3" t="inlineStr">
        <is>
          <t>SL-S10-10</t>
        </is>
      </c>
      <c r="C195" s="3" t="inlineStr">
        <is>
          <t>S10</t>
        </is>
      </c>
      <c r="D195" s="3" t="inlineStr">
        <is>
          <t>S10</t>
        </is>
      </c>
      <c r="E195" s="3" t="inlineStr">
        <is>
          <t>Bloqueia até aceite; sequência conservadora dentro do sprint</t>
        </is>
      </c>
    </row>
    <row r="196" ht="28" customHeight="1">
      <c r="A196" s="3" t="inlineStr">
        <is>
          <t>SL-S10-01</t>
        </is>
      </c>
      <c r="B196" s="3" t="inlineStr">
        <is>
          <t>SL-S10-GATE</t>
        </is>
      </c>
      <c r="C196" s="3" t="inlineStr">
        <is>
          <t>S10</t>
        </is>
      </c>
      <c r="D196" s="3" t="inlineStr">
        <is>
          <t>S10</t>
        </is>
      </c>
      <c r="E196" s="3" t="inlineStr">
        <is>
          <t>Bloqueia até aceite; sequência conservadora dentro do sprint</t>
        </is>
      </c>
    </row>
    <row r="197" ht="28" customHeight="1">
      <c r="A197" s="3" t="inlineStr">
        <is>
          <t>SL-S10-02</t>
        </is>
      </c>
      <c r="B197" s="3" t="inlineStr">
        <is>
          <t>SL-S10-GATE</t>
        </is>
      </c>
      <c r="C197" s="3" t="inlineStr">
        <is>
          <t>S10</t>
        </is>
      </c>
      <c r="D197" s="3" t="inlineStr">
        <is>
          <t>S10</t>
        </is>
      </c>
      <c r="E197" s="3" t="inlineStr">
        <is>
          <t>Bloqueia até aceite; sequência conservadora dentro do sprint</t>
        </is>
      </c>
    </row>
    <row r="198" ht="28" customHeight="1">
      <c r="A198" s="3" t="inlineStr">
        <is>
          <t>SL-S10-03</t>
        </is>
      </c>
      <c r="B198" s="3" t="inlineStr">
        <is>
          <t>SL-S10-GATE</t>
        </is>
      </c>
      <c r="C198" s="3" t="inlineStr">
        <is>
          <t>S10</t>
        </is>
      </c>
      <c r="D198" s="3" t="inlineStr">
        <is>
          <t>S10</t>
        </is>
      </c>
      <c r="E198" s="3" t="inlineStr">
        <is>
          <t>Bloqueia até aceite; sequência conservadora dentro do sprint</t>
        </is>
      </c>
    </row>
    <row r="199" ht="28" customHeight="1">
      <c r="A199" s="3" t="inlineStr">
        <is>
          <t>SL-S10-04</t>
        </is>
      </c>
      <c r="B199" s="3" t="inlineStr">
        <is>
          <t>SL-S10-GATE</t>
        </is>
      </c>
      <c r="C199" s="3" t="inlineStr">
        <is>
          <t>S10</t>
        </is>
      </c>
      <c r="D199" s="3" t="inlineStr">
        <is>
          <t>S10</t>
        </is>
      </c>
      <c r="E199" s="3" t="inlineStr">
        <is>
          <t>Bloqueia até aceite; sequência conservadora dentro do sprint</t>
        </is>
      </c>
    </row>
    <row r="200" ht="28" customHeight="1">
      <c r="A200" s="3" t="inlineStr">
        <is>
          <t>SL-S10-05</t>
        </is>
      </c>
      <c r="B200" s="3" t="inlineStr">
        <is>
          <t>SL-S10-GATE</t>
        </is>
      </c>
      <c r="C200" s="3" t="inlineStr">
        <is>
          <t>S10</t>
        </is>
      </c>
      <c r="D200" s="3" t="inlineStr">
        <is>
          <t>S10</t>
        </is>
      </c>
      <c r="E200" s="3" t="inlineStr">
        <is>
          <t>Bloqueia até aceite; sequência conservadora dentro do sprint</t>
        </is>
      </c>
    </row>
    <row r="201" ht="28" customHeight="1">
      <c r="A201" s="3" t="inlineStr">
        <is>
          <t>SL-S10-06</t>
        </is>
      </c>
      <c r="B201" s="3" t="inlineStr">
        <is>
          <t>SL-S10-GATE</t>
        </is>
      </c>
      <c r="C201" s="3" t="inlineStr">
        <is>
          <t>S10</t>
        </is>
      </c>
      <c r="D201" s="3" t="inlineStr">
        <is>
          <t>S10</t>
        </is>
      </c>
      <c r="E201" s="3" t="inlineStr">
        <is>
          <t>Bloqueia até aceite; sequência conservadora dentro do sprint</t>
        </is>
      </c>
    </row>
    <row r="202" ht="28" customHeight="1">
      <c r="A202" s="3" t="inlineStr">
        <is>
          <t>SL-S10-07</t>
        </is>
      </c>
      <c r="B202" s="3" t="inlineStr">
        <is>
          <t>SL-S10-GATE</t>
        </is>
      </c>
      <c r="C202" s="3" t="inlineStr">
        <is>
          <t>S10</t>
        </is>
      </c>
      <c r="D202" s="3" t="inlineStr">
        <is>
          <t>S10</t>
        </is>
      </c>
      <c r="E202" s="3" t="inlineStr">
        <is>
          <t>Bloqueia até aceite; sequência conservadora dentro do sprint</t>
        </is>
      </c>
    </row>
    <row r="203" ht="28" customHeight="1">
      <c r="A203" s="3" t="inlineStr">
        <is>
          <t>SL-S10-08</t>
        </is>
      </c>
      <c r="B203" s="3" t="inlineStr">
        <is>
          <t>SL-S10-GATE</t>
        </is>
      </c>
      <c r="C203" s="3" t="inlineStr">
        <is>
          <t>S10</t>
        </is>
      </c>
      <c r="D203" s="3" t="inlineStr">
        <is>
          <t>S10</t>
        </is>
      </c>
      <c r="E203" s="3" t="inlineStr">
        <is>
          <t>Bloqueia até aceite; sequência conservadora dentro do sprint</t>
        </is>
      </c>
    </row>
    <row r="204" ht="28" customHeight="1">
      <c r="A204" s="3" t="inlineStr">
        <is>
          <t>SL-S10-09</t>
        </is>
      </c>
      <c r="B204" s="3" t="inlineStr">
        <is>
          <t>SL-S10-GATE</t>
        </is>
      </c>
      <c r="C204" s="3" t="inlineStr">
        <is>
          <t>S10</t>
        </is>
      </c>
      <c r="D204" s="3" t="inlineStr">
        <is>
          <t>S10</t>
        </is>
      </c>
      <c r="E204" s="3" t="inlineStr">
        <is>
          <t>Bloqueia até aceite; sequência conservadora dentro do sprint</t>
        </is>
      </c>
    </row>
    <row r="205" ht="28" customHeight="1">
      <c r="A205" s="3" t="inlineStr">
        <is>
          <t>SL-S10-10</t>
        </is>
      </c>
      <c r="B205" s="3" t="inlineStr">
        <is>
          <t>SL-S10-GATE</t>
        </is>
      </c>
      <c r="C205" s="3" t="inlineStr">
        <is>
          <t>S10</t>
        </is>
      </c>
      <c r="D205" s="3" t="inlineStr">
        <is>
          <t>S10</t>
        </is>
      </c>
      <c r="E205" s="3" t="inlineStr">
        <is>
          <t>Bloqueia até aceite; sequência conservadora dentro do sprint</t>
        </is>
      </c>
    </row>
    <row r="206" ht="28" customHeight="1">
      <c r="A206" s="3" t="inlineStr">
        <is>
          <t>SL-S07-GATE</t>
        </is>
      </c>
      <c r="B206" s="3" t="inlineStr">
        <is>
          <t>SL-S11-01</t>
        </is>
      </c>
      <c r="C206" s="3" t="inlineStr">
        <is>
          <t>S07</t>
        </is>
      </c>
      <c r="D206" s="3" t="inlineStr">
        <is>
          <t>S11</t>
        </is>
      </c>
      <c r="E206" s="3" t="inlineStr">
        <is>
          <t>Bloqueia até aceite; sequência conservadora dentro do sprint</t>
        </is>
      </c>
    </row>
    <row r="207" ht="28" customHeight="1">
      <c r="A207" s="3" t="inlineStr">
        <is>
          <t>SL-S08-GATE</t>
        </is>
      </c>
      <c r="B207" s="3" t="inlineStr">
        <is>
          <t>SL-S11-01</t>
        </is>
      </c>
      <c r="C207" s="3" t="inlineStr">
        <is>
          <t>S08</t>
        </is>
      </c>
      <c r="D207" s="3" t="inlineStr">
        <is>
          <t>S11</t>
        </is>
      </c>
      <c r="E207" s="3" t="inlineStr">
        <is>
          <t>Bloqueia até aceite; sequência conservadora dentro do sprint</t>
        </is>
      </c>
    </row>
    <row r="208" ht="28" customHeight="1">
      <c r="A208" s="3" t="inlineStr">
        <is>
          <t>SL-S09-GATE</t>
        </is>
      </c>
      <c r="B208" s="3" t="inlineStr">
        <is>
          <t>SL-S11-01</t>
        </is>
      </c>
      <c r="C208" s="3" t="inlineStr">
        <is>
          <t>S09</t>
        </is>
      </c>
      <c r="D208" s="3" t="inlineStr">
        <is>
          <t>S11</t>
        </is>
      </c>
      <c r="E208" s="3" t="inlineStr">
        <is>
          <t>Bloqueia até aceite; sequência conservadora dentro do sprint</t>
        </is>
      </c>
    </row>
    <row r="209" ht="28" customHeight="1">
      <c r="A209" s="3" t="inlineStr">
        <is>
          <t>SL-S10-GATE</t>
        </is>
      </c>
      <c r="B209" s="3" t="inlineStr">
        <is>
          <t>SL-S11-01</t>
        </is>
      </c>
      <c r="C209" s="3" t="inlineStr">
        <is>
          <t>S10</t>
        </is>
      </c>
      <c r="D209" s="3" t="inlineStr">
        <is>
          <t>S11</t>
        </is>
      </c>
      <c r="E209" s="3" t="inlineStr">
        <is>
          <t>Bloqueia até aceite; sequência conservadora dentro do sprint</t>
        </is>
      </c>
    </row>
    <row r="210" ht="28" customHeight="1">
      <c r="A210" s="3" t="inlineStr">
        <is>
          <t>SL-S11-01</t>
        </is>
      </c>
      <c r="B210" s="3" t="inlineStr">
        <is>
          <t>SL-S11-02</t>
        </is>
      </c>
      <c r="C210" s="3" t="inlineStr">
        <is>
          <t>S11</t>
        </is>
      </c>
      <c r="D210" s="3" t="inlineStr">
        <is>
          <t>S11</t>
        </is>
      </c>
      <c r="E210" s="3" t="inlineStr">
        <is>
          <t>Bloqueia até aceite; sequência conservadora dentro do sprint</t>
        </is>
      </c>
    </row>
    <row r="211" ht="28" customHeight="1">
      <c r="A211" s="3" t="inlineStr">
        <is>
          <t>SL-S11-02</t>
        </is>
      </c>
      <c r="B211" s="3" t="inlineStr">
        <is>
          <t>SL-S11-03</t>
        </is>
      </c>
      <c r="C211" s="3" t="inlineStr">
        <is>
          <t>S11</t>
        </is>
      </c>
      <c r="D211" s="3" t="inlineStr">
        <is>
          <t>S11</t>
        </is>
      </c>
      <c r="E211" s="3" t="inlineStr">
        <is>
          <t>Bloqueia até aceite; sequência conservadora dentro do sprint</t>
        </is>
      </c>
    </row>
    <row r="212" ht="28" customHeight="1">
      <c r="A212" s="3" t="inlineStr">
        <is>
          <t>SL-S11-03</t>
        </is>
      </c>
      <c r="B212" s="3" t="inlineStr">
        <is>
          <t>SL-S11-04</t>
        </is>
      </c>
      <c r="C212" s="3" t="inlineStr">
        <is>
          <t>S11</t>
        </is>
      </c>
      <c r="D212" s="3" t="inlineStr">
        <is>
          <t>S11</t>
        </is>
      </c>
      <c r="E212" s="3" t="inlineStr">
        <is>
          <t>Bloqueia até aceite; sequência conservadora dentro do sprint</t>
        </is>
      </c>
    </row>
    <row r="213" ht="28" customHeight="1">
      <c r="A213" s="3" t="inlineStr">
        <is>
          <t>SL-S11-04</t>
        </is>
      </c>
      <c r="B213" s="3" t="inlineStr">
        <is>
          <t>SL-S11-05</t>
        </is>
      </c>
      <c r="C213" s="3" t="inlineStr">
        <is>
          <t>S11</t>
        </is>
      </c>
      <c r="D213" s="3" t="inlineStr">
        <is>
          <t>S11</t>
        </is>
      </c>
      <c r="E213" s="3" t="inlineStr">
        <is>
          <t>Bloqueia até aceite; sequência conservadora dentro do sprint</t>
        </is>
      </c>
    </row>
    <row r="214" ht="28" customHeight="1">
      <c r="A214" s="3" t="inlineStr">
        <is>
          <t>SL-S11-05</t>
        </is>
      </c>
      <c r="B214" s="3" t="inlineStr">
        <is>
          <t>SL-S11-06</t>
        </is>
      </c>
      <c r="C214" s="3" t="inlineStr">
        <is>
          <t>S11</t>
        </is>
      </c>
      <c r="D214" s="3" t="inlineStr">
        <is>
          <t>S11</t>
        </is>
      </c>
      <c r="E214" s="3" t="inlineStr">
        <is>
          <t>Bloqueia até aceite; sequência conservadora dentro do sprint</t>
        </is>
      </c>
    </row>
    <row r="215" ht="28" customHeight="1">
      <c r="A215" s="3" t="inlineStr">
        <is>
          <t>SL-S11-06</t>
        </is>
      </c>
      <c r="B215" s="3" t="inlineStr">
        <is>
          <t>SL-S11-07</t>
        </is>
      </c>
      <c r="C215" s="3" t="inlineStr">
        <is>
          <t>S11</t>
        </is>
      </c>
      <c r="D215" s="3" t="inlineStr">
        <is>
          <t>S11</t>
        </is>
      </c>
      <c r="E215" s="3" t="inlineStr">
        <is>
          <t>Bloqueia até aceite; sequência conservadora dentro do sprint</t>
        </is>
      </c>
    </row>
    <row r="216" ht="28" customHeight="1">
      <c r="A216" s="3" t="inlineStr">
        <is>
          <t>SL-S11-07</t>
        </is>
      </c>
      <c r="B216" s="3" t="inlineStr">
        <is>
          <t>SL-S11-08</t>
        </is>
      </c>
      <c r="C216" s="3" t="inlineStr">
        <is>
          <t>S11</t>
        </is>
      </c>
      <c r="D216" s="3" t="inlineStr">
        <is>
          <t>S11</t>
        </is>
      </c>
      <c r="E216" s="3" t="inlineStr">
        <is>
          <t>Bloqueia até aceite; sequência conservadora dentro do sprint</t>
        </is>
      </c>
    </row>
    <row r="217" ht="28" customHeight="1">
      <c r="A217" s="3" t="inlineStr">
        <is>
          <t>SL-S11-08</t>
        </is>
      </c>
      <c r="B217" s="3" t="inlineStr">
        <is>
          <t>SL-S11-09</t>
        </is>
      </c>
      <c r="C217" s="3" t="inlineStr">
        <is>
          <t>S11</t>
        </is>
      </c>
      <c r="D217" s="3" t="inlineStr">
        <is>
          <t>S11</t>
        </is>
      </c>
      <c r="E217" s="3" t="inlineStr">
        <is>
          <t>Bloqueia até aceite; sequência conservadora dentro do sprint</t>
        </is>
      </c>
    </row>
    <row r="218" ht="28" customHeight="1">
      <c r="A218" s="3" t="inlineStr">
        <is>
          <t>SL-S11-09</t>
        </is>
      </c>
      <c r="B218" s="3" t="inlineStr">
        <is>
          <t>SL-S11-10</t>
        </is>
      </c>
      <c r="C218" s="3" t="inlineStr">
        <is>
          <t>S11</t>
        </is>
      </c>
      <c r="D218" s="3" t="inlineStr">
        <is>
          <t>S11</t>
        </is>
      </c>
      <c r="E218" s="3" t="inlineStr">
        <is>
          <t>Bloqueia até aceite; sequência conservadora dentro do sprint</t>
        </is>
      </c>
    </row>
    <row r="219" ht="28" customHeight="1">
      <c r="A219" s="3" t="inlineStr">
        <is>
          <t>SL-S11-01</t>
        </is>
      </c>
      <c r="B219" s="3" t="inlineStr">
        <is>
          <t>SL-S11-GATE</t>
        </is>
      </c>
      <c r="C219" s="3" t="inlineStr">
        <is>
          <t>S11</t>
        </is>
      </c>
      <c r="D219" s="3" t="inlineStr">
        <is>
          <t>S11</t>
        </is>
      </c>
      <c r="E219" s="3" t="inlineStr">
        <is>
          <t>Bloqueia até aceite; sequência conservadora dentro do sprint</t>
        </is>
      </c>
    </row>
    <row r="220" ht="28" customHeight="1">
      <c r="A220" s="3" t="inlineStr">
        <is>
          <t>SL-S11-02</t>
        </is>
      </c>
      <c r="B220" s="3" t="inlineStr">
        <is>
          <t>SL-S11-GATE</t>
        </is>
      </c>
      <c r="C220" s="3" t="inlineStr">
        <is>
          <t>S11</t>
        </is>
      </c>
      <c r="D220" s="3" t="inlineStr">
        <is>
          <t>S11</t>
        </is>
      </c>
      <c r="E220" s="3" t="inlineStr">
        <is>
          <t>Bloqueia até aceite; sequência conservadora dentro do sprint</t>
        </is>
      </c>
    </row>
    <row r="221" ht="28" customHeight="1">
      <c r="A221" s="3" t="inlineStr">
        <is>
          <t>SL-S11-03</t>
        </is>
      </c>
      <c r="B221" s="3" t="inlineStr">
        <is>
          <t>SL-S11-GATE</t>
        </is>
      </c>
      <c r="C221" s="3" t="inlineStr">
        <is>
          <t>S11</t>
        </is>
      </c>
      <c r="D221" s="3" t="inlineStr">
        <is>
          <t>S11</t>
        </is>
      </c>
      <c r="E221" s="3" t="inlineStr">
        <is>
          <t>Bloqueia até aceite; sequência conservadora dentro do sprint</t>
        </is>
      </c>
    </row>
    <row r="222" ht="28" customHeight="1">
      <c r="A222" s="3" t="inlineStr">
        <is>
          <t>SL-S11-04</t>
        </is>
      </c>
      <c r="B222" s="3" t="inlineStr">
        <is>
          <t>SL-S11-GATE</t>
        </is>
      </c>
      <c r="C222" s="3" t="inlineStr">
        <is>
          <t>S11</t>
        </is>
      </c>
      <c r="D222" s="3" t="inlineStr">
        <is>
          <t>S11</t>
        </is>
      </c>
      <c r="E222" s="3" t="inlineStr">
        <is>
          <t>Bloqueia até aceite; sequência conservadora dentro do sprint</t>
        </is>
      </c>
    </row>
    <row r="223" ht="28" customHeight="1">
      <c r="A223" s="3" t="inlineStr">
        <is>
          <t>SL-S11-05</t>
        </is>
      </c>
      <c r="B223" s="3" t="inlineStr">
        <is>
          <t>SL-S11-GATE</t>
        </is>
      </c>
      <c r="C223" s="3" t="inlineStr">
        <is>
          <t>S11</t>
        </is>
      </c>
      <c r="D223" s="3" t="inlineStr">
        <is>
          <t>S11</t>
        </is>
      </c>
      <c r="E223" s="3" t="inlineStr">
        <is>
          <t>Bloqueia até aceite; sequência conservadora dentro do sprint</t>
        </is>
      </c>
    </row>
    <row r="224" ht="28" customHeight="1">
      <c r="A224" s="3" t="inlineStr">
        <is>
          <t>SL-S11-06</t>
        </is>
      </c>
      <c r="B224" s="3" t="inlineStr">
        <is>
          <t>SL-S11-GATE</t>
        </is>
      </c>
      <c r="C224" s="3" t="inlineStr">
        <is>
          <t>S11</t>
        </is>
      </c>
      <c r="D224" s="3" t="inlineStr">
        <is>
          <t>S11</t>
        </is>
      </c>
      <c r="E224" s="3" t="inlineStr">
        <is>
          <t>Bloqueia até aceite; sequência conservadora dentro do sprint</t>
        </is>
      </c>
    </row>
    <row r="225" ht="28" customHeight="1">
      <c r="A225" s="3" t="inlineStr">
        <is>
          <t>SL-S11-07</t>
        </is>
      </c>
      <c r="B225" s="3" t="inlineStr">
        <is>
          <t>SL-S11-GATE</t>
        </is>
      </c>
      <c r="C225" s="3" t="inlineStr">
        <is>
          <t>S11</t>
        </is>
      </c>
      <c r="D225" s="3" t="inlineStr">
        <is>
          <t>S11</t>
        </is>
      </c>
      <c r="E225" s="3" t="inlineStr">
        <is>
          <t>Bloqueia até aceite; sequência conservadora dentro do sprint</t>
        </is>
      </c>
    </row>
    <row r="226" ht="28" customHeight="1">
      <c r="A226" s="3" t="inlineStr">
        <is>
          <t>SL-S11-08</t>
        </is>
      </c>
      <c r="B226" s="3" t="inlineStr">
        <is>
          <t>SL-S11-GATE</t>
        </is>
      </c>
      <c r="C226" s="3" t="inlineStr">
        <is>
          <t>S11</t>
        </is>
      </c>
      <c r="D226" s="3" t="inlineStr">
        <is>
          <t>S11</t>
        </is>
      </c>
      <c r="E226" s="3" t="inlineStr">
        <is>
          <t>Bloqueia até aceite; sequência conservadora dentro do sprint</t>
        </is>
      </c>
    </row>
    <row r="227" ht="28" customHeight="1">
      <c r="A227" s="3" t="inlineStr">
        <is>
          <t>SL-S11-09</t>
        </is>
      </c>
      <c r="B227" s="3" t="inlineStr">
        <is>
          <t>SL-S11-GATE</t>
        </is>
      </c>
      <c r="C227" s="3" t="inlineStr">
        <is>
          <t>S11</t>
        </is>
      </c>
      <c r="D227" s="3" t="inlineStr">
        <is>
          <t>S11</t>
        </is>
      </c>
      <c r="E227" s="3" t="inlineStr">
        <is>
          <t>Bloqueia até aceite; sequência conservadora dentro do sprint</t>
        </is>
      </c>
    </row>
    <row r="228" ht="28" customHeight="1">
      <c r="A228" s="3" t="inlineStr">
        <is>
          <t>SL-S11-10</t>
        </is>
      </c>
      <c r="B228" s="3" t="inlineStr">
        <is>
          <t>SL-S11-GATE</t>
        </is>
      </c>
      <c r="C228" s="3" t="inlineStr">
        <is>
          <t>S11</t>
        </is>
      </c>
      <c r="D228" s="3" t="inlineStr">
        <is>
          <t>S11</t>
        </is>
      </c>
      <c r="E228" s="3" t="inlineStr">
        <is>
          <t>Bloqueia até aceite; sequência conservadora dentro do sprint</t>
        </is>
      </c>
    </row>
    <row r="229" ht="28" customHeight="1">
      <c r="A229" s="3" t="inlineStr">
        <is>
          <t>SL-S03-GATE</t>
        </is>
      </c>
      <c r="B229" s="3" t="inlineStr">
        <is>
          <t>SL-S12-01</t>
        </is>
      </c>
      <c r="C229" s="3" t="inlineStr">
        <is>
          <t>S03</t>
        </is>
      </c>
      <c r="D229" s="3" t="inlineStr">
        <is>
          <t>S12</t>
        </is>
      </c>
      <c r="E229" s="3" t="inlineStr">
        <is>
          <t>Bloqueia até aceite; sequência conservadora dentro do sprint</t>
        </is>
      </c>
    </row>
    <row r="230" ht="28" customHeight="1">
      <c r="A230" s="3" t="inlineStr">
        <is>
          <t>SL-S04-GATE</t>
        </is>
      </c>
      <c r="B230" s="3" t="inlineStr">
        <is>
          <t>SL-S12-01</t>
        </is>
      </c>
      <c r="C230" s="3" t="inlineStr">
        <is>
          <t>S04</t>
        </is>
      </c>
      <c r="D230" s="3" t="inlineStr">
        <is>
          <t>S12</t>
        </is>
      </c>
      <c r="E230" s="3" t="inlineStr">
        <is>
          <t>Bloqueia até aceite; sequência conservadora dentro do sprint</t>
        </is>
      </c>
    </row>
    <row r="231" ht="28" customHeight="1">
      <c r="A231" s="3" t="inlineStr">
        <is>
          <t>SL-S06-GATE</t>
        </is>
      </c>
      <c r="B231" s="3" t="inlineStr">
        <is>
          <t>SL-S12-01</t>
        </is>
      </c>
      <c r="C231" s="3" t="inlineStr">
        <is>
          <t>S06</t>
        </is>
      </c>
      <c r="D231" s="3" t="inlineStr">
        <is>
          <t>S12</t>
        </is>
      </c>
      <c r="E231" s="3" t="inlineStr">
        <is>
          <t>Bloqueia até aceite; sequência conservadora dentro do sprint</t>
        </is>
      </c>
    </row>
    <row r="232" ht="28" customHeight="1">
      <c r="A232" s="3" t="inlineStr">
        <is>
          <t>SL-S11-GATE</t>
        </is>
      </c>
      <c r="B232" s="3" t="inlineStr">
        <is>
          <t>SL-S12-01</t>
        </is>
      </c>
      <c r="C232" s="3" t="inlineStr">
        <is>
          <t>S11</t>
        </is>
      </c>
      <c r="D232" s="3" t="inlineStr">
        <is>
          <t>S12</t>
        </is>
      </c>
      <c r="E232" s="3" t="inlineStr">
        <is>
          <t>Bloqueia até aceite; sequência conservadora dentro do sprint</t>
        </is>
      </c>
    </row>
    <row r="233" ht="28" customHeight="1">
      <c r="A233" s="3" t="inlineStr">
        <is>
          <t>SL-S12-01</t>
        </is>
      </c>
      <c r="B233" s="3" t="inlineStr">
        <is>
          <t>SL-S12-02</t>
        </is>
      </c>
      <c r="C233" s="3" t="inlineStr">
        <is>
          <t>S12</t>
        </is>
      </c>
      <c r="D233" s="3" t="inlineStr">
        <is>
          <t>S12</t>
        </is>
      </c>
      <c r="E233" s="3" t="inlineStr">
        <is>
          <t>Bloqueia até aceite; sequência conservadora dentro do sprint</t>
        </is>
      </c>
    </row>
    <row r="234" ht="28" customHeight="1">
      <c r="A234" s="3" t="inlineStr">
        <is>
          <t>SL-S12-02</t>
        </is>
      </c>
      <c r="B234" s="3" t="inlineStr">
        <is>
          <t>SL-S12-03</t>
        </is>
      </c>
      <c r="C234" s="3" t="inlineStr">
        <is>
          <t>S12</t>
        </is>
      </c>
      <c r="D234" s="3" t="inlineStr">
        <is>
          <t>S12</t>
        </is>
      </c>
      <c r="E234" s="3" t="inlineStr">
        <is>
          <t>Bloqueia até aceite; sequência conservadora dentro do sprint</t>
        </is>
      </c>
    </row>
    <row r="235" ht="28" customHeight="1">
      <c r="A235" s="3" t="inlineStr">
        <is>
          <t>SL-S12-03</t>
        </is>
      </c>
      <c r="B235" s="3" t="inlineStr">
        <is>
          <t>SL-S12-04</t>
        </is>
      </c>
      <c r="C235" s="3" t="inlineStr">
        <is>
          <t>S12</t>
        </is>
      </c>
      <c r="D235" s="3" t="inlineStr">
        <is>
          <t>S12</t>
        </is>
      </c>
      <c r="E235" s="3" t="inlineStr">
        <is>
          <t>Bloqueia até aceite; sequência conservadora dentro do sprint</t>
        </is>
      </c>
    </row>
    <row r="236" ht="28" customHeight="1">
      <c r="A236" s="3" t="inlineStr">
        <is>
          <t>SL-S12-04</t>
        </is>
      </c>
      <c r="B236" s="3" t="inlineStr">
        <is>
          <t>SL-S12-05</t>
        </is>
      </c>
      <c r="C236" s="3" t="inlineStr">
        <is>
          <t>S12</t>
        </is>
      </c>
      <c r="D236" s="3" t="inlineStr">
        <is>
          <t>S12</t>
        </is>
      </c>
      <c r="E236" s="3" t="inlineStr">
        <is>
          <t>Bloqueia até aceite; sequência conservadora dentro do sprint</t>
        </is>
      </c>
    </row>
    <row r="237" ht="28" customHeight="1">
      <c r="A237" s="3" t="inlineStr">
        <is>
          <t>SL-S12-05</t>
        </is>
      </c>
      <c r="B237" s="3" t="inlineStr">
        <is>
          <t>SL-S12-06</t>
        </is>
      </c>
      <c r="C237" s="3" t="inlineStr">
        <is>
          <t>S12</t>
        </is>
      </c>
      <c r="D237" s="3" t="inlineStr">
        <is>
          <t>S12</t>
        </is>
      </c>
      <c r="E237" s="3" t="inlineStr">
        <is>
          <t>Bloqueia até aceite; sequência conservadora dentro do sprint</t>
        </is>
      </c>
    </row>
    <row r="238" ht="28" customHeight="1">
      <c r="A238" s="3" t="inlineStr">
        <is>
          <t>SL-S12-06</t>
        </is>
      </c>
      <c r="B238" s="3" t="inlineStr">
        <is>
          <t>SL-S12-07</t>
        </is>
      </c>
      <c r="C238" s="3" t="inlineStr">
        <is>
          <t>S12</t>
        </is>
      </c>
      <c r="D238" s="3" t="inlineStr">
        <is>
          <t>S12</t>
        </is>
      </c>
      <c r="E238" s="3" t="inlineStr">
        <is>
          <t>Bloqueia até aceite; sequência conservadora dentro do sprint</t>
        </is>
      </c>
    </row>
    <row r="239" ht="28" customHeight="1">
      <c r="A239" s="3" t="inlineStr">
        <is>
          <t>SL-S12-07</t>
        </is>
      </c>
      <c r="B239" s="3" t="inlineStr">
        <is>
          <t>SL-S12-08</t>
        </is>
      </c>
      <c r="C239" s="3" t="inlineStr">
        <is>
          <t>S12</t>
        </is>
      </c>
      <c r="D239" s="3" t="inlineStr">
        <is>
          <t>S12</t>
        </is>
      </c>
      <c r="E239" s="3" t="inlineStr">
        <is>
          <t>Bloqueia até aceite; sequência conservadora dentro do sprint</t>
        </is>
      </c>
    </row>
    <row r="240" ht="28" customHeight="1">
      <c r="A240" s="3" t="inlineStr">
        <is>
          <t>SL-S12-08</t>
        </is>
      </c>
      <c r="B240" s="3" t="inlineStr">
        <is>
          <t>SL-S12-09</t>
        </is>
      </c>
      <c r="C240" s="3" t="inlineStr">
        <is>
          <t>S12</t>
        </is>
      </c>
      <c r="D240" s="3" t="inlineStr">
        <is>
          <t>S12</t>
        </is>
      </c>
      <c r="E240" s="3" t="inlineStr">
        <is>
          <t>Bloqueia até aceite; sequência conservadora dentro do sprint</t>
        </is>
      </c>
    </row>
    <row r="241" ht="28" customHeight="1">
      <c r="A241" s="3" t="inlineStr">
        <is>
          <t>SL-S12-09</t>
        </is>
      </c>
      <c r="B241" s="3" t="inlineStr">
        <is>
          <t>SL-S12-10</t>
        </is>
      </c>
      <c r="C241" s="3" t="inlineStr">
        <is>
          <t>S12</t>
        </is>
      </c>
      <c r="D241" s="3" t="inlineStr">
        <is>
          <t>S12</t>
        </is>
      </c>
      <c r="E241" s="3" t="inlineStr">
        <is>
          <t>Bloqueia até aceite; sequência conservadora dentro do sprint</t>
        </is>
      </c>
    </row>
    <row r="242" ht="28" customHeight="1">
      <c r="A242" s="3" t="inlineStr">
        <is>
          <t>SL-S12-01</t>
        </is>
      </c>
      <c r="B242" s="3" t="inlineStr">
        <is>
          <t>SL-S12-GATE</t>
        </is>
      </c>
      <c r="C242" s="3" t="inlineStr">
        <is>
          <t>S12</t>
        </is>
      </c>
      <c r="D242" s="3" t="inlineStr">
        <is>
          <t>S12</t>
        </is>
      </c>
      <c r="E242" s="3" t="inlineStr">
        <is>
          <t>Bloqueia até aceite; sequência conservadora dentro do sprint</t>
        </is>
      </c>
    </row>
    <row r="243" ht="28" customHeight="1">
      <c r="A243" s="3" t="inlineStr">
        <is>
          <t>SL-S12-02</t>
        </is>
      </c>
      <c r="B243" s="3" t="inlineStr">
        <is>
          <t>SL-S12-GATE</t>
        </is>
      </c>
      <c r="C243" s="3" t="inlineStr">
        <is>
          <t>S12</t>
        </is>
      </c>
      <c r="D243" s="3" t="inlineStr">
        <is>
          <t>S12</t>
        </is>
      </c>
      <c r="E243" s="3" t="inlineStr">
        <is>
          <t>Bloqueia até aceite; sequência conservadora dentro do sprint</t>
        </is>
      </c>
    </row>
    <row r="244" ht="28" customHeight="1">
      <c r="A244" s="3" t="inlineStr">
        <is>
          <t>SL-S12-03</t>
        </is>
      </c>
      <c r="B244" s="3" t="inlineStr">
        <is>
          <t>SL-S12-GATE</t>
        </is>
      </c>
      <c r="C244" s="3" t="inlineStr">
        <is>
          <t>S12</t>
        </is>
      </c>
      <c r="D244" s="3" t="inlineStr">
        <is>
          <t>S12</t>
        </is>
      </c>
      <c r="E244" s="3" t="inlineStr">
        <is>
          <t>Bloqueia até aceite; sequência conservadora dentro do sprint</t>
        </is>
      </c>
    </row>
    <row r="245" ht="28" customHeight="1">
      <c r="A245" s="3" t="inlineStr">
        <is>
          <t>SL-S12-04</t>
        </is>
      </c>
      <c r="B245" s="3" t="inlineStr">
        <is>
          <t>SL-S12-GATE</t>
        </is>
      </c>
      <c r="C245" s="3" t="inlineStr">
        <is>
          <t>S12</t>
        </is>
      </c>
      <c r="D245" s="3" t="inlineStr">
        <is>
          <t>S12</t>
        </is>
      </c>
      <c r="E245" s="3" t="inlineStr">
        <is>
          <t>Bloqueia até aceite; sequência conservadora dentro do sprint</t>
        </is>
      </c>
    </row>
    <row r="246" ht="28" customHeight="1">
      <c r="A246" s="3" t="inlineStr">
        <is>
          <t>SL-S12-05</t>
        </is>
      </c>
      <c r="B246" s="3" t="inlineStr">
        <is>
          <t>SL-S12-GATE</t>
        </is>
      </c>
      <c r="C246" s="3" t="inlineStr">
        <is>
          <t>S12</t>
        </is>
      </c>
      <c r="D246" s="3" t="inlineStr">
        <is>
          <t>S12</t>
        </is>
      </c>
      <c r="E246" s="3" t="inlineStr">
        <is>
          <t>Bloqueia até aceite; sequência conservadora dentro do sprint</t>
        </is>
      </c>
    </row>
    <row r="247" ht="28" customHeight="1">
      <c r="A247" s="3" t="inlineStr">
        <is>
          <t>SL-S12-06</t>
        </is>
      </c>
      <c r="B247" s="3" t="inlineStr">
        <is>
          <t>SL-S12-GATE</t>
        </is>
      </c>
      <c r="C247" s="3" t="inlineStr">
        <is>
          <t>S12</t>
        </is>
      </c>
      <c r="D247" s="3" t="inlineStr">
        <is>
          <t>S12</t>
        </is>
      </c>
      <c r="E247" s="3" t="inlineStr">
        <is>
          <t>Bloqueia até aceite; sequência conservadora dentro do sprint</t>
        </is>
      </c>
    </row>
    <row r="248" ht="28" customHeight="1">
      <c r="A248" s="3" t="inlineStr">
        <is>
          <t>SL-S12-07</t>
        </is>
      </c>
      <c r="B248" s="3" t="inlineStr">
        <is>
          <t>SL-S12-GATE</t>
        </is>
      </c>
      <c r="C248" s="3" t="inlineStr">
        <is>
          <t>S12</t>
        </is>
      </c>
      <c r="D248" s="3" t="inlineStr">
        <is>
          <t>S12</t>
        </is>
      </c>
      <c r="E248" s="3" t="inlineStr">
        <is>
          <t>Bloqueia até aceite; sequência conservadora dentro do sprint</t>
        </is>
      </c>
    </row>
    <row r="249" ht="28" customHeight="1">
      <c r="A249" s="3" t="inlineStr">
        <is>
          <t>SL-S12-08</t>
        </is>
      </c>
      <c r="B249" s="3" t="inlineStr">
        <is>
          <t>SL-S12-GATE</t>
        </is>
      </c>
      <c r="C249" s="3" t="inlineStr">
        <is>
          <t>S12</t>
        </is>
      </c>
      <c r="D249" s="3" t="inlineStr">
        <is>
          <t>S12</t>
        </is>
      </c>
      <c r="E249" s="3" t="inlineStr">
        <is>
          <t>Bloqueia até aceite; sequência conservadora dentro do sprint</t>
        </is>
      </c>
    </row>
    <row r="250" ht="28" customHeight="1">
      <c r="A250" s="3" t="inlineStr">
        <is>
          <t>SL-S12-09</t>
        </is>
      </c>
      <c r="B250" s="3" t="inlineStr">
        <is>
          <t>SL-S12-GATE</t>
        </is>
      </c>
      <c r="C250" s="3" t="inlineStr">
        <is>
          <t>S12</t>
        </is>
      </c>
      <c r="D250" s="3" t="inlineStr">
        <is>
          <t>S12</t>
        </is>
      </c>
      <c r="E250" s="3" t="inlineStr">
        <is>
          <t>Bloqueia até aceite; sequência conservadora dentro do sprint</t>
        </is>
      </c>
    </row>
    <row r="251" ht="28" customHeight="1">
      <c r="A251" s="3" t="inlineStr">
        <is>
          <t>SL-S12-10</t>
        </is>
      </c>
      <c r="B251" s="3" t="inlineStr">
        <is>
          <t>SL-S12-GATE</t>
        </is>
      </c>
      <c r="C251" s="3" t="inlineStr">
        <is>
          <t>S12</t>
        </is>
      </c>
      <c r="D251" s="3" t="inlineStr">
        <is>
          <t>S12</t>
        </is>
      </c>
      <c r="E251" s="3" t="inlineStr">
        <is>
          <t>Bloqueia até aceite; sequência conservadora dentro do sprint</t>
        </is>
      </c>
    </row>
    <row r="252" ht="28" customHeight="1">
      <c r="A252" s="3" t="inlineStr">
        <is>
          <t>SL-S02-GATE</t>
        </is>
      </c>
      <c r="B252" s="3" t="inlineStr">
        <is>
          <t>SL-S13-01</t>
        </is>
      </c>
      <c r="C252" s="3" t="inlineStr">
        <is>
          <t>S02</t>
        </is>
      </c>
      <c r="D252" s="3" t="inlineStr">
        <is>
          <t>S13</t>
        </is>
      </c>
      <c r="E252" s="3" t="inlineStr">
        <is>
          <t>Bloqueia até aceite; sequência conservadora dentro do sprint</t>
        </is>
      </c>
    </row>
    <row r="253" ht="28" customHeight="1">
      <c r="A253" s="3" t="inlineStr">
        <is>
          <t>SL-S12-GATE</t>
        </is>
      </c>
      <c r="B253" s="3" t="inlineStr">
        <is>
          <t>SL-S13-01</t>
        </is>
      </c>
      <c r="C253" s="3" t="inlineStr">
        <is>
          <t>S12</t>
        </is>
      </c>
      <c r="D253" s="3" t="inlineStr">
        <is>
          <t>S13</t>
        </is>
      </c>
      <c r="E253" s="3" t="inlineStr">
        <is>
          <t>Bloqueia até aceite; sequência conservadora dentro do sprint</t>
        </is>
      </c>
    </row>
    <row r="254" ht="28" customHeight="1">
      <c r="A254" s="3" t="inlineStr">
        <is>
          <t>SL-S13-01</t>
        </is>
      </c>
      <c r="B254" s="3" t="inlineStr">
        <is>
          <t>SL-S13-02</t>
        </is>
      </c>
      <c r="C254" s="3" t="inlineStr">
        <is>
          <t>S13</t>
        </is>
      </c>
      <c r="D254" s="3" t="inlineStr">
        <is>
          <t>S13</t>
        </is>
      </c>
      <c r="E254" s="3" t="inlineStr">
        <is>
          <t>Bloqueia até aceite; sequência conservadora dentro do sprint</t>
        </is>
      </c>
    </row>
    <row r="255" ht="28" customHeight="1">
      <c r="A255" s="3" t="inlineStr">
        <is>
          <t>SL-S13-02</t>
        </is>
      </c>
      <c r="B255" s="3" t="inlineStr">
        <is>
          <t>SL-S13-03</t>
        </is>
      </c>
      <c r="C255" s="3" t="inlineStr">
        <is>
          <t>S13</t>
        </is>
      </c>
      <c r="D255" s="3" t="inlineStr">
        <is>
          <t>S13</t>
        </is>
      </c>
      <c r="E255" s="3" t="inlineStr">
        <is>
          <t>Bloqueia até aceite; sequência conservadora dentro do sprint</t>
        </is>
      </c>
    </row>
    <row r="256" ht="28" customHeight="1">
      <c r="A256" s="3" t="inlineStr">
        <is>
          <t>SL-S13-03</t>
        </is>
      </c>
      <c r="B256" s="3" t="inlineStr">
        <is>
          <t>SL-S13-04</t>
        </is>
      </c>
      <c r="C256" s="3" t="inlineStr">
        <is>
          <t>S13</t>
        </is>
      </c>
      <c r="D256" s="3" t="inlineStr">
        <is>
          <t>S13</t>
        </is>
      </c>
      <c r="E256" s="3" t="inlineStr">
        <is>
          <t>Bloqueia até aceite; sequência conservadora dentro do sprint</t>
        </is>
      </c>
    </row>
    <row r="257" ht="28" customHeight="1">
      <c r="A257" s="3" t="inlineStr">
        <is>
          <t>SL-S13-04</t>
        </is>
      </c>
      <c r="B257" s="3" t="inlineStr">
        <is>
          <t>SL-S13-05</t>
        </is>
      </c>
      <c r="C257" s="3" t="inlineStr">
        <is>
          <t>S13</t>
        </is>
      </c>
      <c r="D257" s="3" t="inlineStr">
        <is>
          <t>S13</t>
        </is>
      </c>
      <c r="E257" s="3" t="inlineStr">
        <is>
          <t>Bloqueia até aceite; sequência conservadora dentro do sprint</t>
        </is>
      </c>
    </row>
    <row r="258" ht="28" customHeight="1">
      <c r="A258" s="3" t="inlineStr">
        <is>
          <t>SL-S13-05</t>
        </is>
      </c>
      <c r="B258" s="3" t="inlineStr">
        <is>
          <t>SL-S13-06</t>
        </is>
      </c>
      <c r="C258" s="3" t="inlineStr">
        <is>
          <t>S13</t>
        </is>
      </c>
      <c r="D258" s="3" t="inlineStr">
        <is>
          <t>S13</t>
        </is>
      </c>
      <c r="E258" s="3" t="inlineStr">
        <is>
          <t>Bloqueia até aceite; sequência conservadora dentro do sprint</t>
        </is>
      </c>
    </row>
    <row r="259" ht="28" customHeight="1">
      <c r="A259" s="3" t="inlineStr">
        <is>
          <t>SL-S13-06</t>
        </is>
      </c>
      <c r="B259" s="3" t="inlineStr">
        <is>
          <t>SL-S13-07</t>
        </is>
      </c>
      <c r="C259" s="3" t="inlineStr">
        <is>
          <t>S13</t>
        </is>
      </c>
      <c r="D259" s="3" t="inlineStr">
        <is>
          <t>S13</t>
        </is>
      </c>
      <c r="E259" s="3" t="inlineStr">
        <is>
          <t>Bloqueia até aceite; sequência conservadora dentro do sprint</t>
        </is>
      </c>
    </row>
    <row r="260" ht="28" customHeight="1">
      <c r="A260" s="3" t="inlineStr">
        <is>
          <t>SL-S13-07</t>
        </is>
      </c>
      <c r="B260" s="3" t="inlineStr">
        <is>
          <t>SL-S13-08</t>
        </is>
      </c>
      <c r="C260" s="3" t="inlineStr">
        <is>
          <t>S13</t>
        </is>
      </c>
      <c r="D260" s="3" t="inlineStr">
        <is>
          <t>S13</t>
        </is>
      </c>
      <c r="E260" s="3" t="inlineStr">
        <is>
          <t>Bloqueia até aceite; sequência conservadora dentro do sprint</t>
        </is>
      </c>
    </row>
    <row r="261" ht="28" customHeight="1">
      <c r="A261" s="3" t="inlineStr">
        <is>
          <t>SL-S13-08</t>
        </is>
      </c>
      <c r="B261" s="3" t="inlineStr">
        <is>
          <t>SL-S13-09</t>
        </is>
      </c>
      <c r="C261" s="3" t="inlineStr">
        <is>
          <t>S13</t>
        </is>
      </c>
      <c r="D261" s="3" t="inlineStr">
        <is>
          <t>S13</t>
        </is>
      </c>
      <c r="E261" s="3" t="inlineStr">
        <is>
          <t>Bloqueia até aceite; sequência conservadora dentro do sprint</t>
        </is>
      </c>
    </row>
    <row r="262" ht="28" customHeight="1">
      <c r="A262" s="3" t="inlineStr">
        <is>
          <t>SL-S13-09</t>
        </is>
      </c>
      <c r="B262" s="3" t="inlineStr">
        <is>
          <t>SL-S13-10</t>
        </is>
      </c>
      <c r="C262" s="3" t="inlineStr">
        <is>
          <t>S13</t>
        </is>
      </c>
      <c r="D262" s="3" t="inlineStr">
        <is>
          <t>S13</t>
        </is>
      </c>
      <c r="E262" s="3" t="inlineStr">
        <is>
          <t>Bloqueia até aceite; sequência conservadora dentro do sprint</t>
        </is>
      </c>
    </row>
    <row r="263" ht="28" customHeight="1">
      <c r="A263" s="3" t="inlineStr">
        <is>
          <t>SL-S13-01</t>
        </is>
      </c>
      <c r="B263" s="3" t="inlineStr">
        <is>
          <t>SL-S13-GATE</t>
        </is>
      </c>
      <c r="C263" s="3" t="inlineStr">
        <is>
          <t>S13</t>
        </is>
      </c>
      <c r="D263" s="3" t="inlineStr">
        <is>
          <t>S13</t>
        </is>
      </c>
      <c r="E263" s="3" t="inlineStr">
        <is>
          <t>Bloqueia até aceite; sequência conservadora dentro do sprint</t>
        </is>
      </c>
    </row>
    <row r="264" ht="28" customHeight="1">
      <c r="A264" s="3" t="inlineStr">
        <is>
          <t>SL-S13-02</t>
        </is>
      </c>
      <c r="B264" s="3" t="inlineStr">
        <is>
          <t>SL-S13-GATE</t>
        </is>
      </c>
      <c r="C264" s="3" t="inlineStr">
        <is>
          <t>S13</t>
        </is>
      </c>
      <c r="D264" s="3" t="inlineStr">
        <is>
          <t>S13</t>
        </is>
      </c>
      <c r="E264" s="3" t="inlineStr">
        <is>
          <t>Bloqueia até aceite; sequência conservadora dentro do sprint</t>
        </is>
      </c>
    </row>
    <row r="265" ht="28" customHeight="1">
      <c r="A265" s="3" t="inlineStr">
        <is>
          <t>SL-S13-03</t>
        </is>
      </c>
      <c r="B265" s="3" t="inlineStr">
        <is>
          <t>SL-S13-GATE</t>
        </is>
      </c>
      <c r="C265" s="3" t="inlineStr">
        <is>
          <t>S13</t>
        </is>
      </c>
      <c r="D265" s="3" t="inlineStr">
        <is>
          <t>S13</t>
        </is>
      </c>
      <c r="E265" s="3" t="inlineStr">
        <is>
          <t>Bloqueia até aceite; sequência conservadora dentro do sprint</t>
        </is>
      </c>
    </row>
    <row r="266" ht="28" customHeight="1">
      <c r="A266" s="3" t="inlineStr">
        <is>
          <t>SL-S13-04</t>
        </is>
      </c>
      <c r="B266" s="3" t="inlineStr">
        <is>
          <t>SL-S13-GATE</t>
        </is>
      </c>
      <c r="C266" s="3" t="inlineStr">
        <is>
          <t>S13</t>
        </is>
      </c>
      <c r="D266" s="3" t="inlineStr">
        <is>
          <t>S13</t>
        </is>
      </c>
      <c r="E266" s="3" t="inlineStr">
        <is>
          <t>Bloqueia até aceite; sequência conservadora dentro do sprint</t>
        </is>
      </c>
    </row>
    <row r="267" ht="28" customHeight="1">
      <c r="A267" s="3" t="inlineStr">
        <is>
          <t>SL-S13-05</t>
        </is>
      </c>
      <c r="B267" s="3" t="inlineStr">
        <is>
          <t>SL-S13-GATE</t>
        </is>
      </c>
      <c r="C267" s="3" t="inlineStr">
        <is>
          <t>S13</t>
        </is>
      </c>
      <c r="D267" s="3" t="inlineStr">
        <is>
          <t>S13</t>
        </is>
      </c>
      <c r="E267" s="3" t="inlineStr">
        <is>
          <t>Bloqueia até aceite; sequência conservadora dentro do sprint</t>
        </is>
      </c>
    </row>
    <row r="268" ht="28" customHeight="1">
      <c r="A268" s="3" t="inlineStr">
        <is>
          <t>SL-S13-06</t>
        </is>
      </c>
      <c r="B268" s="3" t="inlineStr">
        <is>
          <t>SL-S13-GATE</t>
        </is>
      </c>
      <c r="C268" s="3" t="inlineStr">
        <is>
          <t>S13</t>
        </is>
      </c>
      <c r="D268" s="3" t="inlineStr">
        <is>
          <t>S13</t>
        </is>
      </c>
      <c r="E268" s="3" t="inlineStr">
        <is>
          <t>Bloqueia até aceite; sequência conservadora dentro do sprint</t>
        </is>
      </c>
    </row>
    <row r="269" ht="28" customHeight="1">
      <c r="A269" s="3" t="inlineStr">
        <is>
          <t>SL-S13-07</t>
        </is>
      </c>
      <c r="B269" s="3" t="inlineStr">
        <is>
          <t>SL-S13-GATE</t>
        </is>
      </c>
      <c r="C269" s="3" t="inlineStr">
        <is>
          <t>S13</t>
        </is>
      </c>
      <c r="D269" s="3" t="inlineStr">
        <is>
          <t>S13</t>
        </is>
      </c>
      <c r="E269" s="3" t="inlineStr">
        <is>
          <t>Bloqueia até aceite; sequência conservadora dentro do sprint</t>
        </is>
      </c>
    </row>
    <row r="270" ht="28" customHeight="1">
      <c r="A270" s="3" t="inlineStr">
        <is>
          <t>SL-S13-08</t>
        </is>
      </c>
      <c r="B270" s="3" t="inlineStr">
        <is>
          <t>SL-S13-GATE</t>
        </is>
      </c>
      <c r="C270" s="3" t="inlineStr">
        <is>
          <t>S13</t>
        </is>
      </c>
      <c r="D270" s="3" t="inlineStr">
        <is>
          <t>S13</t>
        </is>
      </c>
      <c r="E270" s="3" t="inlineStr">
        <is>
          <t>Bloqueia até aceite; sequência conservadora dentro do sprint</t>
        </is>
      </c>
    </row>
    <row r="271" ht="28" customHeight="1">
      <c r="A271" s="3" t="inlineStr">
        <is>
          <t>SL-S13-09</t>
        </is>
      </c>
      <c r="B271" s="3" t="inlineStr">
        <is>
          <t>SL-S13-GATE</t>
        </is>
      </c>
      <c r="C271" s="3" t="inlineStr">
        <is>
          <t>S13</t>
        </is>
      </c>
      <c r="D271" s="3" t="inlineStr">
        <is>
          <t>S13</t>
        </is>
      </c>
      <c r="E271" s="3" t="inlineStr">
        <is>
          <t>Bloqueia até aceite; sequência conservadora dentro do sprint</t>
        </is>
      </c>
    </row>
    <row r="272" ht="28" customHeight="1">
      <c r="A272" s="3" t="inlineStr">
        <is>
          <t>SL-S13-10</t>
        </is>
      </c>
      <c r="B272" s="3" t="inlineStr">
        <is>
          <t>SL-S13-GATE</t>
        </is>
      </c>
      <c r="C272" s="3" t="inlineStr">
        <is>
          <t>S13</t>
        </is>
      </c>
      <c r="D272" s="3" t="inlineStr">
        <is>
          <t>S13</t>
        </is>
      </c>
      <c r="E272" s="3" t="inlineStr">
        <is>
          <t>Bloqueia até aceite; sequência conservadora dentro do sprint</t>
        </is>
      </c>
    </row>
    <row r="273" ht="28" customHeight="1">
      <c r="A273" s="3" t="inlineStr">
        <is>
          <t>SL-S08-GATE</t>
        </is>
      </c>
      <c r="B273" s="3" t="inlineStr">
        <is>
          <t>SL-S14-01</t>
        </is>
      </c>
      <c r="C273" s="3" t="inlineStr">
        <is>
          <t>S08</t>
        </is>
      </c>
      <c r="D273" s="3" t="inlineStr">
        <is>
          <t>S14</t>
        </is>
      </c>
      <c r="E273" s="3" t="inlineStr">
        <is>
          <t>Bloqueia até aceite; sequência conservadora dentro do sprint</t>
        </is>
      </c>
    </row>
    <row r="274" ht="28" customHeight="1">
      <c r="A274" s="3" t="inlineStr">
        <is>
          <t>SL-S10-GATE</t>
        </is>
      </c>
      <c r="B274" s="3" t="inlineStr">
        <is>
          <t>SL-S14-01</t>
        </is>
      </c>
      <c r="C274" s="3" t="inlineStr">
        <is>
          <t>S10</t>
        </is>
      </c>
      <c r="D274" s="3" t="inlineStr">
        <is>
          <t>S14</t>
        </is>
      </c>
      <c r="E274" s="3" t="inlineStr">
        <is>
          <t>Bloqueia até aceite; sequência conservadora dentro do sprint</t>
        </is>
      </c>
    </row>
    <row r="275" ht="28" customHeight="1">
      <c r="A275" s="3" t="inlineStr">
        <is>
          <t>SL-S13-GATE</t>
        </is>
      </c>
      <c r="B275" s="3" t="inlineStr">
        <is>
          <t>SL-S14-01</t>
        </is>
      </c>
      <c r="C275" s="3" t="inlineStr">
        <is>
          <t>S13</t>
        </is>
      </c>
      <c r="D275" s="3" t="inlineStr">
        <is>
          <t>S14</t>
        </is>
      </c>
      <c r="E275" s="3" t="inlineStr">
        <is>
          <t>Bloqueia até aceite; sequência conservadora dentro do sprint</t>
        </is>
      </c>
    </row>
    <row r="276" ht="28" customHeight="1">
      <c r="A276" s="3" t="inlineStr">
        <is>
          <t>SL-S14-01</t>
        </is>
      </c>
      <c r="B276" s="3" t="inlineStr">
        <is>
          <t>SL-S14-02</t>
        </is>
      </c>
      <c r="C276" s="3" t="inlineStr">
        <is>
          <t>S14</t>
        </is>
      </c>
      <c r="D276" s="3" t="inlineStr">
        <is>
          <t>S14</t>
        </is>
      </c>
      <c r="E276" s="3" t="inlineStr">
        <is>
          <t>Bloqueia até aceite; sequência conservadora dentro do sprint</t>
        </is>
      </c>
    </row>
    <row r="277" ht="28" customHeight="1">
      <c r="A277" s="3" t="inlineStr">
        <is>
          <t>SL-S14-02</t>
        </is>
      </c>
      <c r="B277" s="3" t="inlineStr">
        <is>
          <t>SL-S14-03</t>
        </is>
      </c>
      <c r="C277" s="3" t="inlineStr">
        <is>
          <t>S14</t>
        </is>
      </c>
      <c r="D277" s="3" t="inlineStr">
        <is>
          <t>S14</t>
        </is>
      </c>
      <c r="E277" s="3" t="inlineStr">
        <is>
          <t>Bloqueia até aceite; sequência conservadora dentro do sprint</t>
        </is>
      </c>
    </row>
    <row r="278" ht="28" customHeight="1">
      <c r="A278" s="3" t="inlineStr">
        <is>
          <t>SL-S14-03</t>
        </is>
      </c>
      <c r="B278" s="3" t="inlineStr">
        <is>
          <t>SL-S14-04</t>
        </is>
      </c>
      <c r="C278" s="3" t="inlineStr">
        <is>
          <t>S14</t>
        </is>
      </c>
      <c r="D278" s="3" t="inlineStr">
        <is>
          <t>S14</t>
        </is>
      </c>
      <c r="E278" s="3" t="inlineStr">
        <is>
          <t>Bloqueia até aceite; sequência conservadora dentro do sprint</t>
        </is>
      </c>
    </row>
    <row r="279" ht="28" customHeight="1">
      <c r="A279" s="3" t="inlineStr">
        <is>
          <t>SL-S14-04</t>
        </is>
      </c>
      <c r="B279" s="3" t="inlineStr">
        <is>
          <t>SL-S14-05</t>
        </is>
      </c>
      <c r="C279" s="3" t="inlineStr">
        <is>
          <t>S14</t>
        </is>
      </c>
      <c r="D279" s="3" t="inlineStr">
        <is>
          <t>S14</t>
        </is>
      </c>
      <c r="E279" s="3" t="inlineStr">
        <is>
          <t>Bloqueia até aceite; sequência conservadora dentro do sprint</t>
        </is>
      </c>
    </row>
    <row r="280" ht="28" customHeight="1">
      <c r="A280" s="3" t="inlineStr">
        <is>
          <t>SL-S14-05</t>
        </is>
      </c>
      <c r="B280" s="3" t="inlineStr">
        <is>
          <t>SL-S14-06</t>
        </is>
      </c>
      <c r="C280" s="3" t="inlineStr">
        <is>
          <t>S14</t>
        </is>
      </c>
      <c r="D280" s="3" t="inlineStr">
        <is>
          <t>S14</t>
        </is>
      </c>
      <c r="E280" s="3" t="inlineStr">
        <is>
          <t>Bloqueia até aceite; sequência conservadora dentro do sprint</t>
        </is>
      </c>
    </row>
    <row r="281" ht="28" customHeight="1">
      <c r="A281" s="3" t="inlineStr">
        <is>
          <t>SL-S14-06</t>
        </is>
      </c>
      <c r="B281" s="3" t="inlineStr">
        <is>
          <t>SL-S14-07</t>
        </is>
      </c>
      <c r="C281" s="3" t="inlineStr">
        <is>
          <t>S14</t>
        </is>
      </c>
      <c r="D281" s="3" t="inlineStr">
        <is>
          <t>S14</t>
        </is>
      </c>
      <c r="E281" s="3" t="inlineStr">
        <is>
          <t>Bloqueia até aceite; sequência conservadora dentro do sprint</t>
        </is>
      </c>
    </row>
    <row r="282" ht="28" customHeight="1">
      <c r="A282" s="3" t="inlineStr">
        <is>
          <t>SL-S14-07</t>
        </is>
      </c>
      <c r="B282" s="3" t="inlineStr">
        <is>
          <t>SL-S14-08</t>
        </is>
      </c>
      <c r="C282" s="3" t="inlineStr">
        <is>
          <t>S14</t>
        </is>
      </c>
      <c r="D282" s="3" t="inlineStr">
        <is>
          <t>S14</t>
        </is>
      </c>
      <c r="E282" s="3" t="inlineStr">
        <is>
          <t>Bloqueia até aceite; sequência conservadora dentro do sprint</t>
        </is>
      </c>
    </row>
    <row r="283" ht="28" customHeight="1">
      <c r="A283" s="3" t="inlineStr">
        <is>
          <t>SL-S14-08</t>
        </is>
      </c>
      <c r="B283" s="3" t="inlineStr">
        <is>
          <t>SL-S14-09</t>
        </is>
      </c>
      <c r="C283" s="3" t="inlineStr">
        <is>
          <t>S14</t>
        </is>
      </c>
      <c r="D283" s="3" t="inlineStr">
        <is>
          <t>S14</t>
        </is>
      </c>
      <c r="E283" s="3" t="inlineStr">
        <is>
          <t>Bloqueia até aceite; sequência conservadora dentro do sprint</t>
        </is>
      </c>
    </row>
    <row r="284" ht="28" customHeight="1">
      <c r="A284" s="3" t="inlineStr">
        <is>
          <t>SL-S14-09</t>
        </is>
      </c>
      <c r="B284" s="3" t="inlineStr">
        <is>
          <t>SL-S14-10</t>
        </is>
      </c>
      <c r="C284" s="3" t="inlineStr">
        <is>
          <t>S14</t>
        </is>
      </c>
      <c r="D284" s="3" t="inlineStr">
        <is>
          <t>S14</t>
        </is>
      </c>
      <c r="E284" s="3" t="inlineStr">
        <is>
          <t>Bloqueia até aceite; sequência conservadora dentro do sprint</t>
        </is>
      </c>
    </row>
    <row r="285" ht="28" customHeight="1">
      <c r="A285" s="3" t="inlineStr">
        <is>
          <t>SL-S14-01</t>
        </is>
      </c>
      <c r="B285" s="3" t="inlineStr">
        <is>
          <t>SL-S14-GATE</t>
        </is>
      </c>
      <c r="C285" s="3" t="inlineStr">
        <is>
          <t>S14</t>
        </is>
      </c>
      <c r="D285" s="3" t="inlineStr">
        <is>
          <t>S14</t>
        </is>
      </c>
      <c r="E285" s="3" t="inlineStr">
        <is>
          <t>Bloqueia até aceite; sequência conservadora dentro do sprint</t>
        </is>
      </c>
    </row>
    <row r="286" ht="28" customHeight="1">
      <c r="A286" s="3" t="inlineStr">
        <is>
          <t>SL-S14-02</t>
        </is>
      </c>
      <c r="B286" s="3" t="inlineStr">
        <is>
          <t>SL-S14-GATE</t>
        </is>
      </c>
      <c r="C286" s="3" t="inlineStr">
        <is>
          <t>S14</t>
        </is>
      </c>
      <c r="D286" s="3" t="inlineStr">
        <is>
          <t>S14</t>
        </is>
      </c>
      <c r="E286" s="3" t="inlineStr">
        <is>
          <t>Bloqueia até aceite; sequência conservadora dentro do sprint</t>
        </is>
      </c>
    </row>
    <row r="287" ht="28" customHeight="1">
      <c r="A287" s="3" t="inlineStr">
        <is>
          <t>SL-S14-03</t>
        </is>
      </c>
      <c r="B287" s="3" t="inlineStr">
        <is>
          <t>SL-S14-GATE</t>
        </is>
      </c>
      <c r="C287" s="3" t="inlineStr">
        <is>
          <t>S14</t>
        </is>
      </c>
      <c r="D287" s="3" t="inlineStr">
        <is>
          <t>S14</t>
        </is>
      </c>
      <c r="E287" s="3" t="inlineStr">
        <is>
          <t>Bloqueia até aceite; sequência conservadora dentro do sprint</t>
        </is>
      </c>
    </row>
    <row r="288" ht="28" customHeight="1">
      <c r="A288" s="3" t="inlineStr">
        <is>
          <t>SL-S14-04</t>
        </is>
      </c>
      <c r="B288" s="3" t="inlineStr">
        <is>
          <t>SL-S14-GATE</t>
        </is>
      </c>
      <c r="C288" s="3" t="inlineStr">
        <is>
          <t>S14</t>
        </is>
      </c>
      <c r="D288" s="3" t="inlineStr">
        <is>
          <t>S14</t>
        </is>
      </c>
      <c r="E288" s="3" t="inlineStr">
        <is>
          <t>Bloqueia até aceite; sequência conservadora dentro do sprint</t>
        </is>
      </c>
    </row>
    <row r="289" ht="28" customHeight="1">
      <c r="A289" s="3" t="inlineStr">
        <is>
          <t>SL-S14-05</t>
        </is>
      </c>
      <c r="B289" s="3" t="inlineStr">
        <is>
          <t>SL-S14-GATE</t>
        </is>
      </c>
      <c r="C289" s="3" t="inlineStr">
        <is>
          <t>S14</t>
        </is>
      </c>
      <c r="D289" s="3" t="inlineStr">
        <is>
          <t>S14</t>
        </is>
      </c>
      <c r="E289" s="3" t="inlineStr">
        <is>
          <t>Bloqueia até aceite; sequência conservadora dentro do sprint</t>
        </is>
      </c>
    </row>
    <row r="290" ht="28" customHeight="1">
      <c r="A290" s="3" t="inlineStr">
        <is>
          <t>SL-S14-06</t>
        </is>
      </c>
      <c r="B290" s="3" t="inlineStr">
        <is>
          <t>SL-S14-GATE</t>
        </is>
      </c>
      <c r="C290" s="3" t="inlineStr">
        <is>
          <t>S14</t>
        </is>
      </c>
      <c r="D290" s="3" t="inlineStr">
        <is>
          <t>S14</t>
        </is>
      </c>
      <c r="E290" s="3" t="inlineStr">
        <is>
          <t>Bloqueia até aceite; sequência conservadora dentro do sprint</t>
        </is>
      </c>
    </row>
    <row r="291" ht="28" customHeight="1">
      <c r="A291" s="3" t="inlineStr">
        <is>
          <t>SL-S14-07</t>
        </is>
      </c>
      <c r="B291" s="3" t="inlineStr">
        <is>
          <t>SL-S14-GATE</t>
        </is>
      </c>
      <c r="C291" s="3" t="inlineStr">
        <is>
          <t>S14</t>
        </is>
      </c>
      <c r="D291" s="3" t="inlineStr">
        <is>
          <t>S14</t>
        </is>
      </c>
      <c r="E291" s="3" t="inlineStr">
        <is>
          <t>Bloqueia até aceite; sequência conservadora dentro do sprint</t>
        </is>
      </c>
    </row>
    <row r="292" ht="28" customHeight="1">
      <c r="A292" s="3" t="inlineStr">
        <is>
          <t>SL-S14-08</t>
        </is>
      </c>
      <c r="B292" s="3" t="inlineStr">
        <is>
          <t>SL-S14-GATE</t>
        </is>
      </c>
      <c r="C292" s="3" t="inlineStr">
        <is>
          <t>S14</t>
        </is>
      </c>
      <c r="D292" s="3" t="inlineStr">
        <is>
          <t>S14</t>
        </is>
      </c>
      <c r="E292" s="3" t="inlineStr">
        <is>
          <t>Bloqueia até aceite; sequência conservadora dentro do sprint</t>
        </is>
      </c>
    </row>
    <row r="293" ht="28" customHeight="1">
      <c r="A293" s="3" t="inlineStr">
        <is>
          <t>SL-S14-09</t>
        </is>
      </c>
      <c r="B293" s="3" t="inlineStr">
        <is>
          <t>SL-S14-GATE</t>
        </is>
      </c>
      <c r="C293" s="3" t="inlineStr">
        <is>
          <t>S14</t>
        </is>
      </c>
      <c r="D293" s="3" t="inlineStr">
        <is>
          <t>S14</t>
        </is>
      </c>
      <c r="E293" s="3" t="inlineStr">
        <is>
          <t>Bloqueia até aceite; sequência conservadora dentro do sprint</t>
        </is>
      </c>
    </row>
    <row r="294" ht="28" customHeight="1">
      <c r="A294" s="3" t="inlineStr">
        <is>
          <t>SL-S14-10</t>
        </is>
      </c>
      <c r="B294" s="3" t="inlineStr">
        <is>
          <t>SL-S14-GATE</t>
        </is>
      </c>
      <c r="C294" s="3" t="inlineStr">
        <is>
          <t>S14</t>
        </is>
      </c>
      <c r="D294" s="3" t="inlineStr">
        <is>
          <t>S14</t>
        </is>
      </c>
      <c r="E294" s="3" t="inlineStr">
        <is>
          <t>Bloqueia até aceite; sequência conservadora dentro do sprint</t>
        </is>
      </c>
    </row>
    <row r="295" ht="28" customHeight="1">
      <c r="A295" s="3" t="inlineStr">
        <is>
          <t>SL-S14-GATE</t>
        </is>
      </c>
      <c r="B295" s="3" t="inlineStr">
        <is>
          <t>SL-S15-01</t>
        </is>
      </c>
      <c r="C295" s="3" t="inlineStr">
        <is>
          <t>S14</t>
        </is>
      </c>
      <c r="D295" s="3" t="inlineStr">
        <is>
          <t>S15</t>
        </is>
      </c>
      <c r="E295" s="3" t="inlineStr">
        <is>
          <t>Bloqueia até aceite; sequência conservadora dentro do sprint</t>
        </is>
      </c>
    </row>
    <row r="296" ht="28" customHeight="1">
      <c r="A296" s="3" t="inlineStr">
        <is>
          <t>SL-S15-01</t>
        </is>
      </c>
      <c r="B296" s="3" t="inlineStr">
        <is>
          <t>SL-S15-02</t>
        </is>
      </c>
      <c r="C296" s="3" t="inlineStr">
        <is>
          <t>S15</t>
        </is>
      </c>
      <c r="D296" s="3" t="inlineStr">
        <is>
          <t>S15</t>
        </is>
      </c>
      <c r="E296" s="3" t="inlineStr">
        <is>
          <t>Bloqueia até aceite; sequência conservadora dentro do sprint</t>
        </is>
      </c>
    </row>
    <row r="297" ht="28" customHeight="1">
      <c r="A297" s="3" t="inlineStr">
        <is>
          <t>SL-S15-02</t>
        </is>
      </c>
      <c r="B297" s="3" t="inlineStr">
        <is>
          <t>SL-S15-03</t>
        </is>
      </c>
      <c r="C297" s="3" t="inlineStr">
        <is>
          <t>S15</t>
        </is>
      </c>
      <c r="D297" s="3" t="inlineStr">
        <is>
          <t>S15</t>
        </is>
      </c>
      <c r="E297" s="3" t="inlineStr">
        <is>
          <t>Bloqueia até aceite; sequência conservadora dentro do sprint</t>
        </is>
      </c>
    </row>
    <row r="298" ht="28" customHeight="1">
      <c r="A298" s="3" t="inlineStr">
        <is>
          <t>SL-S15-03</t>
        </is>
      </c>
      <c r="B298" s="3" t="inlineStr">
        <is>
          <t>SL-S15-04</t>
        </is>
      </c>
      <c r="C298" s="3" t="inlineStr">
        <is>
          <t>S15</t>
        </is>
      </c>
      <c r="D298" s="3" t="inlineStr">
        <is>
          <t>S15</t>
        </is>
      </c>
      <c r="E298" s="3" t="inlineStr">
        <is>
          <t>Bloqueia até aceite; sequência conservadora dentro do sprint</t>
        </is>
      </c>
    </row>
    <row r="299" ht="28" customHeight="1">
      <c r="A299" s="3" t="inlineStr">
        <is>
          <t>SL-S15-04</t>
        </is>
      </c>
      <c r="B299" s="3" t="inlineStr">
        <is>
          <t>SL-S15-05</t>
        </is>
      </c>
      <c r="C299" s="3" t="inlineStr">
        <is>
          <t>S15</t>
        </is>
      </c>
      <c r="D299" s="3" t="inlineStr">
        <is>
          <t>S15</t>
        </is>
      </c>
      <c r="E299" s="3" t="inlineStr">
        <is>
          <t>Bloqueia até aceite; sequência conservadora dentro do sprint</t>
        </is>
      </c>
    </row>
    <row r="300" ht="28" customHeight="1">
      <c r="A300" s="3" t="inlineStr">
        <is>
          <t>SL-S15-05</t>
        </is>
      </c>
      <c r="B300" s="3" t="inlineStr">
        <is>
          <t>SL-S15-06</t>
        </is>
      </c>
      <c r="C300" s="3" t="inlineStr">
        <is>
          <t>S15</t>
        </is>
      </c>
      <c r="D300" s="3" t="inlineStr">
        <is>
          <t>S15</t>
        </is>
      </c>
      <c r="E300" s="3" t="inlineStr">
        <is>
          <t>Bloqueia até aceite; sequência conservadora dentro do sprint</t>
        </is>
      </c>
    </row>
    <row r="301" ht="28" customHeight="1">
      <c r="A301" s="3" t="inlineStr">
        <is>
          <t>SL-S15-06</t>
        </is>
      </c>
      <c r="B301" s="3" t="inlineStr">
        <is>
          <t>SL-S15-07</t>
        </is>
      </c>
      <c r="C301" s="3" t="inlineStr">
        <is>
          <t>S15</t>
        </is>
      </c>
      <c r="D301" s="3" t="inlineStr">
        <is>
          <t>S15</t>
        </is>
      </c>
      <c r="E301" s="3" t="inlineStr">
        <is>
          <t>Bloqueia até aceite; sequência conservadora dentro do sprint</t>
        </is>
      </c>
    </row>
    <row r="302" ht="28" customHeight="1">
      <c r="A302" s="3" t="inlineStr">
        <is>
          <t>SL-S15-07</t>
        </is>
      </c>
      <c r="B302" s="3" t="inlineStr">
        <is>
          <t>SL-S15-08</t>
        </is>
      </c>
      <c r="C302" s="3" t="inlineStr">
        <is>
          <t>S15</t>
        </is>
      </c>
      <c r="D302" s="3" t="inlineStr">
        <is>
          <t>S15</t>
        </is>
      </c>
      <c r="E302" s="3" t="inlineStr">
        <is>
          <t>Bloqueia até aceite; sequência conservadora dentro do sprint</t>
        </is>
      </c>
    </row>
    <row r="303" ht="28" customHeight="1">
      <c r="A303" s="3" t="inlineStr">
        <is>
          <t>SL-S15-08</t>
        </is>
      </c>
      <c r="B303" s="3" t="inlineStr">
        <is>
          <t>SL-S15-09</t>
        </is>
      </c>
      <c r="C303" s="3" t="inlineStr">
        <is>
          <t>S15</t>
        </is>
      </c>
      <c r="D303" s="3" t="inlineStr">
        <is>
          <t>S15</t>
        </is>
      </c>
      <c r="E303" s="3" t="inlineStr">
        <is>
          <t>Bloqueia até aceite; sequência conservadora dentro do sprint</t>
        </is>
      </c>
    </row>
    <row r="304" ht="28" customHeight="1">
      <c r="A304" s="3" t="inlineStr">
        <is>
          <t>SL-S15-09</t>
        </is>
      </c>
      <c r="B304" s="3" t="inlineStr">
        <is>
          <t>SL-S15-10</t>
        </is>
      </c>
      <c r="C304" s="3" t="inlineStr">
        <is>
          <t>S15</t>
        </is>
      </c>
      <c r="D304" s="3" t="inlineStr">
        <is>
          <t>S15</t>
        </is>
      </c>
      <c r="E304" s="3" t="inlineStr">
        <is>
          <t>Bloqueia até aceite; sequência conservadora dentro do sprint</t>
        </is>
      </c>
    </row>
    <row r="305" ht="28" customHeight="1">
      <c r="A305" s="3" t="inlineStr">
        <is>
          <t>SL-S15-01</t>
        </is>
      </c>
      <c r="B305" s="3" t="inlineStr">
        <is>
          <t>SL-S15-GATE</t>
        </is>
      </c>
      <c r="C305" s="3" t="inlineStr">
        <is>
          <t>S15</t>
        </is>
      </c>
      <c r="D305" s="3" t="inlineStr">
        <is>
          <t>S15</t>
        </is>
      </c>
      <c r="E305" s="3" t="inlineStr">
        <is>
          <t>Bloqueia até aceite; sequência conservadora dentro do sprint</t>
        </is>
      </c>
    </row>
    <row r="306" ht="28" customHeight="1">
      <c r="A306" s="3" t="inlineStr">
        <is>
          <t>SL-S15-02</t>
        </is>
      </c>
      <c r="B306" s="3" t="inlineStr">
        <is>
          <t>SL-S15-GATE</t>
        </is>
      </c>
      <c r="C306" s="3" t="inlineStr">
        <is>
          <t>S15</t>
        </is>
      </c>
      <c r="D306" s="3" t="inlineStr">
        <is>
          <t>S15</t>
        </is>
      </c>
      <c r="E306" s="3" t="inlineStr">
        <is>
          <t>Bloqueia até aceite; sequência conservadora dentro do sprint</t>
        </is>
      </c>
    </row>
    <row r="307" ht="28" customHeight="1">
      <c r="A307" s="3" t="inlineStr">
        <is>
          <t>SL-S15-03</t>
        </is>
      </c>
      <c r="B307" s="3" t="inlineStr">
        <is>
          <t>SL-S15-GATE</t>
        </is>
      </c>
      <c r="C307" s="3" t="inlineStr">
        <is>
          <t>S15</t>
        </is>
      </c>
      <c r="D307" s="3" t="inlineStr">
        <is>
          <t>S15</t>
        </is>
      </c>
      <c r="E307" s="3" t="inlineStr">
        <is>
          <t>Bloqueia até aceite; sequência conservadora dentro do sprint</t>
        </is>
      </c>
    </row>
    <row r="308" ht="28" customHeight="1">
      <c r="A308" s="3" t="inlineStr">
        <is>
          <t>SL-S15-04</t>
        </is>
      </c>
      <c r="B308" s="3" t="inlineStr">
        <is>
          <t>SL-S15-GATE</t>
        </is>
      </c>
      <c r="C308" s="3" t="inlineStr">
        <is>
          <t>S15</t>
        </is>
      </c>
      <c r="D308" s="3" t="inlineStr">
        <is>
          <t>S15</t>
        </is>
      </c>
      <c r="E308" s="3" t="inlineStr">
        <is>
          <t>Bloqueia até aceite; sequência conservadora dentro do sprint</t>
        </is>
      </c>
    </row>
    <row r="309" ht="28" customHeight="1">
      <c r="A309" s="3" t="inlineStr">
        <is>
          <t>SL-S15-05</t>
        </is>
      </c>
      <c r="B309" s="3" t="inlineStr">
        <is>
          <t>SL-S15-GATE</t>
        </is>
      </c>
      <c r="C309" s="3" t="inlineStr">
        <is>
          <t>S15</t>
        </is>
      </c>
      <c r="D309" s="3" t="inlineStr">
        <is>
          <t>S15</t>
        </is>
      </c>
      <c r="E309" s="3" t="inlineStr">
        <is>
          <t>Bloqueia até aceite; sequência conservadora dentro do sprint</t>
        </is>
      </c>
    </row>
    <row r="310" ht="28" customHeight="1">
      <c r="A310" s="3" t="inlineStr">
        <is>
          <t>SL-S15-06</t>
        </is>
      </c>
      <c r="B310" s="3" t="inlineStr">
        <is>
          <t>SL-S15-GATE</t>
        </is>
      </c>
      <c r="C310" s="3" t="inlineStr">
        <is>
          <t>S15</t>
        </is>
      </c>
      <c r="D310" s="3" t="inlineStr">
        <is>
          <t>S15</t>
        </is>
      </c>
      <c r="E310" s="3" t="inlineStr">
        <is>
          <t>Bloqueia até aceite; sequência conservadora dentro do sprint</t>
        </is>
      </c>
    </row>
    <row r="311" ht="28" customHeight="1">
      <c r="A311" s="3" t="inlineStr">
        <is>
          <t>SL-S15-07</t>
        </is>
      </c>
      <c r="B311" s="3" t="inlineStr">
        <is>
          <t>SL-S15-GATE</t>
        </is>
      </c>
      <c r="C311" s="3" t="inlineStr">
        <is>
          <t>S15</t>
        </is>
      </c>
      <c r="D311" s="3" t="inlineStr">
        <is>
          <t>S15</t>
        </is>
      </c>
      <c r="E311" s="3" t="inlineStr">
        <is>
          <t>Bloqueia até aceite; sequência conservadora dentro do sprint</t>
        </is>
      </c>
    </row>
    <row r="312" ht="28" customHeight="1">
      <c r="A312" s="3" t="inlineStr">
        <is>
          <t>SL-S15-08</t>
        </is>
      </c>
      <c r="B312" s="3" t="inlineStr">
        <is>
          <t>SL-S15-GATE</t>
        </is>
      </c>
      <c r="C312" s="3" t="inlineStr">
        <is>
          <t>S15</t>
        </is>
      </c>
      <c r="D312" s="3" t="inlineStr">
        <is>
          <t>S15</t>
        </is>
      </c>
      <c r="E312" s="3" t="inlineStr">
        <is>
          <t>Bloqueia até aceite; sequência conservadora dentro do sprint</t>
        </is>
      </c>
    </row>
    <row r="313" ht="28" customHeight="1">
      <c r="A313" s="3" t="inlineStr">
        <is>
          <t>SL-S15-09</t>
        </is>
      </c>
      <c r="B313" s="3" t="inlineStr">
        <is>
          <t>SL-S15-GATE</t>
        </is>
      </c>
      <c r="C313" s="3" t="inlineStr">
        <is>
          <t>S15</t>
        </is>
      </c>
      <c r="D313" s="3" t="inlineStr">
        <is>
          <t>S15</t>
        </is>
      </c>
      <c r="E313" s="3" t="inlineStr">
        <is>
          <t>Bloqueia até aceite; sequência conservadora dentro do sprint</t>
        </is>
      </c>
    </row>
    <row r="314" ht="28" customHeight="1">
      <c r="A314" s="3" t="inlineStr">
        <is>
          <t>SL-S15-10</t>
        </is>
      </c>
      <c r="B314" s="3" t="inlineStr">
        <is>
          <t>SL-S15-GATE</t>
        </is>
      </c>
      <c r="C314" s="3" t="inlineStr">
        <is>
          <t>S15</t>
        </is>
      </c>
      <c r="D314" s="3" t="inlineStr">
        <is>
          <t>S15</t>
        </is>
      </c>
      <c r="E314" s="3" t="inlineStr">
        <is>
          <t>Bloqueia até aceite; sequência conservadora dentro do sprint</t>
        </is>
      </c>
    </row>
    <row r="315" ht="28" customHeight="1">
      <c r="A315" s="3" t="inlineStr">
        <is>
          <t>SL-S06-GATE</t>
        </is>
      </c>
      <c r="B315" s="3" t="inlineStr">
        <is>
          <t>SL-S16-01</t>
        </is>
      </c>
      <c r="C315" s="3" t="inlineStr">
        <is>
          <t>S06</t>
        </is>
      </c>
      <c r="D315" s="3" t="inlineStr">
        <is>
          <t>S16</t>
        </is>
      </c>
      <c r="E315" s="3" t="inlineStr">
        <is>
          <t>Bloqueia até aceite; sequência conservadora dentro do sprint</t>
        </is>
      </c>
    </row>
    <row r="316" ht="28" customHeight="1">
      <c r="A316" s="3" t="inlineStr">
        <is>
          <t>SL-S07-GATE</t>
        </is>
      </c>
      <c r="B316" s="3" t="inlineStr">
        <is>
          <t>SL-S16-01</t>
        </is>
      </c>
      <c r="C316" s="3" t="inlineStr">
        <is>
          <t>S07</t>
        </is>
      </c>
      <c r="D316" s="3" t="inlineStr">
        <is>
          <t>S16</t>
        </is>
      </c>
      <c r="E316" s="3" t="inlineStr">
        <is>
          <t>Bloqueia até aceite; sequência conservadora dentro do sprint</t>
        </is>
      </c>
    </row>
    <row r="317" ht="28" customHeight="1">
      <c r="A317" s="3" t="inlineStr">
        <is>
          <t>SL-S15-GATE</t>
        </is>
      </c>
      <c r="B317" s="3" t="inlineStr">
        <is>
          <t>SL-S16-01</t>
        </is>
      </c>
      <c r="C317" s="3" t="inlineStr">
        <is>
          <t>S15</t>
        </is>
      </c>
      <c r="D317" s="3" t="inlineStr">
        <is>
          <t>S16</t>
        </is>
      </c>
      <c r="E317" s="3" t="inlineStr">
        <is>
          <t>Bloqueia até aceite; sequência conservadora dentro do sprint</t>
        </is>
      </c>
    </row>
    <row r="318" ht="28" customHeight="1">
      <c r="A318" s="3" t="inlineStr">
        <is>
          <t>SL-S16-01</t>
        </is>
      </c>
      <c r="B318" s="3" t="inlineStr">
        <is>
          <t>SL-S16-02</t>
        </is>
      </c>
      <c r="C318" s="3" t="inlineStr">
        <is>
          <t>S16</t>
        </is>
      </c>
      <c r="D318" s="3" t="inlineStr">
        <is>
          <t>S16</t>
        </is>
      </c>
      <c r="E318" s="3" t="inlineStr">
        <is>
          <t>Bloqueia até aceite; sequência conservadora dentro do sprint</t>
        </is>
      </c>
    </row>
    <row r="319" ht="28" customHeight="1">
      <c r="A319" s="3" t="inlineStr">
        <is>
          <t>SL-S16-02</t>
        </is>
      </c>
      <c r="B319" s="3" t="inlineStr">
        <is>
          <t>SL-S16-03</t>
        </is>
      </c>
      <c r="C319" s="3" t="inlineStr">
        <is>
          <t>S16</t>
        </is>
      </c>
      <c r="D319" s="3" t="inlineStr">
        <is>
          <t>S16</t>
        </is>
      </c>
      <c r="E319" s="3" t="inlineStr">
        <is>
          <t>Bloqueia até aceite; sequência conservadora dentro do sprint</t>
        </is>
      </c>
    </row>
    <row r="320" ht="28" customHeight="1">
      <c r="A320" s="3" t="inlineStr">
        <is>
          <t>SL-S16-03</t>
        </is>
      </c>
      <c r="B320" s="3" t="inlineStr">
        <is>
          <t>SL-S16-04</t>
        </is>
      </c>
      <c r="C320" s="3" t="inlineStr">
        <is>
          <t>S16</t>
        </is>
      </c>
      <c r="D320" s="3" t="inlineStr">
        <is>
          <t>S16</t>
        </is>
      </c>
      <c r="E320" s="3" t="inlineStr">
        <is>
          <t>Bloqueia até aceite; sequência conservadora dentro do sprint</t>
        </is>
      </c>
    </row>
    <row r="321" ht="28" customHeight="1">
      <c r="A321" s="3" t="inlineStr">
        <is>
          <t>SL-S16-04</t>
        </is>
      </c>
      <c r="B321" s="3" t="inlineStr">
        <is>
          <t>SL-S16-05</t>
        </is>
      </c>
      <c r="C321" s="3" t="inlineStr">
        <is>
          <t>S16</t>
        </is>
      </c>
      <c r="D321" s="3" t="inlineStr">
        <is>
          <t>S16</t>
        </is>
      </c>
      <c r="E321" s="3" t="inlineStr">
        <is>
          <t>Bloqueia até aceite; sequência conservadora dentro do sprint</t>
        </is>
      </c>
    </row>
    <row r="322" ht="28" customHeight="1">
      <c r="A322" s="3" t="inlineStr">
        <is>
          <t>SL-S16-05</t>
        </is>
      </c>
      <c r="B322" s="3" t="inlineStr">
        <is>
          <t>SL-S16-06</t>
        </is>
      </c>
      <c r="C322" s="3" t="inlineStr">
        <is>
          <t>S16</t>
        </is>
      </c>
      <c r="D322" s="3" t="inlineStr">
        <is>
          <t>S16</t>
        </is>
      </c>
      <c r="E322" s="3" t="inlineStr">
        <is>
          <t>Bloqueia até aceite; sequência conservadora dentro do sprint</t>
        </is>
      </c>
    </row>
    <row r="323" ht="28" customHeight="1">
      <c r="A323" s="3" t="inlineStr">
        <is>
          <t>SL-S16-06</t>
        </is>
      </c>
      <c r="B323" s="3" t="inlineStr">
        <is>
          <t>SL-S16-07</t>
        </is>
      </c>
      <c r="C323" s="3" t="inlineStr">
        <is>
          <t>S16</t>
        </is>
      </c>
      <c r="D323" s="3" t="inlineStr">
        <is>
          <t>S16</t>
        </is>
      </c>
      <c r="E323" s="3" t="inlineStr">
        <is>
          <t>Bloqueia até aceite; sequência conservadora dentro do sprint</t>
        </is>
      </c>
    </row>
    <row r="324" ht="28" customHeight="1">
      <c r="A324" s="3" t="inlineStr">
        <is>
          <t>SL-S16-07</t>
        </is>
      </c>
      <c r="B324" s="3" t="inlineStr">
        <is>
          <t>SL-S16-08</t>
        </is>
      </c>
      <c r="C324" s="3" t="inlineStr">
        <is>
          <t>S16</t>
        </is>
      </c>
      <c r="D324" s="3" t="inlineStr">
        <is>
          <t>S16</t>
        </is>
      </c>
      <c r="E324" s="3" t="inlineStr">
        <is>
          <t>Bloqueia até aceite; sequência conservadora dentro do sprint</t>
        </is>
      </c>
    </row>
    <row r="325" ht="28" customHeight="1">
      <c r="A325" s="3" t="inlineStr">
        <is>
          <t>SL-S16-08</t>
        </is>
      </c>
      <c r="B325" s="3" t="inlineStr">
        <is>
          <t>SL-S16-09</t>
        </is>
      </c>
      <c r="C325" s="3" t="inlineStr">
        <is>
          <t>S16</t>
        </is>
      </c>
      <c r="D325" s="3" t="inlineStr">
        <is>
          <t>S16</t>
        </is>
      </c>
      <c r="E325" s="3" t="inlineStr">
        <is>
          <t>Bloqueia até aceite; sequência conservadora dentro do sprint</t>
        </is>
      </c>
    </row>
    <row r="326" ht="28" customHeight="1">
      <c r="A326" s="3" t="inlineStr">
        <is>
          <t>SL-S16-09</t>
        </is>
      </c>
      <c r="B326" s="3" t="inlineStr">
        <is>
          <t>SL-S16-10</t>
        </is>
      </c>
      <c r="C326" s="3" t="inlineStr">
        <is>
          <t>S16</t>
        </is>
      </c>
      <c r="D326" s="3" t="inlineStr">
        <is>
          <t>S16</t>
        </is>
      </c>
      <c r="E326" s="3" t="inlineStr">
        <is>
          <t>Bloqueia até aceite; sequência conservadora dentro do sprint</t>
        </is>
      </c>
    </row>
    <row r="327" ht="28" customHeight="1">
      <c r="A327" s="3" t="inlineStr">
        <is>
          <t>SL-S16-01</t>
        </is>
      </c>
      <c r="B327" s="3" t="inlineStr">
        <is>
          <t>SL-S16-GATE</t>
        </is>
      </c>
      <c r="C327" s="3" t="inlineStr">
        <is>
          <t>S16</t>
        </is>
      </c>
      <c r="D327" s="3" t="inlineStr">
        <is>
          <t>S16</t>
        </is>
      </c>
      <c r="E327" s="3" t="inlineStr">
        <is>
          <t>Bloqueia até aceite; sequência conservadora dentro do sprint</t>
        </is>
      </c>
    </row>
    <row r="328" ht="28" customHeight="1">
      <c r="A328" s="3" t="inlineStr">
        <is>
          <t>SL-S16-02</t>
        </is>
      </c>
      <c r="B328" s="3" t="inlineStr">
        <is>
          <t>SL-S16-GATE</t>
        </is>
      </c>
      <c r="C328" s="3" t="inlineStr">
        <is>
          <t>S16</t>
        </is>
      </c>
      <c r="D328" s="3" t="inlineStr">
        <is>
          <t>S16</t>
        </is>
      </c>
      <c r="E328" s="3" t="inlineStr">
        <is>
          <t>Bloqueia até aceite; sequência conservadora dentro do sprint</t>
        </is>
      </c>
    </row>
    <row r="329" ht="28" customHeight="1">
      <c r="A329" s="3" t="inlineStr">
        <is>
          <t>SL-S16-03</t>
        </is>
      </c>
      <c r="B329" s="3" t="inlineStr">
        <is>
          <t>SL-S16-GATE</t>
        </is>
      </c>
      <c r="C329" s="3" t="inlineStr">
        <is>
          <t>S16</t>
        </is>
      </c>
      <c r="D329" s="3" t="inlineStr">
        <is>
          <t>S16</t>
        </is>
      </c>
      <c r="E329" s="3" t="inlineStr">
        <is>
          <t>Bloqueia até aceite; sequência conservadora dentro do sprint</t>
        </is>
      </c>
    </row>
    <row r="330" ht="28" customHeight="1">
      <c r="A330" s="3" t="inlineStr">
        <is>
          <t>SL-S16-04</t>
        </is>
      </c>
      <c r="B330" s="3" t="inlineStr">
        <is>
          <t>SL-S16-GATE</t>
        </is>
      </c>
      <c r="C330" s="3" t="inlineStr">
        <is>
          <t>S16</t>
        </is>
      </c>
      <c r="D330" s="3" t="inlineStr">
        <is>
          <t>S16</t>
        </is>
      </c>
      <c r="E330" s="3" t="inlineStr">
        <is>
          <t>Bloqueia até aceite; sequência conservadora dentro do sprint</t>
        </is>
      </c>
    </row>
    <row r="331" ht="28" customHeight="1">
      <c r="A331" s="3" t="inlineStr">
        <is>
          <t>SL-S16-05</t>
        </is>
      </c>
      <c r="B331" s="3" t="inlineStr">
        <is>
          <t>SL-S16-GATE</t>
        </is>
      </c>
      <c r="C331" s="3" t="inlineStr">
        <is>
          <t>S16</t>
        </is>
      </c>
      <c r="D331" s="3" t="inlineStr">
        <is>
          <t>S16</t>
        </is>
      </c>
      <c r="E331" s="3" t="inlineStr">
        <is>
          <t>Bloqueia até aceite; sequência conservadora dentro do sprint</t>
        </is>
      </c>
    </row>
    <row r="332" ht="28" customHeight="1">
      <c r="A332" s="3" t="inlineStr">
        <is>
          <t>SL-S16-06</t>
        </is>
      </c>
      <c r="B332" s="3" t="inlineStr">
        <is>
          <t>SL-S16-GATE</t>
        </is>
      </c>
      <c r="C332" s="3" t="inlineStr">
        <is>
          <t>S16</t>
        </is>
      </c>
      <c r="D332" s="3" t="inlineStr">
        <is>
          <t>S16</t>
        </is>
      </c>
      <c r="E332" s="3" t="inlineStr">
        <is>
          <t>Bloqueia até aceite; sequência conservadora dentro do sprint</t>
        </is>
      </c>
    </row>
    <row r="333" ht="28" customHeight="1">
      <c r="A333" s="3" t="inlineStr">
        <is>
          <t>SL-S16-07</t>
        </is>
      </c>
      <c r="B333" s="3" t="inlineStr">
        <is>
          <t>SL-S16-GATE</t>
        </is>
      </c>
      <c r="C333" s="3" t="inlineStr">
        <is>
          <t>S16</t>
        </is>
      </c>
      <c r="D333" s="3" t="inlineStr">
        <is>
          <t>S16</t>
        </is>
      </c>
      <c r="E333" s="3" t="inlineStr">
        <is>
          <t>Bloqueia até aceite; sequência conservadora dentro do sprint</t>
        </is>
      </c>
    </row>
    <row r="334" ht="28" customHeight="1">
      <c r="A334" s="3" t="inlineStr">
        <is>
          <t>SL-S16-08</t>
        </is>
      </c>
      <c r="B334" s="3" t="inlineStr">
        <is>
          <t>SL-S16-GATE</t>
        </is>
      </c>
      <c r="C334" s="3" t="inlineStr">
        <is>
          <t>S16</t>
        </is>
      </c>
      <c r="D334" s="3" t="inlineStr">
        <is>
          <t>S16</t>
        </is>
      </c>
      <c r="E334" s="3" t="inlineStr">
        <is>
          <t>Bloqueia até aceite; sequência conservadora dentro do sprint</t>
        </is>
      </c>
    </row>
    <row r="335" ht="28" customHeight="1">
      <c r="A335" s="3" t="inlineStr">
        <is>
          <t>SL-S16-09</t>
        </is>
      </c>
      <c r="B335" s="3" t="inlineStr">
        <is>
          <t>SL-S16-GATE</t>
        </is>
      </c>
      <c r="C335" s="3" t="inlineStr">
        <is>
          <t>S16</t>
        </is>
      </c>
      <c r="D335" s="3" t="inlineStr">
        <is>
          <t>S16</t>
        </is>
      </c>
      <c r="E335" s="3" t="inlineStr">
        <is>
          <t>Bloqueia até aceite; sequência conservadora dentro do sprint</t>
        </is>
      </c>
    </row>
    <row r="336" ht="28" customHeight="1">
      <c r="A336" s="3" t="inlineStr">
        <is>
          <t>SL-S16-10</t>
        </is>
      </c>
      <c r="B336" s="3" t="inlineStr">
        <is>
          <t>SL-S16-GATE</t>
        </is>
      </c>
      <c r="C336" s="3" t="inlineStr">
        <is>
          <t>S16</t>
        </is>
      </c>
      <c r="D336" s="3" t="inlineStr">
        <is>
          <t>S16</t>
        </is>
      </c>
      <c r="E336" s="3" t="inlineStr">
        <is>
          <t>Bloqueia até aceite; sequência conservadora dentro do sprint</t>
        </is>
      </c>
    </row>
    <row r="337" ht="28" customHeight="1">
      <c r="A337" s="3" t="inlineStr">
        <is>
          <t>SL-S08-GATE</t>
        </is>
      </c>
      <c r="B337" s="3" t="inlineStr">
        <is>
          <t>SL-S17-01</t>
        </is>
      </c>
      <c r="C337" s="3" t="inlineStr">
        <is>
          <t>S08</t>
        </is>
      </c>
      <c r="D337" s="3" t="inlineStr">
        <is>
          <t>S17</t>
        </is>
      </c>
      <c r="E337" s="3" t="inlineStr">
        <is>
          <t>Bloqueia até aceite; sequência conservadora dentro do sprint</t>
        </is>
      </c>
    </row>
    <row r="338" ht="28" customHeight="1">
      <c r="A338" s="3" t="inlineStr">
        <is>
          <t>SL-S10-GATE</t>
        </is>
      </c>
      <c r="B338" s="3" t="inlineStr">
        <is>
          <t>SL-S17-01</t>
        </is>
      </c>
      <c r="C338" s="3" t="inlineStr">
        <is>
          <t>S10</t>
        </is>
      </c>
      <c r="D338" s="3" t="inlineStr">
        <is>
          <t>S17</t>
        </is>
      </c>
      <c r="E338" s="3" t="inlineStr">
        <is>
          <t>Bloqueia até aceite; sequência conservadora dentro do sprint</t>
        </is>
      </c>
    </row>
    <row r="339" ht="28" customHeight="1">
      <c r="A339" s="3" t="inlineStr">
        <is>
          <t>SL-S16-GATE</t>
        </is>
      </c>
      <c r="B339" s="3" t="inlineStr">
        <is>
          <t>SL-S17-01</t>
        </is>
      </c>
      <c r="C339" s="3" t="inlineStr">
        <is>
          <t>S16</t>
        </is>
      </c>
      <c r="D339" s="3" t="inlineStr">
        <is>
          <t>S17</t>
        </is>
      </c>
      <c r="E339" s="3" t="inlineStr">
        <is>
          <t>Bloqueia até aceite; sequência conservadora dentro do sprint</t>
        </is>
      </c>
    </row>
    <row r="340" ht="28" customHeight="1">
      <c r="A340" s="3" t="inlineStr">
        <is>
          <t>SL-S17-01</t>
        </is>
      </c>
      <c r="B340" s="3" t="inlineStr">
        <is>
          <t>SL-S17-02</t>
        </is>
      </c>
      <c r="C340" s="3" t="inlineStr">
        <is>
          <t>S17</t>
        </is>
      </c>
      <c r="D340" s="3" t="inlineStr">
        <is>
          <t>S17</t>
        </is>
      </c>
      <c r="E340" s="3" t="inlineStr">
        <is>
          <t>Bloqueia até aceite; sequência conservadora dentro do sprint</t>
        </is>
      </c>
    </row>
    <row r="341" ht="28" customHeight="1">
      <c r="A341" s="3" t="inlineStr">
        <is>
          <t>SL-S17-02</t>
        </is>
      </c>
      <c r="B341" s="3" t="inlineStr">
        <is>
          <t>SL-S17-03</t>
        </is>
      </c>
      <c r="C341" s="3" t="inlineStr">
        <is>
          <t>S17</t>
        </is>
      </c>
      <c r="D341" s="3" t="inlineStr">
        <is>
          <t>S17</t>
        </is>
      </c>
      <c r="E341" s="3" t="inlineStr">
        <is>
          <t>Bloqueia até aceite; sequência conservadora dentro do sprint</t>
        </is>
      </c>
    </row>
    <row r="342" ht="28" customHeight="1">
      <c r="A342" s="3" t="inlineStr">
        <is>
          <t>SL-S17-03</t>
        </is>
      </c>
      <c r="B342" s="3" t="inlineStr">
        <is>
          <t>SL-S17-04</t>
        </is>
      </c>
      <c r="C342" s="3" t="inlineStr">
        <is>
          <t>S17</t>
        </is>
      </c>
      <c r="D342" s="3" t="inlineStr">
        <is>
          <t>S17</t>
        </is>
      </c>
      <c r="E342" s="3" t="inlineStr">
        <is>
          <t>Bloqueia até aceite; sequência conservadora dentro do sprint</t>
        </is>
      </c>
    </row>
    <row r="343" ht="28" customHeight="1">
      <c r="A343" s="3" t="inlineStr">
        <is>
          <t>SL-S17-04</t>
        </is>
      </c>
      <c r="B343" s="3" t="inlineStr">
        <is>
          <t>SL-S17-05</t>
        </is>
      </c>
      <c r="C343" s="3" t="inlineStr">
        <is>
          <t>S17</t>
        </is>
      </c>
      <c r="D343" s="3" t="inlineStr">
        <is>
          <t>S17</t>
        </is>
      </c>
      <c r="E343" s="3" t="inlineStr">
        <is>
          <t>Bloqueia até aceite; sequência conservadora dentro do sprint</t>
        </is>
      </c>
    </row>
    <row r="344" ht="28" customHeight="1">
      <c r="A344" s="3" t="inlineStr">
        <is>
          <t>SL-S17-05</t>
        </is>
      </c>
      <c r="B344" s="3" t="inlineStr">
        <is>
          <t>SL-S17-06</t>
        </is>
      </c>
      <c r="C344" s="3" t="inlineStr">
        <is>
          <t>S17</t>
        </is>
      </c>
      <c r="D344" s="3" t="inlineStr">
        <is>
          <t>S17</t>
        </is>
      </c>
      <c r="E344" s="3" t="inlineStr">
        <is>
          <t>Bloqueia até aceite; sequência conservadora dentro do sprint</t>
        </is>
      </c>
    </row>
    <row r="345" ht="28" customHeight="1">
      <c r="A345" s="3" t="inlineStr">
        <is>
          <t>SL-S17-06</t>
        </is>
      </c>
      <c r="B345" s="3" t="inlineStr">
        <is>
          <t>SL-S17-07</t>
        </is>
      </c>
      <c r="C345" s="3" t="inlineStr">
        <is>
          <t>S17</t>
        </is>
      </c>
      <c r="D345" s="3" t="inlineStr">
        <is>
          <t>S17</t>
        </is>
      </c>
      <c r="E345" s="3" t="inlineStr">
        <is>
          <t>Bloqueia até aceite; sequência conservadora dentro do sprint</t>
        </is>
      </c>
    </row>
    <row r="346" ht="28" customHeight="1">
      <c r="A346" s="3" t="inlineStr">
        <is>
          <t>SL-S17-07</t>
        </is>
      </c>
      <c r="B346" s="3" t="inlineStr">
        <is>
          <t>SL-S17-08</t>
        </is>
      </c>
      <c r="C346" s="3" t="inlineStr">
        <is>
          <t>S17</t>
        </is>
      </c>
      <c r="D346" s="3" t="inlineStr">
        <is>
          <t>S17</t>
        </is>
      </c>
      <c r="E346" s="3" t="inlineStr">
        <is>
          <t>Bloqueia até aceite; sequência conservadora dentro do sprint</t>
        </is>
      </c>
    </row>
    <row r="347" ht="28" customHeight="1">
      <c r="A347" s="3" t="inlineStr">
        <is>
          <t>SL-S17-08</t>
        </is>
      </c>
      <c r="B347" s="3" t="inlineStr">
        <is>
          <t>SL-S17-09</t>
        </is>
      </c>
      <c r="C347" s="3" t="inlineStr">
        <is>
          <t>S17</t>
        </is>
      </c>
      <c r="D347" s="3" t="inlineStr">
        <is>
          <t>S17</t>
        </is>
      </c>
      <c r="E347" s="3" t="inlineStr">
        <is>
          <t>Bloqueia até aceite; sequência conservadora dentro do sprint</t>
        </is>
      </c>
    </row>
    <row r="348" ht="28" customHeight="1">
      <c r="A348" s="3" t="inlineStr">
        <is>
          <t>SL-S17-09</t>
        </is>
      </c>
      <c r="B348" s="3" t="inlineStr">
        <is>
          <t>SL-S17-10</t>
        </is>
      </c>
      <c r="C348" s="3" t="inlineStr">
        <is>
          <t>S17</t>
        </is>
      </c>
      <c r="D348" s="3" t="inlineStr">
        <is>
          <t>S17</t>
        </is>
      </c>
      <c r="E348" s="3" t="inlineStr">
        <is>
          <t>Bloqueia até aceite; sequência conservadora dentro do sprint</t>
        </is>
      </c>
    </row>
    <row r="349" ht="28" customHeight="1">
      <c r="A349" s="3" t="inlineStr">
        <is>
          <t>SL-S17-01</t>
        </is>
      </c>
      <c r="B349" s="3" t="inlineStr">
        <is>
          <t>SL-S17-GATE</t>
        </is>
      </c>
      <c r="C349" s="3" t="inlineStr">
        <is>
          <t>S17</t>
        </is>
      </c>
      <c r="D349" s="3" t="inlineStr">
        <is>
          <t>S17</t>
        </is>
      </c>
      <c r="E349" s="3" t="inlineStr">
        <is>
          <t>Bloqueia até aceite; sequência conservadora dentro do sprint</t>
        </is>
      </c>
    </row>
    <row r="350" ht="28" customHeight="1">
      <c r="A350" s="3" t="inlineStr">
        <is>
          <t>SL-S17-02</t>
        </is>
      </c>
      <c r="B350" s="3" t="inlineStr">
        <is>
          <t>SL-S17-GATE</t>
        </is>
      </c>
      <c r="C350" s="3" t="inlineStr">
        <is>
          <t>S17</t>
        </is>
      </c>
      <c r="D350" s="3" t="inlineStr">
        <is>
          <t>S17</t>
        </is>
      </c>
      <c r="E350" s="3" t="inlineStr">
        <is>
          <t>Bloqueia até aceite; sequência conservadora dentro do sprint</t>
        </is>
      </c>
    </row>
    <row r="351" ht="28" customHeight="1">
      <c r="A351" s="3" t="inlineStr">
        <is>
          <t>SL-S17-03</t>
        </is>
      </c>
      <c r="B351" s="3" t="inlineStr">
        <is>
          <t>SL-S17-GATE</t>
        </is>
      </c>
      <c r="C351" s="3" t="inlineStr">
        <is>
          <t>S17</t>
        </is>
      </c>
      <c r="D351" s="3" t="inlineStr">
        <is>
          <t>S17</t>
        </is>
      </c>
      <c r="E351" s="3" t="inlineStr">
        <is>
          <t>Bloqueia até aceite; sequência conservadora dentro do sprint</t>
        </is>
      </c>
    </row>
    <row r="352" ht="28" customHeight="1">
      <c r="A352" s="3" t="inlineStr">
        <is>
          <t>SL-S17-04</t>
        </is>
      </c>
      <c r="B352" s="3" t="inlineStr">
        <is>
          <t>SL-S17-GATE</t>
        </is>
      </c>
      <c r="C352" s="3" t="inlineStr">
        <is>
          <t>S17</t>
        </is>
      </c>
      <c r="D352" s="3" t="inlineStr">
        <is>
          <t>S17</t>
        </is>
      </c>
      <c r="E352" s="3" t="inlineStr">
        <is>
          <t>Bloqueia até aceite; sequência conservadora dentro do sprint</t>
        </is>
      </c>
    </row>
    <row r="353" ht="28" customHeight="1">
      <c r="A353" s="3" t="inlineStr">
        <is>
          <t>SL-S17-05</t>
        </is>
      </c>
      <c r="B353" s="3" t="inlineStr">
        <is>
          <t>SL-S17-GATE</t>
        </is>
      </c>
      <c r="C353" s="3" t="inlineStr">
        <is>
          <t>S17</t>
        </is>
      </c>
      <c r="D353" s="3" t="inlineStr">
        <is>
          <t>S17</t>
        </is>
      </c>
      <c r="E353" s="3" t="inlineStr">
        <is>
          <t>Bloqueia até aceite; sequência conservadora dentro do sprint</t>
        </is>
      </c>
    </row>
    <row r="354" ht="28" customHeight="1">
      <c r="A354" s="3" t="inlineStr">
        <is>
          <t>SL-S17-06</t>
        </is>
      </c>
      <c r="B354" s="3" t="inlineStr">
        <is>
          <t>SL-S17-GATE</t>
        </is>
      </c>
      <c r="C354" s="3" t="inlineStr">
        <is>
          <t>S17</t>
        </is>
      </c>
      <c r="D354" s="3" t="inlineStr">
        <is>
          <t>S17</t>
        </is>
      </c>
      <c r="E354" s="3" t="inlineStr">
        <is>
          <t>Bloqueia até aceite; sequência conservadora dentro do sprint</t>
        </is>
      </c>
    </row>
    <row r="355" ht="28" customHeight="1">
      <c r="A355" s="3" t="inlineStr">
        <is>
          <t>SL-S17-07</t>
        </is>
      </c>
      <c r="B355" s="3" t="inlineStr">
        <is>
          <t>SL-S17-GATE</t>
        </is>
      </c>
      <c r="C355" s="3" t="inlineStr">
        <is>
          <t>S17</t>
        </is>
      </c>
      <c r="D355" s="3" t="inlineStr">
        <is>
          <t>S17</t>
        </is>
      </c>
      <c r="E355" s="3" t="inlineStr">
        <is>
          <t>Bloqueia até aceite; sequência conservadora dentro do sprint</t>
        </is>
      </c>
    </row>
    <row r="356" ht="28" customHeight="1">
      <c r="A356" s="3" t="inlineStr">
        <is>
          <t>SL-S17-08</t>
        </is>
      </c>
      <c r="B356" s="3" t="inlineStr">
        <is>
          <t>SL-S17-GATE</t>
        </is>
      </c>
      <c r="C356" s="3" t="inlineStr">
        <is>
          <t>S17</t>
        </is>
      </c>
      <c r="D356" s="3" t="inlineStr">
        <is>
          <t>S17</t>
        </is>
      </c>
      <c r="E356" s="3" t="inlineStr">
        <is>
          <t>Bloqueia até aceite; sequência conservadora dentro do sprint</t>
        </is>
      </c>
    </row>
    <row r="357" ht="28" customHeight="1">
      <c r="A357" s="3" t="inlineStr">
        <is>
          <t>SL-S17-09</t>
        </is>
      </c>
      <c r="B357" s="3" t="inlineStr">
        <is>
          <t>SL-S17-GATE</t>
        </is>
      </c>
      <c r="C357" s="3" t="inlineStr">
        <is>
          <t>S17</t>
        </is>
      </c>
      <c r="D357" s="3" t="inlineStr">
        <is>
          <t>S17</t>
        </is>
      </c>
      <c r="E357" s="3" t="inlineStr">
        <is>
          <t>Bloqueia até aceite; sequência conservadora dentro do sprint</t>
        </is>
      </c>
    </row>
    <row r="358" ht="28" customHeight="1">
      <c r="A358" s="3" t="inlineStr">
        <is>
          <t>SL-S17-10</t>
        </is>
      </c>
      <c r="B358" s="3" t="inlineStr">
        <is>
          <t>SL-S17-GATE</t>
        </is>
      </c>
      <c r="C358" s="3" t="inlineStr">
        <is>
          <t>S17</t>
        </is>
      </c>
      <c r="D358" s="3" t="inlineStr">
        <is>
          <t>S17</t>
        </is>
      </c>
      <c r="E358" s="3" t="inlineStr">
        <is>
          <t>Bloqueia até aceite; sequência conservadora dentro do sprint</t>
        </is>
      </c>
    </row>
    <row r="359" ht="28" customHeight="1">
      <c r="A359" s="3" t="inlineStr">
        <is>
          <t>SL-S14-GATE</t>
        </is>
      </c>
      <c r="B359" s="3" t="inlineStr">
        <is>
          <t>SL-S18-01</t>
        </is>
      </c>
      <c r="C359" s="3" t="inlineStr">
        <is>
          <t>S14</t>
        </is>
      </c>
      <c r="D359" s="3" t="inlineStr">
        <is>
          <t>S18</t>
        </is>
      </c>
      <c r="E359" s="3" t="inlineStr">
        <is>
          <t>Bloqueia até aceite; sequência conservadora dentro do sprint</t>
        </is>
      </c>
    </row>
    <row r="360" ht="28" customHeight="1">
      <c r="A360" s="3" t="inlineStr">
        <is>
          <t>SL-S17-GATE</t>
        </is>
      </c>
      <c r="B360" s="3" t="inlineStr">
        <is>
          <t>SL-S18-01</t>
        </is>
      </c>
      <c r="C360" s="3" t="inlineStr">
        <is>
          <t>S17</t>
        </is>
      </c>
      <c r="D360" s="3" t="inlineStr">
        <is>
          <t>S18</t>
        </is>
      </c>
      <c r="E360" s="3" t="inlineStr">
        <is>
          <t>Bloqueia até aceite; sequência conservadora dentro do sprint</t>
        </is>
      </c>
    </row>
    <row r="361" ht="28" customHeight="1">
      <c r="A361" s="3" t="inlineStr">
        <is>
          <t>SL-S18-01</t>
        </is>
      </c>
      <c r="B361" s="3" t="inlineStr">
        <is>
          <t>SL-S18-02</t>
        </is>
      </c>
      <c r="C361" s="3" t="inlineStr">
        <is>
          <t>S18</t>
        </is>
      </c>
      <c r="D361" s="3" t="inlineStr">
        <is>
          <t>S18</t>
        </is>
      </c>
      <c r="E361" s="3" t="inlineStr">
        <is>
          <t>Bloqueia até aceite; sequência conservadora dentro do sprint</t>
        </is>
      </c>
    </row>
    <row r="362" ht="28" customHeight="1">
      <c r="A362" s="3" t="inlineStr">
        <is>
          <t>SL-S18-02</t>
        </is>
      </c>
      <c r="B362" s="3" t="inlineStr">
        <is>
          <t>SL-S18-03</t>
        </is>
      </c>
      <c r="C362" s="3" t="inlineStr">
        <is>
          <t>S18</t>
        </is>
      </c>
      <c r="D362" s="3" t="inlineStr">
        <is>
          <t>S18</t>
        </is>
      </c>
      <c r="E362" s="3" t="inlineStr">
        <is>
          <t>Bloqueia até aceite; sequência conservadora dentro do sprint</t>
        </is>
      </c>
    </row>
    <row r="363" ht="28" customHeight="1">
      <c r="A363" s="3" t="inlineStr">
        <is>
          <t>SL-S18-03</t>
        </is>
      </c>
      <c r="B363" s="3" t="inlineStr">
        <is>
          <t>SL-S18-04</t>
        </is>
      </c>
      <c r="C363" s="3" t="inlineStr">
        <is>
          <t>S18</t>
        </is>
      </c>
      <c r="D363" s="3" t="inlineStr">
        <is>
          <t>S18</t>
        </is>
      </c>
      <c r="E363" s="3" t="inlineStr">
        <is>
          <t>Bloqueia até aceite; sequência conservadora dentro do sprint</t>
        </is>
      </c>
    </row>
    <row r="364" ht="28" customHeight="1">
      <c r="A364" s="3" t="inlineStr">
        <is>
          <t>SL-S18-04</t>
        </is>
      </c>
      <c r="B364" s="3" t="inlineStr">
        <is>
          <t>SL-S18-05</t>
        </is>
      </c>
      <c r="C364" s="3" t="inlineStr">
        <is>
          <t>S18</t>
        </is>
      </c>
      <c r="D364" s="3" t="inlineStr">
        <is>
          <t>S18</t>
        </is>
      </c>
      <c r="E364" s="3" t="inlineStr">
        <is>
          <t>Bloqueia até aceite; sequência conservadora dentro do sprint</t>
        </is>
      </c>
    </row>
    <row r="365" ht="28" customHeight="1">
      <c r="A365" s="3" t="inlineStr">
        <is>
          <t>SL-S18-05</t>
        </is>
      </c>
      <c r="B365" s="3" t="inlineStr">
        <is>
          <t>SL-S18-06</t>
        </is>
      </c>
      <c r="C365" s="3" t="inlineStr">
        <is>
          <t>S18</t>
        </is>
      </c>
      <c r="D365" s="3" t="inlineStr">
        <is>
          <t>S18</t>
        </is>
      </c>
      <c r="E365" s="3" t="inlineStr">
        <is>
          <t>Bloqueia até aceite; sequência conservadora dentro do sprint</t>
        </is>
      </c>
    </row>
    <row r="366" ht="28" customHeight="1">
      <c r="A366" s="3" t="inlineStr">
        <is>
          <t>SL-S18-06</t>
        </is>
      </c>
      <c r="B366" s="3" t="inlineStr">
        <is>
          <t>SL-S18-07</t>
        </is>
      </c>
      <c r="C366" s="3" t="inlineStr">
        <is>
          <t>S18</t>
        </is>
      </c>
      <c r="D366" s="3" t="inlineStr">
        <is>
          <t>S18</t>
        </is>
      </c>
      <c r="E366" s="3" t="inlineStr">
        <is>
          <t>Bloqueia até aceite; sequência conservadora dentro do sprint</t>
        </is>
      </c>
    </row>
    <row r="367" ht="28" customHeight="1">
      <c r="A367" s="3" t="inlineStr">
        <is>
          <t>SL-S18-07</t>
        </is>
      </c>
      <c r="B367" s="3" t="inlineStr">
        <is>
          <t>SL-S18-08</t>
        </is>
      </c>
      <c r="C367" s="3" t="inlineStr">
        <is>
          <t>S18</t>
        </is>
      </c>
      <c r="D367" s="3" t="inlineStr">
        <is>
          <t>S18</t>
        </is>
      </c>
      <c r="E367" s="3" t="inlineStr">
        <is>
          <t>Bloqueia até aceite; sequência conservadora dentro do sprint</t>
        </is>
      </c>
    </row>
    <row r="368" ht="28" customHeight="1">
      <c r="A368" s="3" t="inlineStr">
        <is>
          <t>SL-S18-08</t>
        </is>
      </c>
      <c r="B368" s="3" t="inlineStr">
        <is>
          <t>SL-S18-09</t>
        </is>
      </c>
      <c r="C368" s="3" t="inlineStr">
        <is>
          <t>S18</t>
        </is>
      </c>
      <c r="D368" s="3" t="inlineStr">
        <is>
          <t>S18</t>
        </is>
      </c>
      <c r="E368" s="3" t="inlineStr">
        <is>
          <t>Bloqueia até aceite; sequência conservadora dentro do sprint</t>
        </is>
      </c>
    </row>
    <row r="369" ht="28" customHeight="1">
      <c r="A369" s="3" t="inlineStr">
        <is>
          <t>SL-S18-09</t>
        </is>
      </c>
      <c r="B369" s="3" t="inlineStr">
        <is>
          <t>SL-S18-10</t>
        </is>
      </c>
      <c r="C369" s="3" t="inlineStr">
        <is>
          <t>S18</t>
        </is>
      </c>
      <c r="D369" s="3" t="inlineStr">
        <is>
          <t>S18</t>
        </is>
      </c>
      <c r="E369" s="3" t="inlineStr">
        <is>
          <t>Bloqueia até aceite; sequência conservadora dentro do sprint</t>
        </is>
      </c>
    </row>
    <row r="370" ht="28" customHeight="1">
      <c r="A370" s="3" t="inlineStr">
        <is>
          <t>SL-S18-01</t>
        </is>
      </c>
      <c r="B370" s="3" t="inlineStr">
        <is>
          <t>SL-S18-GATE</t>
        </is>
      </c>
      <c r="C370" s="3" t="inlineStr">
        <is>
          <t>S18</t>
        </is>
      </c>
      <c r="D370" s="3" t="inlineStr">
        <is>
          <t>S18</t>
        </is>
      </c>
      <c r="E370" s="3" t="inlineStr">
        <is>
          <t>Bloqueia até aceite; sequência conservadora dentro do sprint</t>
        </is>
      </c>
    </row>
    <row r="371" ht="28" customHeight="1">
      <c r="A371" s="3" t="inlineStr">
        <is>
          <t>SL-S18-02</t>
        </is>
      </c>
      <c r="B371" s="3" t="inlineStr">
        <is>
          <t>SL-S18-GATE</t>
        </is>
      </c>
      <c r="C371" s="3" t="inlineStr">
        <is>
          <t>S18</t>
        </is>
      </c>
      <c r="D371" s="3" t="inlineStr">
        <is>
          <t>S18</t>
        </is>
      </c>
      <c r="E371" s="3" t="inlineStr">
        <is>
          <t>Bloqueia até aceite; sequência conservadora dentro do sprint</t>
        </is>
      </c>
    </row>
    <row r="372" ht="28" customHeight="1">
      <c r="A372" s="3" t="inlineStr">
        <is>
          <t>SL-S18-03</t>
        </is>
      </c>
      <c r="B372" s="3" t="inlineStr">
        <is>
          <t>SL-S18-GATE</t>
        </is>
      </c>
      <c r="C372" s="3" t="inlineStr">
        <is>
          <t>S18</t>
        </is>
      </c>
      <c r="D372" s="3" t="inlineStr">
        <is>
          <t>S18</t>
        </is>
      </c>
      <c r="E372" s="3" t="inlineStr">
        <is>
          <t>Bloqueia até aceite; sequência conservadora dentro do sprint</t>
        </is>
      </c>
    </row>
    <row r="373" ht="28" customHeight="1">
      <c r="A373" s="3" t="inlineStr">
        <is>
          <t>SL-S18-04</t>
        </is>
      </c>
      <c r="B373" s="3" t="inlineStr">
        <is>
          <t>SL-S18-GATE</t>
        </is>
      </c>
      <c r="C373" s="3" t="inlineStr">
        <is>
          <t>S18</t>
        </is>
      </c>
      <c r="D373" s="3" t="inlineStr">
        <is>
          <t>S18</t>
        </is>
      </c>
      <c r="E373" s="3" t="inlineStr">
        <is>
          <t>Bloqueia até aceite; sequência conservadora dentro do sprint</t>
        </is>
      </c>
    </row>
    <row r="374" ht="28" customHeight="1">
      <c r="A374" s="3" t="inlineStr">
        <is>
          <t>SL-S18-05</t>
        </is>
      </c>
      <c r="B374" s="3" t="inlineStr">
        <is>
          <t>SL-S18-GATE</t>
        </is>
      </c>
      <c r="C374" s="3" t="inlineStr">
        <is>
          <t>S18</t>
        </is>
      </c>
      <c r="D374" s="3" t="inlineStr">
        <is>
          <t>S18</t>
        </is>
      </c>
      <c r="E374" s="3" t="inlineStr">
        <is>
          <t>Bloqueia até aceite; sequência conservadora dentro do sprint</t>
        </is>
      </c>
    </row>
    <row r="375" ht="28" customHeight="1">
      <c r="A375" s="3" t="inlineStr">
        <is>
          <t>SL-S18-06</t>
        </is>
      </c>
      <c r="B375" s="3" t="inlineStr">
        <is>
          <t>SL-S18-GATE</t>
        </is>
      </c>
      <c r="C375" s="3" t="inlineStr">
        <is>
          <t>S18</t>
        </is>
      </c>
      <c r="D375" s="3" t="inlineStr">
        <is>
          <t>S18</t>
        </is>
      </c>
      <c r="E375" s="3" t="inlineStr">
        <is>
          <t>Bloqueia até aceite; sequência conservadora dentro do sprint</t>
        </is>
      </c>
    </row>
    <row r="376" ht="28" customHeight="1">
      <c r="A376" s="3" t="inlineStr">
        <is>
          <t>SL-S18-07</t>
        </is>
      </c>
      <c r="B376" s="3" t="inlineStr">
        <is>
          <t>SL-S18-GATE</t>
        </is>
      </c>
      <c r="C376" s="3" t="inlineStr">
        <is>
          <t>S18</t>
        </is>
      </c>
      <c r="D376" s="3" t="inlineStr">
        <is>
          <t>S18</t>
        </is>
      </c>
      <c r="E376" s="3" t="inlineStr">
        <is>
          <t>Bloqueia até aceite; sequência conservadora dentro do sprint</t>
        </is>
      </c>
    </row>
    <row r="377" ht="28" customHeight="1">
      <c r="A377" s="3" t="inlineStr">
        <is>
          <t>SL-S18-08</t>
        </is>
      </c>
      <c r="B377" s="3" t="inlineStr">
        <is>
          <t>SL-S18-GATE</t>
        </is>
      </c>
      <c r="C377" s="3" t="inlineStr">
        <is>
          <t>S18</t>
        </is>
      </c>
      <c r="D377" s="3" t="inlineStr">
        <is>
          <t>S18</t>
        </is>
      </c>
      <c r="E377" s="3" t="inlineStr">
        <is>
          <t>Bloqueia até aceite; sequência conservadora dentro do sprint</t>
        </is>
      </c>
    </row>
    <row r="378" ht="28" customHeight="1">
      <c r="A378" s="3" t="inlineStr">
        <is>
          <t>SL-S18-09</t>
        </is>
      </c>
      <c r="B378" s="3" t="inlineStr">
        <is>
          <t>SL-S18-GATE</t>
        </is>
      </c>
      <c r="C378" s="3" t="inlineStr">
        <is>
          <t>S18</t>
        </is>
      </c>
      <c r="D378" s="3" t="inlineStr">
        <is>
          <t>S18</t>
        </is>
      </c>
      <c r="E378" s="3" t="inlineStr">
        <is>
          <t>Bloqueia até aceite; sequência conservadora dentro do sprint</t>
        </is>
      </c>
    </row>
    <row r="379" ht="28" customHeight="1">
      <c r="A379" s="3" t="inlineStr">
        <is>
          <t>SL-S18-10</t>
        </is>
      </c>
      <c r="B379" s="3" t="inlineStr">
        <is>
          <t>SL-S18-GATE</t>
        </is>
      </c>
      <c r="C379" s="3" t="inlineStr">
        <is>
          <t>S18</t>
        </is>
      </c>
      <c r="D379" s="3" t="inlineStr">
        <is>
          <t>S18</t>
        </is>
      </c>
      <c r="E379" s="3" t="inlineStr">
        <is>
          <t>Bloqueia até aceite; sequência conservadora dentro do sprint</t>
        </is>
      </c>
    </row>
    <row r="380" ht="28" customHeight="1">
      <c r="A380" s="3" t="inlineStr">
        <is>
          <t>SL-S16-GATE</t>
        </is>
      </c>
      <c r="B380" s="3" t="inlineStr">
        <is>
          <t>SL-S19-01</t>
        </is>
      </c>
      <c r="C380" s="3" t="inlineStr">
        <is>
          <t>S16</t>
        </is>
      </c>
      <c r="D380" s="3" t="inlineStr">
        <is>
          <t>S19</t>
        </is>
      </c>
      <c r="E380" s="3" t="inlineStr">
        <is>
          <t>Bloqueia até aceite; sequência conservadora dentro do sprint</t>
        </is>
      </c>
    </row>
    <row r="381" ht="28" customHeight="1">
      <c r="A381" s="3" t="inlineStr">
        <is>
          <t>SL-S17-GATE</t>
        </is>
      </c>
      <c r="B381" s="3" t="inlineStr">
        <is>
          <t>SL-S19-01</t>
        </is>
      </c>
      <c r="C381" s="3" t="inlineStr">
        <is>
          <t>S17</t>
        </is>
      </c>
      <c r="D381" s="3" t="inlineStr">
        <is>
          <t>S19</t>
        </is>
      </c>
      <c r="E381" s="3" t="inlineStr">
        <is>
          <t>Bloqueia até aceite; sequência conservadora dentro do sprint</t>
        </is>
      </c>
    </row>
    <row r="382" ht="28" customHeight="1">
      <c r="A382" s="3" t="inlineStr">
        <is>
          <t>SL-S18-GATE</t>
        </is>
      </c>
      <c r="B382" s="3" t="inlineStr">
        <is>
          <t>SL-S19-01</t>
        </is>
      </c>
      <c r="C382" s="3" t="inlineStr">
        <is>
          <t>S18</t>
        </is>
      </c>
      <c r="D382" s="3" t="inlineStr">
        <is>
          <t>S19</t>
        </is>
      </c>
      <c r="E382" s="3" t="inlineStr">
        <is>
          <t>Bloqueia até aceite; sequência conservadora dentro do sprint</t>
        </is>
      </c>
    </row>
    <row r="383" ht="28" customHeight="1">
      <c r="A383" s="3" t="inlineStr">
        <is>
          <t>SL-S19-01</t>
        </is>
      </c>
      <c r="B383" s="3" t="inlineStr">
        <is>
          <t>SL-S19-02</t>
        </is>
      </c>
      <c r="C383" s="3" t="inlineStr">
        <is>
          <t>S19</t>
        </is>
      </c>
      <c r="D383" s="3" t="inlineStr">
        <is>
          <t>S19</t>
        </is>
      </c>
      <c r="E383" s="3" t="inlineStr">
        <is>
          <t>Bloqueia até aceite; sequência conservadora dentro do sprint</t>
        </is>
      </c>
    </row>
    <row r="384" ht="28" customHeight="1">
      <c r="A384" s="3" t="inlineStr">
        <is>
          <t>SL-S19-02</t>
        </is>
      </c>
      <c r="B384" s="3" t="inlineStr">
        <is>
          <t>SL-S19-03</t>
        </is>
      </c>
      <c r="C384" s="3" t="inlineStr">
        <is>
          <t>S19</t>
        </is>
      </c>
      <c r="D384" s="3" t="inlineStr">
        <is>
          <t>S19</t>
        </is>
      </c>
      <c r="E384" s="3" t="inlineStr">
        <is>
          <t>Bloqueia até aceite; sequência conservadora dentro do sprint</t>
        </is>
      </c>
    </row>
    <row r="385" ht="28" customHeight="1">
      <c r="A385" s="3" t="inlineStr">
        <is>
          <t>SL-S19-03</t>
        </is>
      </c>
      <c r="B385" s="3" t="inlineStr">
        <is>
          <t>SL-S19-04</t>
        </is>
      </c>
      <c r="C385" s="3" t="inlineStr">
        <is>
          <t>S19</t>
        </is>
      </c>
      <c r="D385" s="3" t="inlineStr">
        <is>
          <t>S19</t>
        </is>
      </c>
      <c r="E385" s="3" t="inlineStr">
        <is>
          <t>Bloqueia até aceite; sequência conservadora dentro do sprint</t>
        </is>
      </c>
    </row>
    <row r="386" ht="28" customHeight="1">
      <c r="A386" s="3" t="inlineStr">
        <is>
          <t>SL-S19-04</t>
        </is>
      </c>
      <c r="B386" s="3" t="inlineStr">
        <is>
          <t>SL-S19-05</t>
        </is>
      </c>
      <c r="C386" s="3" t="inlineStr">
        <is>
          <t>S19</t>
        </is>
      </c>
      <c r="D386" s="3" t="inlineStr">
        <is>
          <t>S19</t>
        </is>
      </c>
      <c r="E386" s="3" t="inlineStr">
        <is>
          <t>Bloqueia até aceite; sequência conservadora dentro do sprint</t>
        </is>
      </c>
    </row>
    <row r="387" ht="28" customHeight="1">
      <c r="A387" s="3" t="inlineStr">
        <is>
          <t>SL-S19-05</t>
        </is>
      </c>
      <c r="B387" s="3" t="inlineStr">
        <is>
          <t>SL-S19-06</t>
        </is>
      </c>
      <c r="C387" s="3" t="inlineStr">
        <is>
          <t>S19</t>
        </is>
      </c>
      <c r="D387" s="3" t="inlineStr">
        <is>
          <t>S19</t>
        </is>
      </c>
      <c r="E387" s="3" t="inlineStr">
        <is>
          <t>Bloqueia até aceite; sequência conservadora dentro do sprint</t>
        </is>
      </c>
    </row>
    <row r="388" ht="28" customHeight="1">
      <c r="A388" s="3" t="inlineStr">
        <is>
          <t>SL-S19-06</t>
        </is>
      </c>
      <c r="B388" s="3" t="inlineStr">
        <is>
          <t>SL-S19-07</t>
        </is>
      </c>
      <c r="C388" s="3" t="inlineStr">
        <is>
          <t>S19</t>
        </is>
      </c>
      <c r="D388" s="3" t="inlineStr">
        <is>
          <t>S19</t>
        </is>
      </c>
      <c r="E388" s="3" t="inlineStr">
        <is>
          <t>Bloqueia até aceite; sequência conservadora dentro do sprint</t>
        </is>
      </c>
    </row>
    <row r="389" ht="28" customHeight="1">
      <c r="A389" s="3" t="inlineStr">
        <is>
          <t>SL-S19-07</t>
        </is>
      </c>
      <c r="B389" s="3" t="inlineStr">
        <is>
          <t>SL-S19-08</t>
        </is>
      </c>
      <c r="C389" s="3" t="inlineStr">
        <is>
          <t>S19</t>
        </is>
      </c>
      <c r="D389" s="3" t="inlineStr">
        <is>
          <t>S19</t>
        </is>
      </c>
      <c r="E389" s="3" t="inlineStr">
        <is>
          <t>Bloqueia até aceite; sequência conservadora dentro do sprint</t>
        </is>
      </c>
    </row>
    <row r="390" ht="28" customHeight="1">
      <c r="A390" s="3" t="inlineStr">
        <is>
          <t>SL-S19-08</t>
        </is>
      </c>
      <c r="B390" s="3" t="inlineStr">
        <is>
          <t>SL-S19-09</t>
        </is>
      </c>
      <c r="C390" s="3" t="inlineStr">
        <is>
          <t>S19</t>
        </is>
      </c>
      <c r="D390" s="3" t="inlineStr">
        <is>
          <t>S19</t>
        </is>
      </c>
      <c r="E390" s="3" t="inlineStr">
        <is>
          <t>Bloqueia até aceite; sequência conservadora dentro do sprint</t>
        </is>
      </c>
    </row>
    <row r="391" ht="28" customHeight="1">
      <c r="A391" s="3" t="inlineStr">
        <is>
          <t>SL-S19-09</t>
        </is>
      </c>
      <c r="B391" s="3" t="inlineStr">
        <is>
          <t>SL-S19-10</t>
        </is>
      </c>
      <c r="C391" s="3" t="inlineStr">
        <is>
          <t>S19</t>
        </is>
      </c>
      <c r="D391" s="3" t="inlineStr">
        <is>
          <t>S19</t>
        </is>
      </c>
      <c r="E391" s="3" t="inlineStr">
        <is>
          <t>Bloqueia até aceite; sequência conservadora dentro do sprint</t>
        </is>
      </c>
    </row>
    <row r="392" ht="28" customHeight="1">
      <c r="A392" s="3" t="inlineStr">
        <is>
          <t>SL-S19-01</t>
        </is>
      </c>
      <c r="B392" s="3" t="inlineStr">
        <is>
          <t>SL-S19-GATE</t>
        </is>
      </c>
      <c r="C392" s="3" t="inlineStr">
        <is>
          <t>S19</t>
        </is>
      </c>
      <c r="D392" s="3" t="inlineStr">
        <is>
          <t>S19</t>
        </is>
      </c>
      <c r="E392" s="3" t="inlineStr">
        <is>
          <t>Bloqueia até aceite; sequência conservadora dentro do sprint</t>
        </is>
      </c>
    </row>
    <row r="393" ht="28" customHeight="1">
      <c r="A393" s="3" t="inlineStr">
        <is>
          <t>SL-S19-02</t>
        </is>
      </c>
      <c r="B393" s="3" t="inlineStr">
        <is>
          <t>SL-S19-GATE</t>
        </is>
      </c>
      <c r="C393" s="3" t="inlineStr">
        <is>
          <t>S19</t>
        </is>
      </c>
      <c r="D393" s="3" t="inlineStr">
        <is>
          <t>S19</t>
        </is>
      </c>
      <c r="E393" s="3" t="inlineStr">
        <is>
          <t>Bloqueia até aceite; sequência conservadora dentro do sprint</t>
        </is>
      </c>
    </row>
    <row r="394" ht="28" customHeight="1">
      <c r="A394" s="3" t="inlineStr">
        <is>
          <t>SL-S19-03</t>
        </is>
      </c>
      <c r="B394" s="3" t="inlineStr">
        <is>
          <t>SL-S19-GATE</t>
        </is>
      </c>
      <c r="C394" s="3" t="inlineStr">
        <is>
          <t>S19</t>
        </is>
      </c>
      <c r="D394" s="3" t="inlineStr">
        <is>
          <t>S19</t>
        </is>
      </c>
      <c r="E394" s="3" t="inlineStr">
        <is>
          <t>Bloqueia até aceite; sequência conservadora dentro do sprint</t>
        </is>
      </c>
    </row>
    <row r="395" ht="28" customHeight="1">
      <c r="A395" s="3" t="inlineStr">
        <is>
          <t>SL-S19-04</t>
        </is>
      </c>
      <c r="B395" s="3" t="inlineStr">
        <is>
          <t>SL-S19-GATE</t>
        </is>
      </c>
      <c r="C395" s="3" t="inlineStr">
        <is>
          <t>S19</t>
        </is>
      </c>
      <c r="D395" s="3" t="inlineStr">
        <is>
          <t>S19</t>
        </is>
      </c>
      <c r="E395" s="3" t="inlineStr">
        <is>
          <t>Bloqueia até aceite; sequência conservadora dentro do sprint</t>
        </is>
      </c>
    </row>
    <row r="396" ht="28" customHeight="1">
      <c r="A396" s="3" t="inlineStr">
        <is>
          <t>SL-S19-05</t>
        </is>
      </c>
      <c r="B396" s="3" t="inlineStr">
        <is>
          <t>SL-S19-GATE</t>
        </is>
      </c>
      <c r="C396" s="3" t="inlineStr">
        <is>
          <t>S19</t>
        </is>
      </c>
      <c r="D396" s="3" t="inlineStr">
        <is>
          <t>S19</t>
        </is>
      </c>
      <c r="E396" s="3" t="inlineStr">
        <is>
          <t>Bloqueia até aceite; sequência conservadora dentro do sprint</t>
        </is>
      </c>
    </row>
    <row r="397" ht="28" customHeight="1">
      <c r="A397" s="3" t="inlineStr">
        <is>
          <t>SL-S19-06</t>
        </is>
      </c>
      <c r="B397" s="3" t="inlineStr">
        <is>
          <t>SL-S19-GATE</t>
        </is>
      </c>
      <c r="C397" s="3" t="inlineStr">
        <is>
          <t>S19</t>
        </is>
      </c>
      <c r="D397" s="3" t="inlineStr">
        <is>
          <t>S19</t>
        </is>
      </c>
      <c r="E397" s="3" t="inlineStr">
        <is>
          <t>Bloqueia até aceite; sequência conservadora dentro do sprint</t>
        </is>
      </c>
    </row>
    <row r="398" ht="28" customHeight="1">
      <c r="A398" s="3" t="inlineStr">
        <is>
          <t>SL-S19-07</t>
        </is>
      </c>
      <c r="B398" s="3" t="inlineStr">
        <is>
          <t>SL-S19-GATE</t>
        </is>
      </c>
      <c r="C398" s="3" t="inlineStr">
        <is>
          <t>S19</t>
        </is>
      </c>
      <c r="D398" s="3" t="inlineStr">
        <is>
          <t>S19</t>
        </is>
      </c>
      <c r="E398" s="3" t="inlineStr">
        <is>
          <t>Bloqueia até aceite; sequência conservadora dentro do sprint</t>
        </is>
      </c>
    </row>
    <row r="399" ht="28" customHeight="1">
      <c r="A399" s="3" t="inlineStr">
        <is>
          <t>SL-S19-08</t>
        </is>
      </c>
      <c r="B399" s="3" t="inlineStr">
        <is>
          <t>SL-S19-GATE</t>
        </is>
      </c>
      <c r="C399" s="3" t="inlineStr">
        <is>
          <t>S19</t>
        </is>
      </c>
      <c r="D399" s="3" t="inlineStr">
        <is>
          <t>S19</t>
        </is>
      </c>
      <c r="E399" s="3" t="inlineStr">
        <is>
          <t>Bloqueia até aceite; sequência conservadora dentro do sprint</t>
        </is>
      </c>
    </row>
    <row r="400" ht="28" customHeight="1">
      <c r="A400" s="3" t="inlineStr">
        <is>
          <t>SL-S19-09</t>
        </is>
      </c>
      <c r="B400" s="3" t="inlineStr">
        <is>
          <t>SL-S19-GATE</t>
        </is>
      </c>
      <c r="C400" s="3" t="inlineStr">
        <is>
          <t>S19</t>
        </is>
      </c>
      <c r="D400" s="3" t="inlineStr">
        <is>
          <t>S19</t>
        </is>
      </c>
      <c r="E400" s="3" t="inlineStr">
        <is>
          <t>Bloqueia até aceite; sequência conservadora dentro do sprint</t>
        </is>
      </c>
    </row>
    <row r="401" ht="28" customHeight="1">
      <c r="A401" s="3" t="inlineStr">
        <is>
          <t>SL-S19-10</t>
        </is>
      </c>
      <c r="B401" s="3" t="inlineStr">
        <is>
          <t>SL-S19-GATE</t>
        </is>
      </c>
      <c r="C401" s="3" t="inlineStr">
        <is>
          <t>S19</t>
        </is>
      </c>
      <c r="D401" s="3" t="inlineStr">
        <is>
          <t>S19</t>
        </is>
      </c>
      <c r="E401" s="3" t="inlineStr">
        <is>
          <t>Bloqueia até aceite; sequência conservadora dentro do sprint</t>
        </is>
      </c>
    </row>
    <row r="402" ht="28" customHeight="1">
      <c r="A402" s="3" t="inlineStr">
        <is>
          <t>SL-S15-GATE</t>
        </is>
      </c>
      <c r="B402" s="3" t="inlineStr">
        <is>
          <t>SL-S20-01</t>
        </is>
      </c>
      <c r="C402" s="3" t="inlineStr">
        <is>
          <t>S15</t>
        </is>
      </c>
      <c r="D402" s="3" t="inlineStr">
        <is>
          <t>S20</t>
        </is>
      </c>
      <c r="E402" s="3" t="inlineStr">
        <is>
          <t>Bloqueia até aceite; sequência conservadora dentro do sprint</t>
        </is>
      </c>
    </row>
    <row r="403" ht="28" customHeight="1">
      <c r="A403" s="3" t="inlineStr">
        <is>
          <t>SL-S19-GATE</t>
        </is>
      </c>
      <c r="B403" s="3" t="inlineStr">
        <is>
          <t>SL-S20-01</t>
        </is>
      </c>
      <c r="C403" s="3" t="inlineStr">
        <is>
          <t>S19</t>
        </is>
      </c>
      <c r="D403" s="3" t="inlineStr">
        <is>
          <t>S20</t>
        </is>
      </c>
      <c r="E403" s="3" t="inlineStr">
        <is>
          <t>Bloqueia até aceite; sequência conservadora dentro do sprint</t>
        </is>
      </c>
    </row>
    <row r="404" ht="28" customHeight="1">
      <c r="A404" s="3" t="inlineStr">
        <is>
          <t>SL-S20-01</t>
        </is>
      </c>
      <c r="B404" s="3" t="inlineStr">
        <is>
          <t>SL-S20-02</t>
        </is>
      </c>
      <c r="C404" s="3" t="inlineStr">
        <is>
          <t>S20</t>
        </is>
      </c>
      <c r="D404" s="3" t="inlineStr">
        <is>
          <t>S20</t>
        </is>
      </c>
      <c r="E404" s="3" t="inlineStr">
        <is>
          <t>Bloqueia até aceite; sequência conservadora dentro do sprint</t>
        </is>
      </c>
    </row>
    <row r="405" ht="28" customHeight="1">
      <c r="A405" s="3" t="inlineStr">
        <is>
          <t>SL-S20-02</t>
        </is>
      </c>
      <c r="B405" s="3" t="inlineStr">
        <is>
          <t>SL-S20-03</t>
        </is>
      </c>
      <c r="C405" s="3" t="inlineStr">
        <is>
          <t>S20</t>
        </is>
      </c>
      <c r="D405" s="3" t="inlineStr">
        <is>
          <t>S20</t>
        </is>
      </c>
      <c r="E405" s="3" t="inlineStr">
        <is>
          <t>Bloqueia até aceite; sequência conservadora dentro do sprint</t>
        </is>
      </c>
    </row>
    <row r="406" ht="28" customHeight="1">
      <c r="A406" s="3" t="inlineStr">
        <is>
          <t>SL-S20-03</t>
        </is>
      </c>
      <c r="B406" s="3" t="inlineStr">
        <is>
          <t>SL-S20-04</t>
        </is>
      </c>
      <c r="C406" s="3" t="inlineStr">
        <is>
          <t>S20</t>
        </is>
      </c>
      <c r="D406" s="3" t="inlineStr">
        <is>
          <t>S20</t>
        </is>
      </c>
      <c r="E406" s="3" t="inlineStr">
        <is>
          <t>Bloqueia até aceite; sequência conservadora dentro do sprint</t>
        </is>
      </c>
    </row>
    <row r="407" ht="28" customHeight="1">
      <c r="A407" s="3" t="inlineStr">
        <is>
          <t>SL-S20-04</t>
        </is>
      </c>
      <c r="B407" s="3" t="inlineStr">
        <is>
          <t>SL-S20-05</t>
        </is>
      </c>
      <c r="C407" s="3" t="inlineStr">
        <is>
          <t>S20</t>
        </is>
      </c>
      <c r="D407" s="3" t="inlineStr">
        <is>
          <t>S20</t>
        </is>
      </c>
      <c r="E407" s="3" t="inlineStr">
        <is>
          <t>Bloqueia até aceite; sequência conservadora dentro do sprint</t>
        </is>
      </c>
    </row>
    <row r="408" ht="28" customHeight="1">
      <c r="A408" s="3" t="inlineStr">
        <is>
          <t>SL-S20-05</t>
        </is>
      </c>
      <c r="B408" s="3" t="inlineStr">
        <is>
          <t>SL-S20-06</t>
        </is>
      </c>
      <c r="C408" s="3" t="inlineStr">
        <is>
          <t>S20</t>
        </is>
      </c>
      <c r="D408" s="3" t="inlineStr">
        <is>
          <t>S20</t>
        </is>
      </c>
      <c r="E408" s="3" t="inlineStr">
        <is>
          <t>Bloqueia até aceite; sequência conservadora dentro do sprint</t>
        </is>
      </c>
    </row>
    <row r="409" ht="28" customHeight="1">
      <c r="A409" s="3" t="inlineStr">
        <is>
          <t>SL-S20-06</t>
        </is>
      </c>
      <c r="B409" s="3" t="inlineStr">
        <is>
          <t>SL-S20-07</t>
        </is>
      </c>
      <c r="C409" s="3" t="inlineStr">
        <is>
          <t>S20</t>
        </is>
      </c>
      <c r="D409" s="3" t="inlineStr">
        <is>
          <t>S20</t>
        </is>
      </c>
      <c r="E409" s="3" t="inlineStr">
        <is>
          <t>Bloqueia até aceite; sequência conservadora dentro do sprint</t>
        </is>
      </c>
    </row>
    <row r="410" ht="28" customHeight="1">
      <c r="A410" s="3" t="inlineStr">
        <is>
          <t>SL-S20-07</t>
        </is>
      </c>
      <c r="B410" s="3" t="inlineStr">
        <is>
          <t>SL-S20-08</t>
        </is>
      </c>
      <c r="C410" s="3" t="inlineStr">
        <is>
          <t>S20</t>
        </is>
      </c>
      <c r="D410" s="3" t="inlineStr">
        <is>
          <t>S20</t>
        </is>
      </c>
      <c r="E410" s="3" t="inlineStr">
        <is>
          <t>Bloqueia até aceite; sequência conservadora dentro do sprint</t>
        </is>
      </c>
    </row>
    <row r="411" ht="28" customHeight="1">
      <c r="A411" s="3" t="inlineStr">
        <is>
          <t>SL-S20-08</t>
        </is>
      </c>
      <c r="B411" s="3" t="inlineStr">
        <is>
          <t>SL-S20-09</t>
        </is>
      </c>
      <c r="C411" s="3" t="inlineStr">
        <is>
          <t>S20</t>
        </is>
      </c>
      <c r="D411" s="3" t="inlineStr">
        <is>
          <t>S20</t>
        </is>
      </c>
      <c r="E411" s="3" t="inlineStr">
        <is>
          <t>Bloqueia até aceite; sequência conservadora dentro do sprint</t>
        </is>
      </c>
    </row>
    <row r="412" ht="28" customHeight="1">
      <c r="A412" s="3" t="inlineStr">
        <is>
          <t>SL-S20-09</t>
        </is>
      </c>
      <c r="B412" s="3" t="inlineStr">
        <is>
          <t>SL-S20-10</t>
        </is>
      </c>
      <c r="C412" s="3" t="inlineStr">
        <is>
          <t>S20</t>
        </is>
      </c>
      <c r="D412" s="3" t="inlineStr">
        <is>
          <t>S20</t>
        </is>
      </c>
      <c r="E412" s="3" t="inlineStr">
        <is>
          <t>Bloqueia até aceite; sequência conservadora dentro do sprint</t>
        </is>
      </c>
    </row>
    <row r="413" ht="28" customHeight="1">
      <c r="A413" s="3" t="inlineStr">
        <is>
          <t>SL-S20-01</t>
        </is>
      </c>
      <c r="B413" s="3" t="inlineStr">
        <is>
          <t>SL-S20-GATE</t>
        </is>
      </c>
      <c r="C413" s="3" t="inlineStr">
        <is>
          <t>S20</t>
        </is>
      </c>
      <c r="D413" s="3" t="inlineStr">
        <is>
          <t>S20</t>
        </is>
      </c>
      <c r="E413" s="3" t="inlineStr">
        <is>
          <t>Bloqueia até aceite; sequência conservadora dentro do sprint</t>
        </is>
      </c>
    </row>
    <row r="414" ht="28" customHeight="1">
      <c r="A414" s="3" t="inlineStr">
        <is>
          <t>SL-S20-02</t>
        </is>
      </c>
      <c r="B414" s="3" t="inlineStr">
        <is>
          <t>SL-S20-GATE</t>
        </is>
      </c>
      <c r="C414" s="3" t="inlineStr">
        <is>
          <t>S20</t>
        </is>
      </c>
      <c r="D414" s="3" t="inlineStr">
        <is>
          <t>S20</t>
        </is>
      </c>
      <c r="E414" s="3" t="inlineStr">
        <is>
          <t>Bloqueia até aceite; sequência conservadora dentro do sprint</t>
        </is>
      </c>
    </row>
    <row r="415" ht="28" customHeight="1">
      <c r="A415" s="3" t="inlineStr">
        <is>
          <t>SL-S20-03</t>
        </is>
      </c>
      <c r="B415" s="3" t="inlineStr">
        <is>
          <t>SL-S20-GATE</t>
        </is>
      </c>
      <c r="C415" s="3" t="inlineStr">
        <is>
          <t>S20</t>
        </is>
      </c>
      <c r="D415" s="3" t="inlineStr">
        <is>
          <t>S20</t>
        </is>
      </c>
      <c r="E415" s="3" t="inlineStr">
        <is>
          <t>Bloqueia até aceite; sequência conservadora dentro do sprint</t>
        </is>
      </c>
    </row>
    <row r="416" ht="28" customHeight="1">
      <c r="A416" s="3" t="inlineStr">
        <is>
          <t>SL-S20-04</t>
        </is>
      </c>
      <c r="B416" s="3" t="inlineStr">
        <is>
          <t>SL-S20-GATE</t>
        </is>
      </c>
      <c r="C416" s="3" t="inlineStr">
        <is>
          <t>S20</t>
        </is>
      </c>
      <c r="D416" s="3" t="inlineStr">
        <is>
          <t>S20</t>
        </is>
      </c>
      <c r="E416" s="3" t="inlineStr">
        <is>
          <t>Bloqueia até aceite; sequência conservadora dentro do sprint</t>
        </is>
      </c>
    </row>
    <row r="417" ht="28" customHeight="1">
      <c r="A417" s="3" t="inlineStr">
        <is>
          <t>SL-S20-05</t>
        </is>
      </c>
      <c r="B417" s="3" t="inlineStr">
        <is>
          <t>SL-S20-GATE</t>
        </is>
      </c>
      <c r="C417" s="3" t="inlineStr">
        <is>
          <t>S20</t>
        </is>
      </c>
      <c r="D417" s="3" t="inlineStr">
        <is>
          <t>S20</t>
        </is>
      </c>
      <c r="E417" s="3" t="inlineStr">
        <is>
          <t>Bloqueia até aceite; sequência conservadora dentro do sprint</t>
        </is>
      </c>
    </row>
    <row r="418" ht="28" customHeight="1">
      <c r="A418" s="3" t="inlineStr">
        <is>
          <t>SL-S20-06</t>
        </is>
      </c>
      <c r="B418" s="3" t="inlineStr">
        <is>
          <t>SL-S20-GATE</t>
        </is>
      </c>
      <c r="C418" s="3" t="inlineStr">
        <is>
          <t>S20</t>
        </is>
      </c>
      <c r="D418" s="3" t="inlineStr">
        <is>
          <t>S20</t>
        </is>
      </c>
      <c r="E418" s="3" t="inlineStr">
        <is>
          <t>Bloqueia até aceite; sequência conservadora dentro do sprint</t>
        </is>
      </c>
    </row>
    <row r="419" ht="28" customHeight="1">
      <c r="A419" s="3" t="inlineStr">
        <is>
          <t>SL-S20-07</t>
        </is>
      </c>
      <c r="B419" s="3" t="inlineStr">
        <is>
          <t>SL-S20-GATE</t>
        </is>
      </c>
      <c r="C419" s="3" t="inlineStr">
        <is>
          <t>S20</t>
        </is>
      </c>
      <c r="D419" s="3" t="inlineStr">
        <is>
          <t>S20</t>
        </is>
      </c>
      <c r="E419" s="3" t="inlineStr">
        <is>
          <t>Bloqueia até aceite; sequência conservadora dentro do sprint</t>
        </is>
      </c>
    </row>
    <row r="420" ht="28" customHeight="1">
      <c r="A420" s="3" t="inlineStr">
        <is>
          <t>SL-S20-08</t>
        </is>
      </c>
      <c r="B420" s="3" t="inlineStr">
        <is>
          <t>SL-S20-GATE</t>
        </is>
      </c>
      <c r="C420" s="3" t="inlineStr">
        <is>
          <t>S20</t>
        </is>
      </c>
      <c r="D420" s="3" t="inlineStr">
        <is>
          <t>S20</t>
        </is>
      </c>
      <c r="E420" s="3" t="inlineStr">
        <is>
          <t>Bloqueia até aceite; sequência conservadora dentro do sprint</t>
        </is>
      </c>
    </row>
    <row r="421" ht="28" customHeight="1">
      <c r="A421" s="3" t="inlineStr">
        <is>
          <t>SL-S20-09</t>
        </is>
      </c>
      <c r="B421" s="3" t="inlineStr">
        <is>
          <t>SL-S20-GATE</t>
        </is>
      </c>
      <c r="C421" s="3" t="inlineStr">
        <is>
          <t>S20</t>
        </is>
      </c>
      <c r="D421" s="3" t="inlineStr">
        <is>
          <t>S20</t>
        </is>
      </c>
      <c r="E421" s="3" t="inlineStr">
        <is>
          <t>Bloqueia até aceite; sequência conservadora dentro do sprint</t>
        </is>
      </c>
    </row>
    <row r="422" ht="28" customHeight="1">
      <c r="A422" s="3" t="inlineStr">
        <is>
          <t>SL-S20-10</t>
        </is>
      </c>
      <c r="B422" s="3" t="inlineStr">
        <is>
          <t>SL-S20-GATE</t>
        </is>
      </c>
      <c r="C422" s="3" t="inlineStr">
        <is>
          <t>S20</t>
        </is>
      </c>
      <c r="D422" s="3" t="inlineStr">
        <is>
          <t>S20</t>
        </is>
      </c>
      <c r="E422" s="3" t="inlineStr">
        <is>
          <t>Bloqueia até aceite; sequência conservadora dentro do sprint</t>
        </is>
      </c>
    </row>
    <row r="423" ht="28" customHeight="1">
      <c r="A423" s="3" t="inlineStr">
        <is>
          <t>SL-S17-GATE</t>
        </is>
      </c>
      <c r="B423" s="3" t="inlineStr">
        <is>
          <t>SL-S21-01</t>
        </is>
      </c>
      <c r="C423" s="3" t="inlineStr">
        <is>
          <t>S17</t>
        </is>
      </c>
      <c r="D423" s="3" t="inlineStr">
        <is>
          <t>S21</t>
        </is>
      </c>
      <c r="E423" s="3" t="inlineStr">
        <is>
          <t>Bloqueia até aceite; sequência conservadora dentro do sprint</t>
        </is>
      </c>
    </row>
    <row r="424" ht="28" customHeight="1">
      <c r="A424" s="3" t="inlineStr">
        <is>
          <t>SL-S20-GATE</t>
        </is>
      </c>
      <c r="B424" s="3" t="inlineStr">
        <is>
          <t>SL-S21-01</t>
        </is>
      </c>
      <c r="C424" s="3" t="inlineStr">
        <is>
          <t>S20</t>
        </is>
      </c>
      <c r="D424" s="3" t="inlineStr">
        <is>
          <t>S21</t>
        </is>
      </c>
      <c r="E424" s="3" t="inlineStr">
        <is>
          <t>Bloqueia até aceite; sequência conservadora dentro do sprint</t>
        </is>
      </c>
    </row>
    <row r="425" ht="28" customHeight="1">
      <c r="A425" s="3" t="inlineStr">
        <is>
          <t>SL-S21-01</t>
        </is>
      </c>
      <c r="B425" s="3" t="inlineStr">
        <is>
          <t>SL-S21-02</t>
        </is>
      </c>
      <c r="C425" s="3" t="inlineStr">
        <is>
          <t>S21</t>
        </is>
      </c>
      <c r="D425" s="3" t="inlineStr">
        <is>
          <t>S21</t>
        </is>
      </c>
      <c r="E425" s="3" t="inlineStr">
        <is>
          <t>Bloqueia até aceite; sequência conservadora dentro do sprint</t>
        </is>
      </c>
    </row>
    <row r="426" ht="28" customHeight="1">
      <c r="A426" s="3" t="inlineStr">
        <is>
          <t>SL-S21-02</t>
        </is>
      </c>
      <c r="B426" s="3" t="inlineStr">
        <is>
          <t>SL-S21-03</t>
        </is>
      </c>
      <c r="C426" s="3" t="inlineStr">
        <is>
          <t>S21</t>
        </is>
      </c>
      <c r="D426" s="3" t="inlineStr">
        <is>
          <t>S21</t>
        </is>
      </c>
      <c r="E426" s="3" t="inlineStr">
        <is>
          <t>Bloqueia até aceite; sequência conservadora dentro do sprint</t>
        </is>
      </c>
    </row>
    <row r="427" ht="28" customHeight="1">
      <c r="A427" s="3" t="inlineStr">
        <is>
          <t>SL-S21-03</t>
        </is>
      </c>
      <c r="B427" s="3" t="inlineStr">
        <is>
          <t>SL-S21-04</t>
        </is>
      </c>
      <c r="C427" s="3" t="inlineStr">
        <is>
          <t>S21</t>
        </is>
      </c>
      <c r="D427" s="3" t="inlineStr">
        <is>
          <t>S21</t>
        </is>
      </c>
      <c r="E427" s="3" t="inlineStr">
        <is>
          <t>Bloqueia até aceite; sequência conservadora dentro do sprint</t>
        </is>
      </c>
    </row>
    <row r="428" ht="28" customHeight="1">
      <c r="A428" s="3" t="inlineStr">
        <is>
          <t>SL-S21-04</t>
        </is>
      </c>
      <c r="B428" s="3" t="inlineStr">
        <is>
          <t>SL-S21-05</t>
        </is>
      </c>
      <c r="C428" s="3" t="inlineStr">
        <is>
          <t>S21</t>
        </is>
      </c>
      <c r="D428" s="3" t="inlineStr">
        <is>
          <t>S21</t>
        </is>
      </c>
      <c r="E428" s="3" t="inlineStr">
        <is>
          <t>Bloqueia até aceite; sequência conservadora dentro do sprint</t>
        </is>
      </c>
    </row>
    <row r="429" ht="28" customHeight="1">
      <c r="A429" s="3" t="inlineStr">
        <is>
          <t>SL-S21-05</t>
        </is>
      </c>
      <c r="B429" s="3" t="inlineStr">
        <is>
          <t>SL-S21-06</t>
        </is>
      </c>
      <c r="C429" s="3" t="inlineStr">
        <is>
          <t>S21</t>
        </is>
      </c>
      <c r="D429" s="3" t="inlineStr">
        <is>
          <t>S21</t>
        </is>
      </c>
      <c r="E429" s="3" t="inlineStr">
        <is>
          <t>Bloqueia até aceite; sequência conservadora dentro do sprint</t>
        </is>
      </c>
    </row>
    <row r="430" ht="28" customHeight="1">
      <c r="A430" s="3" t="inlineStr">
        <is>
          <t>SL-S21-06</t>
        </is>
      </c>
      <c r="B430" s="3" t="inlineStr">
        <is>
          <t>SL-S21-07</t>
        </is>
      </c>
      <c r="C430" s="3" t="inlineStr">
        <is>
          <t>S21</t>
        </is>
      </c>
      <c r="D430" s="3" t="inlineStr">
        <is>
          <t>S21</t>
        </is>
      </c>
      <c r="E430" s="3" t="inlineStr">
        <is>
          <t>Bloqueia até aceite; sequência conservadora dentro do sprint</t>
        </is>
      </c>
    </row>
    <row r="431" ht="28" customHeight="1">
      <c r="A431" s="3" t="inlineStr">
        <is>
          <t>SL-S21-07</t>
        </is>
      </c>
      <c r="B431" s="3" t="inlineStr">
        <is>
          <t>SL-S21-08</t>
        </is>
      </c>
      <c r="C431" s="3" t="inlineStr">
        <is>
          <t>S21</t>
        </is>
      </c>
      <c r="D431" s="3" t="inlineStr">
        <is>
          <t>S21</t>
        </is>
      </c>
      <c r="E431" s="3" t="inlineStr">
        <is>
          <t>Bloqueia até aceite; sequência conservadora dentro do sprint</t>
        </is>
      </c>
    </row>
    <row r="432" ht="28" customHeight="1">
      <c r="A432" s="3" t="inlineStr">
        <is>
          <t>SL-S21-08</t>
        </is>
      </c>
      <c r="B432" s="3" t="inlineStr">
        <is>
          <t>SL-S21-09</t>
        </is>
      </c>
      <c r="C432" s="3" t="inlineStr">
        <is>
          <t>S21</t>
        </is>
      </c>
      <c r="D432" s="3" t="inlineStr">
        <is>
          <t>S21</t>
        </is>
      </c>
      <c r="E432" s="3" t="inlineStr">
        <is>
          <t>Bloqueia até aceite; sequência conservadora dentro do sprint</t>
        </is>
      </c>
    </row>
    <row r="433" ht="28" customHeight="1">
      <c r="A433" s="3" t="inlineStr">
        <is>
          <t>SL-S21-09</t>
        </is>
      </c>
      <c r="B433" s="3" t="inlineStr">
        <is>
          <t>SL-S21-10</t>
        </is>
      </c>
      <c r="C433" s="3" t="inlineStr">
        <is>
          <t>S21</t>
        </is>
      </c>
      <c r="D433" s="3" t="inlineStr">
        <is>
          <t>S21</t>
        </is>
      </c>
      <c r="E433" s="3" t="inlineStr">
        <is>
          <t>Bloqueia até aceite; sequência conservadora dentro do sprint</t>
        </is>
      </c>
    </row>
    <row r="434" ht="28" customHeight="1">
      <c r="A434" s="3" t="inlineStr">
        <is>
          <t>SL-S21-01</t>
        </is>
      </c>
      <c r="B434" s="3" t="inlineStr">
        <is>
          <t>SL-S21-GATE</t>
        </is>
      </c>
      <c r="C434" s="3" t="inlineStr">
        <is>
          <t>S21</t>
        </is>
      </c>
      <c r="D434" s="3" t="inlineStr">
        <is>
          <t>S21</t>
        </is>
      </c>
      <c r="E434" s="3" t="inlineStr">
        <is>
          <t>Bloqueia até aceite; sequência conservadora dentro do sprint</t>
        </is>
      </c>
    </row>
    <row r="435" ht="28" customHeight="1">
      <c r="A435" s="3" t="inlineStr">
        <is>
          <t>SL-S21-02</t>
        </is>
      </c>
      <c r="B435" s="3" t="inlineStr">
        <is>
          <t>SL-S21-GATE</t>
        </is>
      </c>
      <c r="C435" s="3" t="inlineStr">
        <is>
          <t>S21</t>
        </is>
      </c>
      <c r="D435" s="3" t="inlineStr">
        <is>
          <t>S21</t>
        </is>
      </c>
      <c r="E435" s="3" t="inlineStr">
        <is>
          <t>Bloqueia até aceite; sequência conservadora dentro do sprint</t>
        </is>
      </c>
    </row>
    <row r="436" ht="28" customHeight="1">
      <c r="A436" s="3" t="inlineStr">
        <is>
          <t>SL-S21-03</t>
        </is>
      </c>
      <c r="B436" s="3" t="inlineStr">
        <is>
          <t>SL-S21-GATE</t>
        </is>
      </c>
      <c r="C436" s="3" t="inlineStr">
        <is>
          <t>S21</t>
        </is>
      </c>
      <c r="D436" s="3" t="inlineStr">
        <is>
          <t>S21</t>
        </is>
      </c>
      <c r="E436" s="3" t="inlineStr">
        <is>
          <t>Bloqueia até aceite; sequência conservadora dentro do sprint</t>
        </is>
      </c>
    </row>
    <row r="437" ht="28" customHeight="1">
      <c r="A437" s="3" t="inlineStr">
        <is>
          <t>SL-S21-04</t>
        </is>
      </c>
      <c r="B437" s="3" t="inlineStr">
        <is>
          <t>SL-S21-GATE</t>
        </is>
      </c>
      <c r="C437" s="3" t="inlineStr">
        <is>
          <t>S21</t>
        </is>
      </c>
      <c r="D437" s="3" t="inlineStr">
        <is>
          <t>S21</t>
        </is>
      </c>
      <c r="E437" s="3" t="inlineStr">
        <is>
          <t>Bloqueia até aceite; sequência conservadora dentro do sprint</t>
        </is>
      </c>
    </row>
    <row r="438" ht="28" customHeight="1">
      <c r="A438" s="3" t="inlineStr">
        <is>
          <t>SL-S21-05</t>
        </is>
      </c>
      <c r="B438" s="3" t="inlineStr">
        <is>
          <t>SL-S21-GATE</t>
        </is>
      </c>
      <c r="C438" s="3" t="inlineStr">
        <is>
          <t>S21</t>
        </is>
      </c>
      <c r="D438" s="3" t="inlineStr">
        <is>
          <t>S21</t>
        </is>
      </c>
      <c r="E438" s="3" t="inlineStr">
        <is>
          <t>Bloqueia até aceite; sequência conservadora dentro do sprint</t>
        </is>
      </c>
    </row>
    <row r="439" ht="28" customHeight="1">
      <c r="A439" s="3" t="inlineStr">
        <is>
          <t>SL-S21-06</t>
        </is>
      </c>
      <c r="B439" s="3" t="inlineStr">
        <is>
          <t>SL-S21-GATE</t>
        </is>
      </c>
      <c r="C439" s="3" t="inlineStr">
        <is>
          <t>S21</t>
        </is>
      </c>
      <c r="D439" s="3" t="inlineStr">
        <is>
          <t>S21</t>
        </is>
      </c>
      <c r="E439" s="3" t="inlineStr">
        <is>
          <t>Bloqueia até aceite; sequência conservadora dentro do sprint</t>
        </is>
      </c>
    </row>
    <row r="440" ht="28" customHeight="1">
      <c r="A440" s="3" t="inlineStr">
        <is>
          <t>SL-S21-07</t>
        </is>
      </c>
      <c r="B440" s="3" t="inlineStr">
        <is>
          <t>SL-S21-GATE</t>
        </is>
      </c>
      <c r="C440" s="3" t="inlineStr">
        <is>
          <t>S21</t>
        </is>
      </c>
      <c r="D440" s="3" t="inlineStr">
        <is>
          <t>S21</t>
        </is>
      </c>
      <c r="E440" s="3" t="inlineStr">
        <is>
          <t>Bloqueia até aceite; sequência conservadora dentro do sprint</t>
        </is>
      </c>
    </row>
    <row r="441" ht="28" customHeight="1">
      <c r="A441" s="3" t="inlineStr">
        <is>
          <t>SL-S21-08</t>
        </is>
      </c>
      <c r="B441" s="3" t="inlineStr">
        <is>
          <t>SL-S21-GATE</t>
        </is>
      </c>
      <c r="C441" s="3" t="inlineStr">
        <is>
          <t>S21</t>
        </is>
      </c>
      <c r="D441" s="3" t="inlineStr">
        <is>
          <t>S21</t>
        </is>
      </c>
      <c r="E441" s="3" t="inlineStr">
        <is>
          <t>Bloqueia até aceite; sequência conservadora dentro do sprint</t>
        </is>
      </c>
    </row>
    <row r="442" ht="28" customHeight="1">
      <c r="A442" s="3" t="inlineStr">
        <is>
          <t>SL-S21-09</t>
        </is>
      </c>
      <c r="B442" s="3" t="inlineStr">
        <is>
          <t>SL-S21-GATE</t>
        </is>
      </c>
      <c r="C442" s="3" t="inlineStr">
        <is>
          <t>S21</t>
        </is>
      </c>
      <c r="D442" s="3" t="inlineStr">
        <is>
          <t>S21</t>
        </is>
      </c>
      <c r="E442" s="3" t="inlineStr">
        <is>
          <t>Bloqueia até aceite; sequência conservadora dentro do sprint</t>
        </is>
      </c>
    </row>
    <row r="443" ht="28" customHeight="1">
      <c r="A443" s="3" t="inlineStr">
        <is>
          <t>SL-S21-10</t>
        </is>
      </c>
      <c r="B443" s="3" t="inlineStr">
        <is>
          <t>SL-S21-GATE</t>
        </is>
      </c>
      <c r="C443" s="3" t="inlineStr">
        <is>
          <t>S21</t>
        </is>
      </c>
      <c r="D443" s="3" t="inlineStr">
        <is>
          <t>S21</t>
        </is>
      </c>
      <c r="E443" s="3" t="inlineStr">
        <is>
          <t>Bloqueia até aceite; sequência conservadora dentro do sprint</t>
        </is>
      </c>
    </row>
    <row r="444" ht="28" customHeight="1">
      <c r="A444" s="3" t="inlineStr">
        <is>
          <t>SL-S20-GATE</t>
        </is>
      </c>
      <c r="B444" s="3" t="inlineStr">
        <is>
          <t>SL-S22-01</t>
        </is>
      </c>
      <c r="C444" s="3" t="inlineStr">
        <is>
          <t>S20</t>
        </is>
      </c>
      <c r="D444" s="3" t="inlineStr">
        <is>
          <t>S22</t>
        </is>
      </c>
      <c r="E444" s="3" t="inlineStr">
        <is>
          <t>Bloqueia até aceite; sequência conservadora dentro do sprint</t>
        </is>
      </c>
    </row>
    <row r="445" ht="28" customHeight="1">
      <c r="A445" s="3" t="inlineStr">
        <is>
          <t>SL-S21-GATE</t>
        </is>
      </c>
      <c r="B445" s="3" t="inlineStr">
        <is>
          <t>SL-S22-01</t>
        </is>
      </c>
      <c r="C445" s="3" t="inlineStr">
        <is>
          <t>S21</t>
        </is>
      </c>
      <c r="D445" s="3" t="inlineStr">
        <is>
          <t>S22</t>
        </is>
      </c>
      <c r="E445" s="3" t="inlineStr">
        <is>
          <t>Bloqueia até aceite; sequência conservadora dentro do sprint</t>
        </is>
      </c>
    </row>
    <row r="446" ht="28" customHeight="1">
      <c r="A446" s="3" t="inlineStr">
        <is>
          <t>SL-S22-01</t>
        </is>
      </c>
      <c r="B446" s="3" t="inlineStr">
        <is>
          <t>SL-S22-02</t>
        </is>
      </c>
      <c r="C446" s="3" t="inlineStr">
        <is>
          <t>S22</t>
        </is>
      </c>
      <c r="D446" s="3" t="inlineStr">
        <is>
          <t>S22</t>
        </is>
      </c>
      <c r="E446" s="3" t="inlineStr">
        <is>
          <t>Bloqueia até aceite; sequência conservadora dentro do sprint</t>
        </is>
      </c>
    </row>
    <row r="447" ht="28" customHeight="1">
      <c r="A447" s="3" t="inlineStr">
        <is>
          <t>SL-S22-02</t>
        </is>
      </c>
      <c r="B447" s="3" t="inlineStr">
        <is>
          <t>SL-S22-03</t>
        </is>
      </c>
      <c r="C447" s="3" t="inlineStr">
        <is>
          <t>S22</t>
        </is>
      </c>
      <c r="D447" s="3" t="inlineStr">
        <is>
          <t>S22</t>
        </is>
      </c>
      <c r="E447" s="3" t="inlineStr">
        <is>
          <t>Bloqueia até aceite; sequência conservadora dentro do sprint</t>
        </is>
      </c>
    </row>
    <row r="448" ht="28" customHeight="1">
      <c r="A448" s="3" t="inlineStr">
        <is>
          <t>SL-S22-03</t>
        </is>
      </c>
      <c r="B448" s="3" t="inlineStr">
        <is>
          <t>SL-S22-04</t>
        </is>
      </c>
      <c r="C448" s="3" t="inlineStr">
        <is>
          <t>S22</t>
        </is>
      </c>
      <c r="D448" s="3" t="inlineStr">
        <is>
          <t>S22</t>
        </is>
      </c>
      <c r="E448" s="3" t="inlineStr">
        <is>
          <t>Bloqueia até aceite; sequência conservadora dentro do sprint</t>
        </is>
      </c>
    </row>
    <row r="449" ht="28" customHeight="1">
      <c r="A449" s="3" t="inlineStr">
        <is>
          <t>SL-S22-04</t>
        </is>
      </c>
      <c r="B449" s="3" t="inlineStr">
        <is>
          <t>SL-S22-05</t>
        </is>
      </c>
      <c r="C449" s="3" t="inlineStr">
        <is>
          <t>S22</t>
        </is>
      </c>
      <c r="D449" s="3" t="inlineStr">
        <is>
          <t>S22</t>
        </is>
      </c>
      <c r="E449" s="3" t="inlineStr">
        <is>
          <t>Bloqueia até aceite; sequência conservadora dentro do sprint</t>
        </is>
      </c>
    </row>
    <row r="450" ht="28" customHeight="1">
      <c r="A450" s="3" t="inlineStr">
        <is>
          <t>SL-S22-05</t>
        </is>
      </c>
      <c r="B450" s="3" t="inlineStr">
        <is>
          <t>SL-S22-06</t>
        </is>
      </c>
      <c r="C450" s="3" t="inlineStr">
        <is>
          <t>S22</t>
        </is>
      </c>
      <c r="D450" s="3" t="inlineStr">
        <is>
          <t>S22</t>
        </is>
      </c>
      <c r="E450" s="3" t="inlineStr">
        <is>
          <t>Bloqueia até aceite; sequência conservadora dentro do sprint</t>
        </is>
      </c>
    </row>
    <row r="451" ht="28" customHeight="1">
      <c r="A451" s="3" t="inlineStr">
        <is>
          <t>SL-S22-06</t>
        </is>
      </c>
      <c r="B451" s="3" t="inlineStr">
        <is>
          <t>SL-S22-07</t>
        </is>
      </c>
      <c r="C451" s="3" t="inlineStr">
        <is>
          <t>S22</t>
        </is>
      </c>
      <c r="D451" s="3" t="inlineStr">
        <is>
          <t>S22</t>
        </is>
      </c>
      <c r="E451" s="3" t="inlineStr">
        <is>
          <t>Bloqueia até aceite; sequência conservadora dentro do sprint</t>
        </is>
      </c>
    </row>
    <row r="452" ht="28" customHeight="1">
      <c r="A452" s="3" t="inlineStr">
        <is>
          <t>SL-S22-07</t>
        </is>
      </c>
      <c r="B452" s="3" t="inlineStr">
        <is>
          <t>SL-S22-08</t>
        </is>
      </c>
      <c r="C452" s="3" t="inlineStr">
        <is>
          <t>S22</t>
        </is>
      </c>
      <c r="D452" s="3" t="inlineStr">
        <is>
          <t>S22</t>
        </is>
      </c>
      <c r="E452" s="3" t="inlineStr">
        <is>
          <t>Bloqueia até aceite; sequência conservadora dentro do sprint</t>
        </is>
      </c>
    </row>
    <row r="453" ht="28" customHeight="1">
      <c r="A453" s="3" t="inlineStr">
        <is>
          <t>SL-S22-08</t>
        </is>
      </c>
      <c r="B453" s="3" t="inlineStr">
        <is>
          <t>SL-S22-09</t>
        </is>
      </c>
      <c r="C453" s="3" t="inlineStr">
        <is>
          <t>S22</t>
        </is>
      </c>
      <c r="D453" s="3" t="inlineStr">
        <is>
          <t>S22</t>
        </is>
      </c>
      <c r="E453" s="3" t="inlineStr">
        <is>
          <t>Bloqueia até aceite; sequência conservadora dentro do sprint</t>
        </is>
      </c>
    </row>
    <row r="454" ht="28" customHeight="1">
      <c r="A454" s="3" t="inlineStr">
        <is>
          <t>SL-S22-09</t>
        </is>
      </c>
      <c r="B454" s="3" t="inlineStr">
        <is>
          <t>SL-S22-10</t>
        </is>
      </c>
      <c r="C454" s="3" t="inlineStr">
        <is>
          <t>S22</t>
        </is>
      </c>
      <c r="D454" s="3" t="inlineStr">
        <is>
          <t>S22</t>
        </is>
      </c>
      <c r="E454" s="3" t="inlineStr">
        <is>
          <t>Bloqueia até aceite; sequência conservadora dentro do sprint</t>
        </is>
      </c>
    </row>
    <row r="455" ht="28" customHeight="1">
      <c r="A455" s="3" t="inlineStr">
        <is>
          <t>SL-S22-01</t>
        </is>
      </c>
      <c r="B455" s="3" t="inlineStr">
        <is>
          <t>SL-S22-GATE</t>
        </is>
      </c>
      <c r="C455" s="3" t="inlineStr">
        <is>
          <t>S22</t>
        </is>
      </c>
      <c r="D455" s="3" t="inlineStr">
        <is>
          <t>S22</t>
        </is>
      </c>
      <c r="E455" s="3" t="inlineStr">
        <is>
          <t>Bloqueia até aceite; sequência conservadora dentro do sprint</t>
        </is>
      </c>
    </row>
    <row r="456" ht="28" customHeight="1">
      <c r="A456" s="3" t="inlineStr">
        <is>
          <t>SL-S22-02</t>
        </is>
      </c>
      <c r="B456" s="3" t="inlineStr">
        <is>
          <t>SL-S22-GATE</t>
        </is>
      </c>
      <c r="C456" s="3" t="inlineStr">
        <is>
          <t>S22</t>
        </is>
      </c>
      <c r="D456" s="3" t="inlineStr">
        <is>
          <t>S22</t>
        </is>
      </c>
      <c r="E456" s="3" t="inlineStr">
        <is>
          <t>Bloqueia até aceite; sequência conservadora dentro do sprint</t>
        </is>
      </c>
    </row>
    <row r="457" ht="28" customHeight="1">
      <c r="A457" s="3" t="inlineStr">
        <is>
          <t>SL-S22-03</t>
        </is>
      </c>
      <c r="B457" s="3" t="inlineStr">
        <is>
          <t>SL-S22-GATE</t>
        </is>
      </c>
      <c r="C457" s="3" t="inlineStr">
        <is>
          <t>S22</t>
        </is>
      </c>
      <c r="D457" s="3" t="inlineStr">
        <is>
          <t>S22</t>
        </is>
      </c>
      <c r="E457" s="3" t="inlineStr">
        <is>
          <t>Bloqueia até aceite; sequência conservadora dentro do sprint</t>
        </is>
      </c>
    </row>
    <row r="458" ht="28" customHeight="1">
      <c r="A458" s="3" t="inlineStr">
        <is>
          <t>SL-S22-04</t>
        </is>
      </c>
      <c r="B458" s="3" t="inlineStr">
        <is>
          <t>SL-S22-GATE</t>
        </is>
      </c>
      <c r="C458" s="3" t="inlineStr">
        <is>
          <t>S22</t>
        </is>
      </c>
      <c r="D458" s="3" t="inlineStr">
        <is>
          <t>S22</t>
        </is>
      </c>
      <c r="E458" s="3" t="inlineStr">
        <is>
          <t>Bloqueia até aceite; sequência conservadora dentro do sprint</t>
        </is>
      </c>
    </row>
    <row r="459" ht="28" customHeight="1">
      <c r="A459" s="3" t="inlineStr">
        <is>
          <t>SL-S22-05</t>
        </is>
      </c>
      <c r="B459" s="3" t="inlineStr">
        <is>
          <t>SL-S22-GATE</t>
        </is>
      </c>
      <c r="C459" s="3" t="inlineStr">
        <is>
          <t>S22</t>
        </is>
      </c>
      <c r="D459" s="3" t="inlineStr">
        <is>
          <t>S22</t>
        </is>
      </c>
      <c r="E459" s="3" t="inlineStr">
        <is>
          <t>Bloqueia até aceite; sequência conservadora dentro do sprint</t>
        </is>
      </c>
    </row>
    <row r="460" ht="28" customHeight="1">
      <c r="A460" s="3" t="inlineStr">
        <is>
          <t>SL-S22-06</t>
        </is>
      </c>
      <c r="B460" s="3" t="inlineStr">
        <is>
          <t>SL-S22-GATE</t>
        </is>
      </c>
      <c r="C460" s="3" t="inlineStr">
        <is>
          <t>S22</t>
        </is>
      </c>
      <c r="D460" s="3" t="inlineStr">
        <is>
          <t>S22</t>
        </is>
      </c>
      <c r="E460" s="3" t="inlineStr">
        <is>
          <t>Bloqueia até aceite; sequência conservadora dentro do sprint</t>
        </is>
      </c>
    </row>
    <row r="461" ht="28" customHeight="1">
      <c r="A461" s="3" t="inlineStr">
        <is>
          <t>SL-S22-07</t>
        </is>
      </c>
      <c r="B461" s="3" t="inlineStr">
        <is>
          <t>SL-S22-GATE</t>
        </is>
      </c>
      <c r="C461" s="3" t="inlineStr">
        <is>
          <t>S22</t>
        </is>
      </c>
      <c r="D461" s="3" t="inlineStr">
        <is>
          <t>S22</t>
        </is>
      </c>
      <c r="E461" s="3" t="inlineStr">
        <is>
          <t>Bloqueia até aceite; sequência conservadora dentro do sprint</t>
        </is>
      </c>
    </row>
    <row r="462" ht="28" customHeight="1">
      <c r="A462" s="3" t="inlineStr">
        <is>
          <t>SL-S22-08</t>
        </is>
      </c>
      <c r="B462" s="3" t="inlineStr">
        <is>
          <t>SL-S22-GATE</t>
        </is>
      </c>
      <c r="C462" s="3" t="inlineStr">
        <is>
          <t>S22</t>
        </is>
      </c>
      <c r="D462" s="3" t="inlineStr">
        <is>
          <t>S22</t>
        </is>
      </c>
      <c r="E462" s="3" t="inlineStr">
        <is>
          <t>Bloqueia até aceite; sequência conservadora dentro do sprint</t>
        </is>
      </c>
    </row>
    <row r="463" ht="28" customHeight="1">
      <c r="A463" s="3" t="inlineStr">
        <is>
          <t>SL-S22-09</t>
        </is>
      </c>
      <c r="B463" s="3" t="inlineStr">
        <is>
          <t>SL-S22-GATE</t>
        </is>
      </c>
      <c r="C463" s="3" t="inlineStr">
        <is>
          <t>S22</t>
        </is>
      </c>
      <c r="D463" s="3" t="inlineStr">
        <is>
          <t>S22</t>
        </is>
      </c>
      <c r="E463" s="3" t="inlineStr">
        <is>
          <t>Bloqueia até aceite; sequência conservadora dentro do sprint</t>
        </is>
      </c>
    </row>
    <row r="464" ht="28" customHeight="1">
      <c r="A464" s="3" t="inlineStr">
        <is>
          <t>SL-S22-10</t>
        </is>
      </c>
      <c r="B464" s="3" t="inlineStr">
        <is>
          <t>SL-S22-GATE</t>
        </is>
      </c>
      <c r="C464" s="3" t="inlineStr">
        <is>
          <t>S22</t>
        </is>
      </c>
      <c r="D464" s="3" t="inlineStr">
        <is>
          <t>S22</t>
        </is>
      </c>
      <c r="E464" s="3" t="inlineStr">
        <is>
          <t>Bloqueia até aceite; sequência conservadora dentro do sprint</t>
        </is>
      </c>
    </row>
    <row r="465" ht="28" customHeight="1">
      <c r="A465" s="3" t="inlineStr">
        <is>
          <t>SL-S09-GATE</t>
        </is>
      </c>
      <c r="B465" s="3" t="inlineStr">
        <is>
          <t>SL-S23-01</t>
        </is>
      </c>
      <c r="C465" s="3" t="inlineStr">
        <is>
          <t>S09</t>
        </is>
      </c>
      <c r="D465" s="3" t="inlineStr">
        <is>
          <t>S23</t>
        </is>
      </c>
      <c r="E465" s="3" t="inlineStr">
        <is>
          <t>Bloqueia até aceite; sequência conservadora dentro do sprint</t>
        </is>
      </c>
    </row>
    <row r="466" ht="28" customHeight="1">
      <c r="A466" s="3" t="inlineStr">
        <is>
          <t>SL-S11-GATE</t>
        </is>
      </c>
      <c r="B466" s="3" t="inlineStr">
        <is>
          <t>SL-S23-01</t>
        </is>
      </c>
      <c r="C466" s="3" t="inlineStr">
        <is>
          <t>S11</t>
        </is>
      </c>
      <c r="D466" s="3" t="inlineStr">
        <is>
          <t>S23</t>
        </is>
      </c>
      <c r="E466" s="3" t="inlineStr">
        <is>
          <t>Bloqueia até aceite; sequência conservadora dentro do sprint</t>
        </is>
      </c>
    </row>
    <row r="467" ht="28" customHeight="1">
      <c r="A467" s="3" t="inlineStr">
        <is>
          <t>SL-S22-GATE</t>
        </is>
      </c>
      <c r="B467" s="3" t="inlineStr">
        <is>
          <t>SL-S23-01</t>
        </is>
      </c>
      <c r="C467" s="3" t="inlineStr">
        <is>
          <t>S22</t>
        </is>
      </c>
      <c r="D467" s="3" t="inlineStr">
        <is>
          <t>S23</t>
        </is>
      </c>
      <c r="E467" s="3" t="inlineStr">
        <is>
          <t>Bloqueia até aceite; sequência conservadora dentro do sprint</t>
        </is>
      </c>
    </row>
    <row r="468" ht="28" customHeight="1">
      <c r="A468" s="3" t="inlineStr">
        <is>
          <t>SL-S23-01</t>
        </is>
      </c>
      <c r="B468" s="3" t="inlineStr">
        <is>
          <t>SL-S23-02</t>
        </is>
      </c>
      <c r="C468" s="3" t="inlineStr">
        <is>
          <t>S23</t>
        </is>
      </c>
      <c r="D468" s="3" t="inlineStr">
        <is>
          <t>S23</t>
        </is>
      </c>
      <c r="E468" s="3" t="inlineStr">
        <is>
          <t>Bloqueia até aceite; sequência conservadora dentro do sprint</t>
        </is>
      </c>
    </row>
    <row r="469" ht="28" customHeight="1">
      <c r="A469" s="3" t="inlineStr">
        <is>
          <t>SL-S23-02</t>
        </is>
      </c>
      <c r="B469" s="3" t="inlineStr">
        <is>
          <t>SL-S23-03</t>
        </is>
      </c>
      <c r="C469" s="3" t="inlineStr">
        <is>
          <t>S23</t>
        </is>
      </c>
      <c r="D469" s="3" t="inlineStr">
        <is>
          <t>S23</t>
        </is>
      </c>
      <c r="E469" s="3" t="inlineStr">
        <is>
          <t>Bloqueia até aceite; sequência conservadora dentro do sprint</t>
        </is>
      </c>
    </row>
    <row r="470" ht="28" customHeight="1">
      <c r="A470" s="3" t="inlineStr">
        <is>
          <t>SL-S23-03</t>
        </is>
      </c>
      <c r="B470" s="3" t="inlineStr">
        <is>
          <t>SL-S23-04</t>
        </is>
      </c>
      <c r="C470" s="3" t="inlineStr">
        <is>
          <t>S23</t>
        </is>
      </c>
      <c r="D470" s="3" t="inlineStr">
        <is>
          <t>S23</t>
        </is>
      </c>
      <c r="E470" s="3" t="inlineStr">
        <is>
          <t>Bloqueia até aceite; sequência conservadora dentro do sprint</t>
        </is>
      </c>
    </row>
    <row r="471" ht="28" customHeight="1">
      <c r="A471" s="3" t="inlineStr">
        <is>
          <t>SL-S23-04</t>
        </is>
      </c>
      <c r="B471" s="3" t="inlineStr">
        <is>
          <t>SL-S23-05</t>
        </is>
      </c>
      <c r="C471" s="3" t="inlineStr">
        <is>
          <t>S23</t>
        </is>
      </c>
      <c r="D471" s="3" t="inlineStr">
        <is>
          <t>S23</t>
        </is>
      </c>
      <c r="E471" s="3" t="inlineStr">
        <is>
          <t>Bloqueia até aceite; sequência conservadora dentro do sprint</t>
        </is>
      </c>
    </row>
    <row r="472" ht="28" customHeight="1">
      <c r="A472" s="3" t="inlineStr">
        <is>
          <t>SL-S23-05</t>
        </is>
      </c>
      <c r="B472" s="3" t="inlineStr">
        <is>
          <t>SL-S23-06</t>
        </is>
      </c>
      <c r="C472" s="3" t="inlineStr">
        <is>
          <t>S23</t>
        </is>
      </c>
      <c r="D472" s="3" t="inlineStr">
        <is>
          <t>S23</t>
        </is>
      </c>
      <c r="E472" s="3" t="inlineStr">
        <is>
          <t>Bloqueia até aceite; sequência conservadora dentro do sprint</t>
        </is>
      </c>
    </row>
    <row r="473" ht="28" customHeight="1">
      <c r="A473" s="3" t="inlineStr">
        <is>
          <t>SL-S23-06</t>
        </is>
      </c>
      <c r="B473" s="3" t="inlineStr">
        <is>
          <t>SL-S23-07</t>
        </is>
      </c>
      <c r="C473" s="3" t="inlineStr">
        <is>
          <t>S23</t>
        </is>
      </c>
      <c r="D473" s="3" t="inlineStr">
        <is>
          <t>S23</t>
        </is>
      </c>
      <c r="E473" s="3" t="inlineStr">
        <is>
          <t>Bloqueia até aceite; sequência conservadora dentro do sprint</t>
        </is>
      </c>
    </row>
    <row r="474" ht="28" customHeight="1">
      <c r="A474" s="3" t="inlineStr">
        <is>
          <t>SL-S23-07</t>
        </is>
      </c>
      <c r="B474" s="3" t="inlineStr">
        <is>
          <t>SL-S23-08</t>
        </is>
      </c>
      <c r="C474" s="3" t="inlineStr">
        <is>
          <t>S23</t>
        </is>
      </c>
      <c r="D474" s="3" t="inlineStr">
        <is>
          <t>S23</t>
        </is>
      </c>
      <c r="E474" s="3" t="inlineStr">
        <is>
          <t>Bloqueia até aceite; sequência conservadora dentro do sprint</t>
        </is>
      </c>
    </row>
    <row r="475" ht="28" customHeight="1">
      <c r="A475" s="3" t="inlineStr">
        <is>
          <t>SL-S23-08</t>
        </is>
      </c>
      <c r="B475" s="3" t="inlineStr">
        <is>
          <t>SL-S23-09</t>
        </is>
      </c>
      <c r="C475" s="3" t="inlineStr">
        <is>
          <t>S23</t>
        </is>
      </c>
      <c r="D475" s="3" t="inlineStr">
        <is>
          <t>S23</t>
        </is>
      </c>
      <c r="E475" s="3" t="inlineStr">
        <is>
          <t>Bloqueia até aceite; sequência conservadora dentro do sprint</t>
        </is>
      </c>
    </row>
    <row r="476" ht="28" customHeight="1">
      <c r="A476" s="3" t="inlineStr">
        <is>
          <t>SL-S23-09</t>
        </is>
      </c>
      <c r="B476" s="3" t="inlineStr">
        <is>
          <t>SL-S23-10</t>
        </is>
      </c>
      <c r="C476" s="3" t="inlineStr">
        <is>
          <t>S23</t>
        </is>
      </c>
      <c r="D476" s="3" t="inlineStr">
        <is>
          <t>S23</t>
        </is>
      </c>
      <c r="E476" s="3" t="inlineStr">
        <is>
          <t>Bloqueia até aceite; sequência conservadora dentro do sprint</t>
        </is>
      </c>
    </row>
    <row r="477" ht="28" customHeight="1">
      <c r="A477" s="3" t="inlineStr">
        <is>
          <t>SL-S23-01</t>
        </is>
      </c>
      <c r="B477" s="3" t="inlineStr">
        <is>
          <t>SL-S23-GATE</t>
        </is>
      </c>
      <c r="C477" s="3" t="inlineStr">
        <is>
          <t>S23</t>
        </is>
      </c>
      <c r="D477" s="3" t="inlineStr">
        <is>
          <t>S23</t>
        </is>
      </c>
      <c r="E477" s="3" t="inlineStr">
        <is>
          <t>Bloqueia até aceite; sequência conservadora dentro do sprint</t>
        </is>
      </c>
    </row>
    <row r="478" ht="28" customHeight="1">
      <c r="A478" s="3" t="inlineStr">
        <is>
          <t>SL-S23-02</t>
        </is>
      </c>
      <c r="B478" s="3" t="inlineStr">
        <is>
          <t>SL-S23-GATE</t>
        </is>
      </c>
      <c r="C478" s="3" t="inlineStr">
        <is>
          <t>S23</t>
        </is>
      </c>
      <c r="D478" s="3" t="inlineStr">
        <is>
          <t>S23</t>
        </is>
      </c>
      <c r="E478" s="3" t="inlineStr">
        <is>
          <t>Bloqueia até aceite; sequência conservadora dentro do sprint</t>
        </is>
      </c>
    </row>
    <row r="479" ht="28" customHeight="1">
      <c r="A479" s="3" t="inlineStr">
        <is>
          <t>SL-S23-03</t>
        </is>
      </c>
      <c r="B479" s="3" t="inlineStr">
        <is>
          <t>SL-S23-GATE</t>
        </is>
      </c>
      <c r="C479" s="3" t="inlineStr">
        <is>
          <t>S23</t>
        </is>
      </c>
      <c r="D479" s="3" t="inlineStr">
        <is>
          <t>S23</t>
        </is>
      </c>
      <c r="E479" s="3" t="inlineStr">
        <is>
          <t>Bloqueia até aceite; sequência conservadora dentro do sprint</t>
        </is>
      </c>
    </row>
    <row r="480" ht="28" customHeight="1">
      <c r="A480" s="3" t="inlineStr">
        <is>
          <t>SL-S23-04</t>
        </is>
      </c>
      <c r="B480" s="3" t="inlineStr">
        <is>
          <t>SL-S23-GATE</t>
        </is>
      </c>
      <c r="C480" s="3" t="inlineStr">
        <is>
          <t>S23</t>
        </is>
      </c>
      <c r="D480" s="3" t="inlineStr">
        <is>
          <t>S23</t>
        </is>
      </c>
      <c r="E480" s="3" t="inlineStr">
        <is>
          <t>Bloqueia até aceite; sequência conservadora dentro do sprint</t>
        </is>
      </c>
    </row>
    <row r="481" ht="28" customHeight="1">
      <c r="A481" s="3" t="inlineStr">
        <is>
          <t>SL-S23-05</t>
        </is>
      </c>
      <c r="B481" s="3" t="inlineStr">
        <is>
          <t>SL-S23-GATE</t>
        </is>
      </c>
      <c r="C481" s="3" t="inlineStr">
        <is>
          <t>S23</t>
        </is>
      </c>
      <c r="D481" s="3" t="inlineStr">
        <is>
          <t>S23</t>
        </is>
      </c>
      <c r="E481" s="3" t="inlineStr">
        <is>
          <t>Bloqueia até aceite; sequência conservadora dentro do sprint</t>
        </is>
      </c>
    </row>
    <row r="482" ht="28" customHeight="1">
      <c r="A482" s="3" t="inlineStr">
        <is>
          <t>SL-S23-06</t>
        </is>
      </c>
      <c r="B482" s="3" t="inlineStr">
        <is>
          <t>SL-S23-GATE</t>
        </is>
      </c>
      <c r="C482" s="3" t="inlineStr">
        <is>
          <t>S23</t>
        </is>
      </c>
      <c r="D482" s="3" t="inlineStr">
        <is>
          <t>S23</t>
        </is>
      </c>
      <c r="E482" s="3" t="inlineStr">
        <is>
          <t>Bloqueia até aceite; sequência conservadora dentro do sprint</t>
        </is>
      </c>
    </row>
    <row r="483" ht="28" customHeight="1">
      <c r="A483" s="3" t="inlineStr">
        <is>
          <t>SL-S23-07</t>
        </is>
      </c>
      <c r="B483" s="3" t="inlineStr">
        <is>
          <t>SL-S23-GATE</t>
        </is>
      </c>
      <c r="C483" s="3" t="inlineStr">
        <is>
          <t>S23</t>
        </is>
      </c>
      <c r="D483" s="3" t="inlineStr">
        <is>
          <t>S23</t>
        </is>
      </c>
      <c r="E483" s="3" t="inlineStr">
        <is>
          <t>Bloqueia até aceite; sequência conservadora dentro do sprint</t>
        </is>
      </c>
    </row>
    <row r="484" ht="28" customHeight="1">
      <c r="A484" s="3" t="inlineStr">
        <is>
          <t>SL-S23-08</t>
        </is>
      </c>
      <c r="B484" s="3" t="inlineStr">
        <is>
          <t>SL-S23-GATE</t>
        </is>
      </c>
      <c r="C484" s="3" t="inlineStr">
        <is>
          <t>S23</t>
        </is>
      </c>
      <c r="D484" s="3" t="inlineStr">
        <is>
          <t>S23</t>
        </is>
      </c>
      <c r="E484" s="3" t="inlineStr">
        <is>
          <t>Bloqueia até aceite; sequência conservadora dentro do sprint</t>
        </is>
      </c>
    </row>
    <row r="485" ht="28" customHeight="1">
      <c r="A485" s="3" t="inlineStr">
        <is>
          <t>SL-S23-09</t>
        </is>
      </c>
      <c r="B485" s="3" t="inlineStr">
        <is>
          <t>SL-S23-GATE</t>
        </is>
      </c>
      <c r="C485" s="3" t="inlineStr">
        <is>
          <t>S23</t>
        </is>
      </c>
      <c r="D485" s="3" t="inlineStr">
        <is>
          <t>S23</t>
        </is>
      </c>
      <c r="E485" s="3" t="inlineStr">
        <is>
          <t>Bloqueia até aceite; sequência conservadora dentro do sprint</t>
        </is>
      </c>
    </row>
    <row r="486" ht="28" customHeight="1">
      <c r="A486" s="3" t="inlineStr">
        <is>
          <t>SL-S23-10</t>
        </is>
      </c>
      <c r="B486" s="3" t="inlineStr">
        <is>
          <t>SL-S23-GATE</t>
        </is>
      </c>
      <c r="C486" s="3" t="inlineStr">
        <is>
          <t>S23</t>
        </is>
      </c>
      <c r="D486" s="3" t="inlineStr">
        <is>
          <t>S23</t>
        </is>
      </c>
      <c r="E486" s="3" t="inlineStr">
        <is>
          <t>Bloqueia até aceite; sequência conservadora dentro do sprint</t>
        </is>
      </c>
    </row>
    <row r="487" ht="28" customHeight="1">
      <c r="A487" s="3" t="inlineStr">
        <is>
          <t>SL-S23-GATE</t>
        </is>
      </c>
      <c r="B487" s="3" t="inlineStr">
        <is>
          <t>SL-S24-01</t>
        </is>
      </c>
      <c r="C487" s="3" t="inlineStr">
        <is>
          <t>S23</t>
        </is>
      </c>
      <c r="D487" s="3" t="inlineStr">
        <is>
          <t>S24</t>
        </is>
      </c>
      <c r="E487" s="3" t="inlineStr">
        <is>
          <t>Bloqueia até aceite; sequência conservadora dentro do sprint</t>
        </is>
      </c>
    </row>
    <row r="488" ht="28" customHeight="1">
      <c r="A488" s="3" t="inlineStr">
        <is>
          <t>SL-S24-01</t>
        </is>
      </c>
      <c r="B488" s="3" t="inlineStr">
        <is>
          <t>SL-S24-02</t>
        </is>
      </c>
      <c r="C488" s="3" t="inlineStr">
        <is>
          <t>S24</t>
        </is>
      </c>
      <c r="D488" s="3" t="inlineStr">
        <is>
          <t>S24</t>
        </is>
      </c>
      <c r="E488" s="3" t="inlineStr">
        <is>
          <t>Bloqueia até aceite; sequência conservadora dentro do sprint</t>
        </is>
      </c>
    </row>
    <row r="489" ht="28" customHeight="1">
      <c r="A489" s="3" t="inlineStr">
        <is>
          <t>SL-S24-02</t>
        </is>
      </c>
      <c r="B489" s="3" t="inlineStr">
        <is>
          <t>SL-S24-03</t>
        </is>
      </c>
      <c r="C489" s="3" t="inlineStr">
        <is>
          <t>S24</t>
        </is>
      </c>
      <c r="D489" s="3" t="inlineStr">
        <is>
          <t>S24</t>
        </is>
      </c>
      <c r="E489" s="3" t="inlineStr">
        <is>
          <t>Bloqueia até aceite; sequência conservadora dentro do sprint</t>
        </is>
      </c>
    </row>
    <row r="490" ht="28" customHeight="1">
      <c r="A490" s="3" t="inlineStr">
        <is>
          <t>SL-S24-03</t>
        </is>
      </c>
      <c r="B490" s="3" t="inlineStr">
        <is>
          <t>SL-S24-04</t>
        </is>
      </c>
      <c r="C490" s="3" t="inlineStr">
        <is>
          <t>S24</t>
        </is>
      </c>
      <c r="D490" s="3" t="inlineStr">
        <is>
          <t>S24</t>
        </is>
      </c>
      <c r="E490" s="3" t="inlineStr">
        <is>
          <t>Bloqueia até aceite; sequência conservadora dentro do sprint</t>
        </is>
      </c>
    </row>
    <row r="491" ht="28" customHeight="1">
      <c r="A491" s="3" t="inlineStr">
        <is>
          <t>SL-S24-04</t>
        </is>
      </c>
      <c r="B491" s="3" t="inlineStr">
        <is>
          <t>SL-S24-05</t>
        </is>
      </c>
      <c r="C491" s="3" t="inlineStr">
        <is>
          <t>S24</t>
        </is>
      </c>
      <c r="D491" s="3" t="inlineStr">
        <is>
          <t>S24</t>
        </is>
      </c>
      <c r="E491" s="3" t="inlineStr">
        <is>
          <t>Bloqueia até aceite; sequência conservadora dentro do sprint</t>
        </is>
      </c>
    </row>
    <row r="492" ht="28" customHeight="1">
      <c r="A492" s="3" t="inlineStr">
        <is>
          <t>SL-S24-05</t>
        </is>
      </c>
      <c r="B492" s="3" t="inlineStr">
        <is>
          <t>SL-S24-06</t>
        </is>
      </c>
      <c r="C492" s="3" t="inlineStr">
        <is>
          <t>S24</t>
        </is>
      </c>
      <c r="D492" s="3" t="inlineStr">
        <is>
          <t>S24</t>
        </is>
      </c>
      <c r="E492" s="3" t="inlineStr">
        <is>
          <t>Bloqueia até aceite; sequência conservadora dentro do sprint</t>
        </is>
      </c>
    </row>
    <row r="493" ht="28" customHeight="1">
      <c r="A493" s="3" t="inlineStr">
        <is>
          <t>SL-S24-06</t>
        </is>
      </c>
      <c r="B493" s="3" t="inlineStr">
        <is>
          <t>SL-S24-07</t>
        </is>
      </c>
      <c r="C493" s="3" t="inlineStr">
        <is>
          <t>S24</t>
        </is>
      </c>
      <c r="D493" s="3" t="inlineStr">
        <is>
          <t>S24</t>
        </is>
      </c>
      <c r="E493" s="3" t="inlineStr">
        <is>
          <t>Bloqueia até aceite; sequência conservadora dentro do sprint</t>
        </is>
      </c>
    </row>
    <row r="494" ht="28" customHeight="1">
      <c r="A494" s="3" t="inlineStr">
        <is>
          <t>SL-S24-07</t>
        </is>
      </c>
      <c r="B494" s="3" t="inlineStr">
        <is>
          <t>SL-S24-08</t>
        </is>
      </c>
      <c r="C494" s="3" t="inlineStr">
        <is>
          <t>S24</t>
        </is>
      </c>
      <c r="D494" s="3" t="inlineStr">
        <is>
          <t>S24</t>
        </is>
      </c>
      <c r="E494" s="3" t="inlineStr">
        <is>
          <t>Bloqueia até aceite; sequência conservadora dentro do sprint</t>
        </is>
      </c>
    </row>
    <row r="495" ht="28" customHeight="1">
      <c r="A495" s="3" t="inlineStr">
        <is>
          <t>SL-S24-08</t>
        </is>
      </c>
      <c r="B495" s="3" t="inlineStr">
        <is>
          <t>SL-S24-09</t>
        </is>
      </c>
      <c r="C495" s="3" t="inlineStr">
        <is>
          <t>S24</t>
        </is>
      </c>
      <c r="D495" s="3" t="inlineStr">
        <is>
          <t>S24</t>
        </is>
      </c>
      <c r="E495" s="3" t="inlineStr">
        <is>
          <t>Bloqueia até aceite; sequência conservadora dentro do sprint</t>
        </is>
      </c>
    </row>
    <row r="496" ht="28" customHeight="1">
      <c r="A496" s="3" t="inlineStr">
        <is>
          <t>SL-S24-09</t>
        </is>
      </c>
      <c r="B496" s="3" t="inlineStr">
        <is>
          <t>SL-S24-10</t>
        </is>
      </c>
      <c r="C496" s="3" t="inlineStr">
        <is>
          <t>S24</t>
        </is>
      </c>
      <c r="D496" s="3" t="inlineStr">
        <is>
          <t>S24</t>
        </is>
      </c>
      <c r="E496" s="3" t="inlineStr">
        <is>
          <t>Bloqueia até aceite; sequência conservadora dentro do sprint</t>
        </is>
      </c>
    </row>
    <row r="497" ht="28" customHeight="1">
      <c r="A497" s="3" t="inlineStr">
        <is>
          <t>SL-S24-01</t>
        </is>
      </c>
      <c r="B497" s="3" t="inlineStr">
        <is>
          <t>SL-S24-GATE</t>
        </is>
      </c>
      <c r="C497" s="3" t="inlineStr">
        <is>
          <t>S24</t>
        </is>
      </c>
      <c r="D497" s="3" t="inlineStr">
        <is>
          <t>S24</t>
        </is>
      </c>
      <c r="E497" s="3" t="inlineStr">
        <is>
          <t>Bloqueia até aceite; sequência conservadora dentro do sprint</t>
        </is>
      </c>
    </row>
    <row r="498" ht="28" customHeight="1">
      <c r="A498" s="3" t="inlineStr">
        <is>
          <t>SL-S24-02</t>
        </is>
      </c>
      <c r="B498" s="3" t="inlineStr">
        <is>
          <t>SL-S24-GATE</t>
        </is>
      </c>
      <c r="C498" s="3" t="inlineStr">
        <is>
          <t>S24</t>
        </is>
      </c>
      <c r="D498" s="3" t="inlineStr">
        <is>
          <t>S24</t>
        </is>
      </c>
      <c r="E498" s="3" t="inlineStr">
        <is>
          <t>Bloqueia até aceite; sequência conservadora dentro do sprint</t>
        </is>
      </c>
    </row>
    <row r="499" ht="28" customHeight="1">
      <c r="A499" s="3" t="inlineStr">
        <is>
          <t>SL-S24-03</t>
        </is>
      </c>
      <c r="B499" s="3" t="inlineStr">
        <is>
          <t>SL-S24-GATE</t>
        </is>
      </c>
      <c r="C499" s="3" t="inlineStr">
        <is>
          <t>S24</t>
        </is>
      </c>
      <c r="D499" s="3" t="inlineStr">
        <is>
          <t>S24</t>
        </is>
      </c>
      <c r="E499" s="3" t="inlineStr">
        <is>
          <t>Bloqueia até aceite; sequência conservadora dentro do sprint</t>
        </is>
      </c>
    </row>
    <row r="500" ht="28" customHeight="1">
      <c r="A500" s="3" t="inlineStr">
        <is>
          <t>SL-S24-04</t>
        </is>
      </c>
      <c r="B500" s="3" t="inlineStr">
        <is>
          <t>SL-S24-GATE</t>
        </is>
      </c>
      <c r="C500" s="3" t="inlineStr">
        <is>
          <t>S24</t>
        </is>
      </c>
      <c r="D500" s="3" t="inlineStr">
        <is>
          <t>S24</t>
        </is>
      </c>
      <c r="E500" s="3" t="inlineStr">
        <is>
          <t>Bloqueia até aceite; sequência conservadora dentro do sprint</t>
        </is>
      </c>
    </row>
    <row r="501" ht="28" customHeight="1">
      <c r="A501" s="3" t="inlineStr">
        <is>
          <t>SL-S24-05</t>
        </is>
      </c>
      <c r="B501" s="3" t="inlineStr">
        <is>
          <t>SL-S24-GATE</t>
        </is>
      </c>
      <c r="C501" s="3" t="inlineStr">
        <is>
          <t>S24</t>
        </is>
      </c>
      <c r="D501" s="3" t="inlineStr">
        <is>
          <t>S24</t>
        </is>
      </c>
      <c r="E501" s="3" t="inlineStr">
        <is>
          <t>Bloqueia até aceite; sequência conservadora dentro do sprint</t>
        </is>
      </c>
    </row>
    <row r="502" ht="28" customHeight="1">
      <c r="A502" s="3" t="inlineStr">
        <is>
          <t>SL-S24-06</t>
        </is>
      </c>
      <c r="B502" s="3" t="inlineStr">
        <is>
          <t>SL-S24-GATE</t>
        </is>
      </c>
      <c r="C502" s="3" t="inlineStr">
        <is>
          <t>S24</t>
        </is>
      </c>
      <c r="D502" s="3" t="inlineStr">
        <is>
          <t>S24</t>
        </is>
      </c>
      <c r="E502" s="3" t="inlineStr">
        <is>
          <t>Bloqueia até aceite; sequência conservadora dentro do sprint</t>
        </is>
      </c>
    </row>
    <row r="503" ht="28" customHeight="1">
      <c r="A503" s="3" t="inlineStr">
        <is>
          <t>SL-S24-07</t>
        </is>
      </c>
      <c r="B503" s="3" t="inlineStr">
        <is>
          <t>SL-S24-GATE</t>
        </is>
      </c>
      <c r="C503" s="3" t="inlineStr">
        <is>
          <t>S24</t>
        </is>
      </c>
      <c r="D503" s="3" t="inlineStr">
        <is>
          <t>S24</t>
        </is>
      </c>
      <c r="E503" s="3" t="inlineStr">
        <is>
          <t>Bloqueia até aceite; sequência conservadora dentro do sprint</t>
        </is>
      </c>
    </row>
    <row r="504" ht="28" customHeight="1">
      <c r="A504" s="3" t="inlineStr">
        <is>
          <t>SL-S24-08</t>
        </is>
      </c>
      <c r="B504" s="3" t="inlineStr">
        <is>
          <t>SL-S24-GATE</t>
        </is>
      </c>
      <c r="C504" s="3" t="inlineStr">
        <is>
          <t>S24</t>
        </is>
      </c>
      <c r="D504" s="3" t="inlineStr">
        <is>
          <t>S24</t>
        </is>
      </c>
      <c r="E504" s="3" t="inlineStr">
        <is>
          <t>Bloqueia até aceite; sequência conservadora dentro do sprint</t>
        </is>
      </c>
    </row>
    <row r="505" ht="28" customHeight="1">
      <c r="A505" s="3" t="inlineStr">
        <is>
          <t>SL-S24-09</t>
        </is>
      </c>
      <c r="B505" s="3" t="inlineStr">
        <is>
          <t>SL-S24-GATE</t>
        </is>
      </c>
      <c r="C505" s="3" t="inlineStr">
        <is>
          <t>S24</t>
        </is>
      </c>
      <c r="D505" s="3" t="inlineStr">
        <is>
          <t>S24</t>
        </is>
      </c>
      <c r="E505" s="3" t="inlineStr">
        <is>
          <t>Bloqueia até aceite; sequência conservadora dentro do sprint</t>
        </is>
      </c>
    </row>
    <row r="506" ht="28" customHeight="1">
      <c r="A506" s="3" t="inlineStr">
        <is>
          <t>SL-S24-10</t>
        </is>
      </c>
      <c r="B506" s="3" t="inlineStr">
        <is>
          <t>SL-S24-GATE</t>
        </is>
      </c>
      <c r="C506" s="3" t="inlineStr">
        <is>
          <t>S24</t>
        </is>
      </c>
      <c r="D506" s="3" t="inlineStr">
        <is>
          <t>S24</t>
        </is>
      </c>
      <c r="E506" s="3" t="inlineStr">
        <is>
          <t>Bloqueia até aceite; sequência conservadora dentro do sprint</t>
        </is>
      </c>
    </row>
    <row r="507" ht="28" customHeight="1">
      <c r="A507" s="3" t="inlineStr">
        <is>
          <t>SL-S23-GATE</t>
        </is>
      </c>
      <c r="B507" s="3" t="inlineStr">
        <is>
          <t>SL-S25-01</t>
        </is>
      </c>
      <c r="C507" s="3" t="inlineStr">
        <is>
          <t>S23</t>
        </is>
      </c>
      <c r="D507" s="3" t="inlineStr">
        <is>
          <t>S25</t>
        </is>
      </c>
      <c r="E507" s="3" t="inlineStr">
        <is>
          <t>Bloqueia até aceite; sequência conservadora dentro do sprint</t>
        </is>
      </c>
    </row>
    <row r="508" ht="28" customHeight="1">
      <c r="A508" s="3" t="inlineStr">
        <is>
          <t>SL-S25-01</t>
        </is>
      </c>
      <c r="B508" s="3" t="inlineStr">
        <is>
          <t>SL-S25-02</t>
        </is>
      </c>
      <c r="C508" s="3" t="inlineStr">
        <is>
          <t>S25</t>
        </is>
      </c>
      <c r="D508" s="3" t="inlineStr">
        <is>
          <t>S25</t>
        </is>
      </c>
      <c r="E508" s="3" t="inlineStr">
        <is>
          <t>Bloqueia até aceite; sequência conservadora dentro do sprint</t>
        </is>
      </c>
    </row>
    <row r="509" ht="28" customHeight="1">
      <c r="A509" s="3" t="inlineStr">
        <is>
          <t>SL-S25-02</t>
        </is>
      </c>
      <c r="B509" s="3" t="inlineStr">
        <is>
          <t>SL-S25-03</t>
        </is>
      </c>
      <c r="C509" s="3" t="inlineStr">
        <is>
          <t>S25</t>
        </is>
      </c>
      <c r="D509" s="3" t="inlineStr">
        <is>
          <t>S25</t>
        </is>
      </c>
      <c r="E509" s="3" t="inlineStr">
        <is>
          <t>Bloqueia até aceite; sequência conservadora dentro do sprint</t>
        </is>
      </c>
    </row>
    <row r="510" ht="28" customHeight="1">
      <c r="A510" s="3" t="inlineStr">
        <is>
          <t>SL-S25-03</t>
        </is>
      </c>
      <c r="B510" s="3" t="inlineStr">
        <is>
          <t>SL-S25-04</t>
        </is>
      </c>
      <c r="C510" s="3" t="inlineStr">
        <is>
          <t>S25</t>
        </is>
      </c>
      <c r="D510" s="3" t="inlineStr">
        <is>
          <t>S25</t>
        </is>
      </c>
      <c r="E510" s="3" t="inlineStr">
        <is>
          <t>Bloqueia até aceite; sequência conservadora dentro do sprint</t>
        </is>
      </c>
    </row>
    <row r="511" ht="28" customHeight="1">
      <c r="A511" s="3" t="inlineStr">
        <is>
          <t>SL-S25-04</t>
        </is>
      </c>
      <c r="B511" s="3" t="inlineStr">
        <is>
          <t>SL-S25-05</t>
        </is>
      </c>
      <c r="C511" s="3" t="inlineStr">
        <is>
          <t>S25</t>
        </is>
      </c>
      <c r="D511" s="3" t="inlineStr">
        <is>
          <t>S25</t>
        </is>
      </c>
      <c r="E511" s="3" t="inlineStr">
        <is>
          <t>Bloqueia até aceite; sequência conservadora dentro do sprint</t>
        </is>
      </c>
    </row>
    <row r="512" ht="28" customHeight="1">
      <c r="A512" s="3" t="inlineStr">
        <is>
          <t>SL-S25-05</t>
        </is>
      </c>
      <c r="B512" s="3" t="inlineStr">
        <is>
          <t>SL-S25-06</t>
        </is>
      </c>
      <c r="C512" s="3" t="inlineStr">
        <is>
          <t>S25</t>
        </is>
      </c>
      <c r="D512" s="3" t="inlineStr">
        <is>
          <t>S25</t>
        </is>
      </c>
      <c r="E512" s="3" t="inlineStr">
        <is>
          <t>Bloqueia até aceite; sequência conservadora dentro do sprint</t>
        </is>
      </c>
    </row>
    <row r="513" ht="28" customHeight="1">
      <c r="A513" s="3" t="inlineStr">
        <is>
          <t>SL-S25-06</t>
        </is>
      </c>
      <c r="B513" s="3" t="inlineStr">
        <is>
          <t>SL-S25-07</t>
        </is>
      </c>
      <c r="C513" s="3" t="inlineStr">
        <is>
          <t>S25</t>
        </is>
      </c>
      <c r="D513" s="3" t="inlineStr">
        <is>
          <t>S25</t>
        </is>
      </c>
      <c r="E513" s="3" t="inlineStr">
        <is>
          <t>Bloqueia até aceite; sequência conservadora dentro do sprint</t>
        </is>
      </c>
    </row>
    <row r="514" ht="28" customHeight="1">
      <c r="A514" s="3" t="inlineStr">
        <is>
          <t>SL-S25-07</t>
        </is>
      </c>
      <c r="B514" s="3" t="inlineStr">
        <is>
          <t>SL-S25-08</t>
        </is>
      </c>
      <c r="C514" s="3" t="inlineStr">
        <is>
          <t>S25</t>
        </is>
      </c>
      <c r="D514" s="3" t="inlineStr">
        <is>
          <t>S25</t>
        </is>
      </c>
      <c r="E514" s="3" t="inlineStr">
        <is>
          <t>Bloqueia até aceite; sequência conservadora dentro do sprint</t>
        </is>
      </c>
    </row>
    <row r="515" ht="28" customHeight="1">
      <c r="A515" s="3" t="inlineStr">
        <is>
          <t>SL-S25-08</t>
        </is>
      </c>
      <c r="B515" s="3" t="inlineStr">
        <is>
          <t>SL-S25-09</t>
        </is>
      </c>
      <c r="C515" s="3" t="inlineStr">
        <is>
          <t>S25</t>
        </is>
      </c>
      <c r="D515" s="3" t="inlineStr">
        <is>
          <t>S25</t>
        </is>
      </c>
      <c r="E515" s="3" t="inlineStr">
        <is>
          <t>Bloqueia até aceite; sequência conservadora dentro do sprint</t>
        </is>
      </c>
    </row>
    <row r="516" ht="28" customHeight="1">
      <c r="A516" s="3" t="inlineStr">
        <is>
          <t>SL-S25-09</t>
        </is>
      </c>
      <c r="B516" s="3" t="inlineStr">
        <is>
          <t>SL-S25-10</t>
        </is>
      </c>
      <c r="C516" s="3" t="inlineStr">
        <is>
          <t>S25</t>
        </is>
      </c>
      <c r="D516" s="3" t="inlineStr">
        <is>
          <t>S25</t>
        </is>
      </c>
      <c r="E516" s="3" t="inlineStr">
        <is>
          <t>Bloqueia até aceite; sequência conservadora dentro do sprint</t>
        </is>
      </c>
    </row>
    <row r="517" ht="28" customHeight="1">
      <c r="A517" s="3" t="inlineStr">
        <is>
          <t>SL-S25-01</t>
        </is>
      </c>
      <c r="B517" s="3" t="inlineStr">
        <is>
          <t>SL-S25-GATE</t>
        </is>
      </c>
      <c r="C517" s="3" t="inlineStr">
        <is>
          <t>S25</t>
        </is>
      </c>
      <c r="D517" s="3" t="inlineStr">
        <is>
          <t>S25</t>
        </is>
      </c>
      <c r="E517" s="3" t="inlineStr">
        <is>
          <t>Bloqueia até aceite; sequência conservadora dentro do sprint</t>
        </is>
      </c>
    </row>
    <row r="518" ht="28" customHeight="1">
      <c r="A518" s="3" t="inlineStr">
        <is>
          <t>SL-S25-02</t>
        </is>
      </c>
      <c r="B518" s="3" t="inlineStr">
        <is>
          <t>SL-S25-GATE</t>
        </is>
      </c>
      <c r="C518" s="3" t="inlineStr">
        <is>
          <t>S25</t>
        </is>
      </c>
      <c r="D518" s="3" t="inlineStr">
        <is>
          <t>S25</t>
        </is>
      </c>
      <c r="E518" s="3" t="inlineStr">
        <is>
          <t>Bloqueia até aceite; sequência conservadora dentro do sprint</t>
        </is>
      </c>
    </row>
    <row r="519" ht="28" customHeight="1">
      <c r="A519" s="3" t="inlineStr">
        <is>
          <t>SL-S25-03</t>
        </is>
      </c>
      <c r="B519" s="3" t="inlineStr">
        <is>
          <t>SL-S25-GATE</t>
        </is>
      </c>
      <c r="C519" s="3" t="inlineStr">
        <is>
          <t>S25</t>
        </is>
      </c>
      <c r="D519" s="3" t="inlineStr">
        <is>
          <t>S25</t>
        </is>
      </c>
      <c r="E519" s="3" t="inlineStr">
        <is>
          <t>Bloqueia até aceite; sequência conservadora dentro do sprint</t>
        </is>
      </c>
    </row>
    <row r="520" ht="28" customHeight="1">
      <c r="A520" s="3" t="inlineStr">
        <is>
          <t>SL-S25-04</t>
        </is>
      </c>
      <c r="B520" s="3" t="inlineStr">
        <is>
          <t>SL-S25-GATE</t>
        </is>
      </c>
      <c r="C520" s="3" t="inlineStr">
        <is>
          <t>S25</t>
        </is>
      </c>
      <c r="D520" s="3" t="inlineStr">
        <is>
          <t>S25</t>
        </is>
      </c>
      <c r="E520" s="3" t="inlineStr">
        <is>
          <t>Bloqueia até aceite; sequência conservadora dentro do sprint</t>
        </is>
      </c>
    </row>
    <row r="521" ht="28" customHeight="1">
      <c r="A521" s="3" t="inlineStr">
        <is>
          <t>SL-S25-05</t>
        </is>
      </c>
      <c r="B521" s="3" t="inlineStr">
        <is>
          <t>SL-S25-GATE</t>
        </is>
      </c>
      <c r="C521" s="3" t="inlineStr">
        <is>
          <t>S25</t>
        </is>
      </c>
      <c r="D521" s="3" t="inlineStr">
        <is>
          <t>S25</t>
        </is>
      </c>
      <c r="E521" s="3" t="inlineStr">
        <is>
          <t>Bloqueia até aceite; sequência conservadora dentro do sprint</t>
        </is>
      </c>
    </row>
    <row r="522" ht="28" customHeight="1">
      <c r="A522" s="3" t="inlineStr">
        <is>
          <t>SL-S25-06</t>
        </is>
      </c>
      <c r="B522" s="3" t="inlineStr">
        <is>
          <t>SL-S25-GATE</t>
        </is>
      </c>
      <c r="C522" s="3" t="inlineStr">
        <is>
          <t>S25</t>
        </is>
      </c>
      <c r="D522" s="3" t="inlineStr">
        <is>
          <t>S25</t>
        </is>
      </c>
      <c r="E522" s="3" t="inlineStr">
        <is>
          <t>Bloqueia até aceite; sequência conservadora dentro do sprint</t>
        </is>
      </c>
    </row>
    <row r="523" ht="28" customHeight="1">
      <c r="A523" s="3" t="inlineStr">
        <is>
          <t>SL-S25-07</t>
        </is>
      </c>
      <c r="B523" s="3" t="inlineStr">
        <is>
          <t>SL-S25-GATE</t>
        </is>
      </c>
      <c r="C523" s="3" t="inlineStr">
        <is>
          <t>S25</t>
        </is>
      </c>
      <c r="D523" s="3" t="inlineStr">
        <is>
          <t>S25</t>
        </is>
      </c>
      <c r="E523" s="3" t="inlineStr">
        <is>
          <t>Bloqueia até aceite; sequência conservadora dentro do sprint</t>
        </is>
      </c>
    </row>
    <row r="524" ht="28" customHeight="1">
      <c r="A524" s="3" t="inlineStr">
        <is>
          <t>SL-S25-08</t>
        </is>
      </c>
      <c r="B524" s="3" t="inlineStr">
        <is>
          <t>SL-S25-GATE</t>
        </is>
      </c>
      <c r="C524" s="3" t="inlineStr">
        <is>
          <t>S25</t>
        </is>
      </c>
      <c r="D524" s="3" t="inlineStr">
        <is>
          <t>S25</t>
        </is>
      </c>
      <c r="E524" s="3" t="inlineStr">
        <is>
          <t>Bloqueia até aceite; sequência conservadora dentro do sprint</t>
        </is>
      </c>
    </row>
    <row r="525" ht="28" customHeight="1">
      <c r="A525" s="3" t="inlineStr">
        <is>
          <t>SL-S25-09</t>
        </is>
      </c>
      <c r="B525" s="3" t="inlineStr">
        <is>
          <t>SL-S25-GATE</t>
        </is>
      </c>
      <c r="C525" s="3" t="inlineStr">
        <is>
          <t>S25</t>
        </is>
      </c>
      <c r="D525" s="3" t="inlineStr">
        <is>
          <t>S25</t>
        </is>
      </c>
      <c r="E525" s="3" t="inlineStr">
        <is>
          <t>Bloqueia até aceite; sequência conservadora dentro do sprint</t>
        </is>
      </c>
    </row>
    <row r="526" ht="28" customHeight="1">
      <c r="A526" s="3" t="inlineStr">
        <is>
          <t>SL-S25-10</t>
        </is>
      </c>
      <c r="B526" s="3" t="inlineStr">
        <is>
          <t>SL-S25-GATE</t>
        </is>
      </c>
      <c r="C526" s="3" t="inlineStr">
        <is>
          <t>S25</t>
        </is>
      </c>
      <c r="D526" s="3" t="inlineStr">
        <is>
          <t>S25</t>
        </is>
      </c>
      <c r="E526" s="3" t="inlineStr">
        <is>
          <t>Bloqueia até aceite; sequência conservadora dentro do sprint</t>
        </is>
      </c>
    </row>
    <row r="527" ht="28" customHeight="1">
      <c r="A527" s="3" t="inlineStr">
        <is>
          <t>SL-S23-GATE</t>
        </is>
      </c>
      <c r="B527" s="3" t="inlineStr">
        <is>
          <t>SL-S26-01</t>
        </is>
      </c>
      <c r="C527" s="3" t="inlineStr">
        <is>
          <t>S23</t>
        </is>
      </c>
      <c r="D527" s="3" t="inlineStr">
        <is>
          <t>S26</t>
        </is>
      </c>
      <c r="E527" s="3" t="inlineStr">
        <is>
          <t>Bloqueia até aceite; sequência conservadora dentro do sprint</t>
        </is>
      </c>
    </row>
    <row r="528" ht="28" customHeight="1">
      <c r="A528" s="3" t="inlineStr">
        <is>
          <t>SL-S26-01</t>
        </is>
      </c>
      <c r="B528" s="3" t="inlineStr">
        <is>
          <t>SL-S26-02</t>
        </is>
      </c>
      <c r="C528" s="3" t="inlineStr">
        <is>
          <t>S26</t>
        </is>
      </c>
      <c r="D528" s="3" t="inlineStr">
        <is>
          <t>S26</t>
        </is>
      </c>
      <c r="E528" s="3" t="inlineStr">
        <is>
          <t>Bloqueia até aceite; sequência conservadora dentro do sprint</t>
        </is>
      </c>
    </row>
    <row r="529" ht="28" customHeight="1">
      <c r="A529" s="3" t="inlineStr">
        <is>
          <t>SL-S26-02</t>
        </is>
      </c>
      <c r="B529" s="3" t="inlineStr">
        <is>
          <t>SL-S26-03</t>
        </is>
      </c>
      <c r="C529" s="3" t="inlineStr">
        <is>
          <t>S26</t>
        </is>
      </c>
      <c r="D529" s="3" t="inlineStr">
        <is>
          <t>S26</t>
        </is>
      </c>
      <c r="E529" s="3" t="inlineStr">
        <is>
          <t>Bloqueia até aceite; sequência conservadora dentro do sprint</t>
        </is>
      </c>
    </row>
    <row r="530" ht="28" customHeight="1">
      <c r="A530" s="3" t="inlineStr">
        <is>
          <t>SL-S26-03</t>
        </is>
      </c>
      <c r="B530" s="3" t="inlineStr">
        <is>
          <t>SL-S26-04</t>
        </is>
      </c>
      <c r="C530" s="3" t="inlineStr">
        <is>
          <t>S26</t>
        </is>
      </c>
      <c r="D530" s="3" t="inlineStr">
        <is>
          <t>S26</t>
        </is>
      </c>
      <c r="E530" s="3" t="inlineStr">
        <is>
          <t>Bloqueia até aceite; sequência conservadora dentro do sprint</t>
        </is>
      </c>
    </row>
    <row r="531" ht="28" customHeight="1">
      <c r="A531" s="3" t="inlineStr">
        <is>
          <t>SL-S26-04</t>
        </is>
      </c>
      <c r="B531" s="3" t="inlineStr">
        <is>
          <t>SL-S26-05</t>
        </is>
      </c>
      <c r="C531" s="3" t="inlineStr">
        <is>
          <t>S26</t>
        </is>
      </c>
      <c r="D531" s="3" t="inlineStr">
        <is>
          <t>S26</t>
        </is>
      </c>
      <c r="E531" s="3" t="inlineStr">
        <is>
          <t>Bloqueia até aceite; sequência conservadora dentro do sprint</t>
        </is>
      </c>
    </row>
    <row r="532" ht="28" customHeight="1">
      <c r="A532" s="3" t="inlineStr">
        <is>
          <t>SL-S26-05</t>
        </is>
      </c>
      <c r="B532" s="3" t="inlineStr">
        <is>
          <t>SL-S26-06</t>
        </is>
      </c>
      <c r="C532" s="3" t="inlineStr">
        <is>
          <t>S26</t>
        </is>
      </c>
      <c r="D532" s="3" t="inlineStr">
        <is>
          <t>S26</t>
        </is>
      </c>
      <c r="E532" s="3" t="inlineStr">
        <is>
          <t>Bloqueia até aceite; sequência conservadora dentro do sprint</t>
        </is>
      </c>
    </row>
    <row r="533" ht="28" customHeight="1">
      <c r="A533" s="3" t="inlineStr">
        <is>
          <t>SL-S26-06</t>
        </is>
      </c>
      <c r="B533" s="3" t="inlineStr">
        <is>
          <t>SL-S26-07</t>
        </is>
      </c>
      <c r="C533" s="3" t="inlineStr">
        <is>
          <t>S26</t>
        </is>
      </c>
      <c r="D533" s="3" t="inlineStr">
        <is>
          <t>S26</t>
        </is>
      </c>
      <c r="E533" s="3" t="inlineStr">
        <is>
          <t>Bloqueia até aceite; sequência conservadora dentro do sprint</t>
        </is>
      </c>
    </row>
    <row r="534" ht="28" customHeight="1">
      <c r="A534" s="3" t="inlineStr">
        <is>
          <t>SL-S26-07</t>
        </is>
      </c>
      <c r="B534" s="3" t="inlineStr">
        <is>
          <t>SL-S26-08</t>
        </is>
      </c>
      <c r="C534" s="3" t="inlineStr">
        <is>
          <t>S26</t>
        </is>
      </c>
      <c r="D534" s="3" t="inlineStr">
        <is>
          <t>S26</t>
        </is>
      </c>
      <c r="E534" s="3" t="inlineStr">
        <is>
          <t>Bloqueia até aceite; sequência conservadora dentro do sprint</t>
        </is>
      </c>
    </row>
    <row r="535" ht="28" customHeight="1">
      <c r="A535" s="3" t="inlineStr">
        <is>
          <t>SL-S26-08</t>
        </is>
      </c>
      <c r="B535" s="3" t="inlineStr">
        <is>
          <t>SL-S26-09</t>
        </is>
      </c>
      <c r="C535" s="3" t="inlineStr">
        <is>
          <t>S26</t>
        </is>
      </c>
      <c r="D535" s="3" t="inlineStr">
        <is>
          <t>S26</t>
        </is>
      </c>
      <c r="E535" s="3" t="inlineStr">
        <is>
          <t>Bloqueia até aceite; sequência conservadora dentro do sprint</t>
        </is>
      </c>
    </row>
    <row r="536" ht="28" customHeight="1">
      <c r="A536" s="3" t="inlineStr">
        <is>
          <t>SL-S26-09</t>
        </is>
      </c>
      <c r="B536" s="3" t="inlineStr">
        <is>
          <t>SL-S26-10</t>
        </is>
      </c>
      <c r="C536" s="3" t="inlineStr">
        <is>
          <t>S26</t>
        </is>
      </c>
      <c r="D536" s="3" t="inlineStr">
        <is>
          <t>S26</t>
        </is>
      </c>
      <c r="E536" s="3" t="inlineStr">
        <is>
          <t>Bloqueia até aceite; sequência conservadora dentro do sprint</t>
        </is>
      </c>
    </row>
    <row r="537" ht="28" customHeight="1">
      <c r="A537" s="3" t="inlineStr">
        <is>
          <t>SL-S26-01</t>
        </is>
      </c>
      <c r="B537" s="3" t="inlineStr">
        <is>
          <t>SL-S26-GATE</t>
        </is>
      </c>
      <c r="C537" s="3" t="inlineStr">
        <is>
          <t>S26</t>
        </is>
      </c>
      <c r="D537" s="3" t="inlineStr">
        <is>
          <t>S26</t>
        </is>
      </c>
      <c r="E537" s="3" t="inlineStr">
        <is>
          <t>Bloqueia até aceite; sequência conservadora dentro do sprint</t>
        </is>
      </c>
    </row>
    <row r="538" ht="28" customHeight="1">
      <c r="A538" s="3" t="inlineStr">
        <is>
          <t>SL-S26-02</t>
        </is>
      </c>
      <c r="B538" s="3" t="inlineStr">
        <is>
          <t>SL-S26-GATE</t>
        </is>
      </c>
      <c r="C538" s="3" t="inlineStr">
        <is>
          <t>S26</t>
        </is>
      </c>
      <c r="D538" s="3" t="inlineStr">
        <is>
          <t>S26</t>
        </is>
      </c>
      <c r="E538" s="3" t="inlineStr">
        <is>
          <t>Bloqueia até aceite; sequência conservadora dentro do sprint</t>
        </is>
      </c>
    </row>
    <row r="539" ht="28" customHeight="1">
      <c r="A539" s="3" t="inlineStr">
        <is>
          <t>SL-S26-03</t>
        </is>
      </c>
      <c r="B539" s="3" t="inlineStr">
        <is>
          <t>SL-S26-GATE</t>
        </is>
      </c>
      <c r="C539" s="3" t="inlineStr">
        <is>
          <t>S26</t>
        </is>
      </c>
      <c r="D539" s="3" t="inlineStr">
        <is>
          <t>S26</t>
        </is>
      </c>
      <c r="E539" s="3" t="inlineStr">
        <is>
          <t>Bloqueia até aceite; sequência conservadora dentro do sprint</t>
        </is>
      </c>
    </row>
    <row r="540" ht="28" customHeight="1">
      <c r="A540" s="3" t="inlineStr">
        <is>
          <t>SL-S26-04</t>
        </is>
      </c>
      <c r="B540" s="3" t="inlineStr">
        <is>
          <t>SL-S26-GATE</t>
        </is>
      </c>
      <c r="C540" s="3" t="inlineStr">
        <is>
          <t>S26</t>
        </is>
      </c>
      <c r="D540" s="3" t="inlineStr">
        <is>
          <t>S26</t>
        </is>
      </c>
      <c r="E540" s="3" t="inlineStr">
        <is>
          <t>Bloqueia até aceite; sequência conservadora dentro do sprint</t>
        </is>
      </c>
    </row>
    <row r="541" ht="28" customHeight="1">
      <c r="A541" s="3" t="inlineStr">
        <is>
          <t>SL-S26-05</t>
        </is>
      </c>
      <c r="B541" s="3" t="inlineStr">
        <is>
          <t>SL-S26-GATE</t>
        </is>
      </c>
      <c r="C541" s="3" t="inlineStr">
        <is>
          <t>S26</t>
        </is>
      </c>
      <c r="D541" s="3" t="inlineStr">
        <is>
          <t>S26</t>
        </is>
      </c>
      <c r="E541" s="3" t="inlineStr">
        <is>
          <t>Bloqueia até aceite; sequência conservadora dentro do sprint</t>
        </is>
      </c>
    </row>
    <row r="542" ht="28" customHeight="1">
      <c r="A542" s="3" t="inlineStr">
        <is>
          <t>SL-S26-06</t>
        </is>
      </c>
      <c r="B542" s="3" t="inlineStr">
        <is>
          <t>SL-S26-GATE</t>
        </is>
      </c>
      <c r="C542" s="3" t="inlineStr">
        <is>
          <t>S26</t>
        </is>
      </c>
      <c r="D542" s="3" t="inlineStr">
        <is>
          <t>S26</t>
        </is>
      </c>
      <c r="E542" s="3" t="inlineStr">
        <is>
          <t>Bloqueia até aceite; sequência conservadora dentro do sprint</t>
        </is>
      </c>
    </row>
    <row r="543" ht="28" customHeight="1">
      <c r="A543" s="3" t="inlineStr">
        <is>
          <t>SL-S26-07</t>
        </is>
      </c>
      <c r="B543" s="3" t="inlineStr">
        <is>
          <t>SL-S26-GATE</t>
        </is>
      </c>
      <c r="C543" s="3" t="inlineStr">
        <is>
          <t>S26</t>
        </is>
      </c>
      <c r="D543" s="3" t="inlineStr">
        <is>
          <t>S26</t>
        </is>
      </c>
      <c r="E543" s="3" t="inlineStr">
        <is>
          <t>Bloqueia até aceite; sequência conservadora dentro do sprint</t>
        </is>
      </c>
    </row>
    <row r="544" ht="28" customHeight="1">
      <c r="A544" s="3" t="inlineStr">
        <is>
          <t>SL-S26-08</t>
        </is>
      </c>
      <c r="B544" s="3" t="inlineStr">
        <is>
          <t>SL-S26-GATE</t>
        </is>
      </c>
      <c r="C544" s="3" t="inlineStr">
        <is>
          <t>S26</t>
        </is>
      </c>
      <c r="D544" s="3" t="inlineStr">
        <is>
          <t>S26</t>
        </is>
      </c>
      <c r="E544" s="3" t="inlineStr">
        <is>
          <t>Bloqueia até aceite; sequência conservadora dentro do sprint</t>
        </is>
      </c>
    </row>
    <row r="545" ht="28" customHeight="1">
      <c r="A545" s="3" t="inlineStr">
        <is>
          <t>SL-S26-09</t>
        </is>
      </c>
      <c r="B545" s="3" t="inlineStr">
        <is>
          <t>SL-S26-GATE</t>
        </is>
      </c>
      <c r="C545" s="3" t="inlineStr">
        <is>
          <t>S26</t>
        </is>
      </c>
      <c r="D545" s="3" t="inlineStr">
        <is>
          <t>S26</t>
        </is>
      </c>
      <c r="E545" s="3" t="inlineStr">
        <is>
          <t>Bloqueia até aceite; sequência conservadora dentro do sprint</t>
        </is>
      </c>
    </row>
    <row r="546" ht="28" customHeight="1">
      <c r="A546" s="3" t="inlineStr">
        <is>
          <t>SL-S26-10</t>
        </is>
      </c>
      <c r="B546" s="3" t="inlineStr">
        <is>
          <t>SL-S26-GATE</t>
        </is>
      </c>
      <c r="C546" s="3" t="inlineStr">
        <is>
          <t>S26</t>
        </is>
      </c>
      <c r="D546" s="3" t="inlineStr">
        <is>
          <t>S26</t>
        </is>
      </c>
      <c r="E546" s="3" t="inlineStr">
        <is>
          <t>Bloqueia até aceite; sequência conservadora dentro do sprint</t>
        </is>
      </c>
    </row>
    <row r="547" ht="28" customHeight="1">
      <c r="A547" s="3" t="inlineStr">
        <is>
          <t>SL-S23-GATE</t>
        </is>
      </c>
      <c r="B547" s="3" t="inlineStr">
        <is>
          <t>SL-S27-01</t>
        </is>
      </c>
      <c r="C547" s="3" t="inlineStr">
        <is>
          <t>S23</t>
        </is>
      </c>
      <c r="D547" s="3" t="inlineStr">
        <is>
          <t>S27</t>
        </is>
      </c>
      <c r="E547" s="3" t="inlineStr">
        <is>
          <t>Bloqueia até aceite; sequência conservadora dentro do sprint</t>
        </is>
      </c>
    </row>
    <row r="548" ht="28" customHeight="1">
      <c r="A548" s="3" t="inlineStr">
        <is>
          <t>SL-S24-GATE</t>
        </is>
      </c>
      <c r="B548" s="3" t="inlineStr">
        <is>
          <t>SL-S27-01</t>
        </is>
      </c>
      <c r="C548" s="3" t="inlineStr">
        <is>
          <t>S24</t>
        </is>
      </c>
      <c r="D548" s="3" t="inlineStr">
        <is>
          <t>S27</t>
        </is>
      </c>
      <c r="E548" s="3" t="inlineStr">
        <is>
          <t>Bloqueia até aceite; sequência conservadora dentro do sprint</t>
        </is>
      </c>
    </row>
    <row r="549" ht="28" customHeight="1">
      <c r="A549" s="3" t="inlineStr">
        <is>
          <t>SL-S25-GATE</t>
        </is>
      </c>
      <c r="B549" s="3" t="inlineStr">
        <is>
          <t>SL-S27-01</t>
        </is>
      </c>
      <c r="C549" s="3" t="inlineStr">
        <is>
          <t>S25</t>
        </is>
      </c>
      <c r="D549" s="3" t="inlineStr">
        <is>
          <t>S27</t>
        </is>
      </c>
      <c r="E549" s="3" t="inlineStr">
        <is>
          <t>Bloqueia até aceite; sequência conservadora dentro do sprint</t>
        </is>
      </c>
    </row>
    <row r="550" ht="28" customHeight="1">
      <c r="A550" s="3" t="inlineStr">
        <is>
          <t>SL-S26-GATE</t>
        </is>
      </c>
      <c r="B550" s="3" t="inlineStr">
        <is>
          <t>SL-S27-01</t>
        </is>
      </c>
      <c r="C550" s="3" t="inlineStr">
        <is>
          <t>S26</t>
        </is>
      </c>
      <c r="D550" s="3" t="inlineStr">
        <is>
          <t>S27</t>
        </is>
      </c>
      <c r="E550" s="3" t="inlineStr">
        <is>
          <t>Bloqueia até aceite; sequência conservadora dentro do sprint</t>
        </is>
      </c>
    </row>
    <row r="551" ht="28" customHeight="1">
      <c r="A551" s="3" t="inlineStr">
        <is>
          <t>SL-S27-01</t>
        </is>
      </c>
      <c r="B551" s="3" t="inlineStr">
        <is>
          <t>SL-S27-02</t>
        </is>
      </c>
      <c r="C551" s="3" t="inlineStr">
        <is>
          <t>S27</t>
        </is>
      </c>
      <c r="D551" s="3" t="inlineStr">
        <is>
          <t>S27</t>
        </is>
      </c>
      <c r="E551" s="3" t="inlineStr">
        <is>
          <t>Bloqueia até aceite; sequência conservadora dentro do sprint</t>
        </is>
      </c>
    </row>
    <row r="552" ht="28" customHeight="1">
      <c r="A552" s="3" t="inlineStr">
        <is>
          <t>SL-S27-02</t>
        </is>
      </c>
      <c r="B552" s="3" t="inlineStr">
        <is>
          <t>SL-S27-03</t>
        </is>
      </c>
      <c r="C552" s="3" t="inlineStr">
        <is>
          <t>S27</t>
        </is>
      </c>
      <c r="D552" s="3" t="inlineStr">
        <is>
          <t>S27</t>
        </is>
      </c>
      <c r="E552" s="3" t="inlineStr">
        <is>
          <t>Bloqueia até aceite; sequência conservadora dentro do sprint</t>
        </is>
      </c>
    </row>
    <row r="553" ht="28" customHeight="1">
      <c r="A553" s="3" t="inlineStr">
        <is>
          <t>SL-S27-03</t>
        </is>
      </c>
      <c r="B553" s="3" t="inlineStr">
        <is>
          <t>SL-S27-04</t>
        </is>
      </c>
      <c r="C553" s="3" t="inlineStr">
        <is>
          <t>S27</t>
        </is>
      </c>
      <c r="D553" s="3" t="inlineStr">
        <is>
          <t>S27</t>
        </is>
      </c>
      <c r="E553" s="3" t="inlineStr">
        <is>
          <t>Bloqueia até aceite; sequência conservadora dentro do sprint</t>
        </is>
      </c>
    </row>
    <row r="554" ht="28" customHeight="1">
      <c r="A554" s="3" t="inlineStr">
        <is>
          <t>SL-S27-04</t>
        </is>
      </c>
      <c r="B554" s="3" t="inlineStr">
        <is>
          <t>SL-S27-05</t>
        </is>
      </c>
      <c r="C554" s="3" t="inlineStr">
        <is>
          <t>S27</t>
        </is>
      </c>
      <c r="D554" s="3" t="inlineStr">
        <is>
          <t>S27</t>
        </is>
      </c>
      <c r="E554" s="3" t="inlineStr">
        <is>
          <t>Bloqueia até aceite; sequência conservadora dentro do sprint</t>
        </is>
      </c>
    </row>
    <row r="555" ht="28" customHeight="1">
      <c r="A555" s="3" t="inlineStr">
        <is>
          <t>SL-S27-05</t>
        </is>
      </c>
      <c r="B555" s="3" t="inlineStr">
        <is>
          <t>SL-S27-06</t>
        </is>
      </c>
      <c r="C555" s="3" t="inlineStr">
        <is>
          <t>S27</t>
        </is>
      </c>
      <c r="D555" s="3" t="inlineStr">
        <is>
          <t>S27</t>
        </is>
      </c>
      <c r="E555" s="3" t="inlineStr">
        <is>
          <t>Bloqueia até aceite; sequência conservadora dentro do sprint</t>
        </is>
      </c>
    </row>
    <row r="556" ht="28" customHeight="1">
      <c r="A556" s="3" t="inlineStr">
        <is>
          <t>SL-S27-06</t>
        </is>
      </c>
      <c r="B556" s="3" t="inlineStr">
        <is>
          <t>SL-S27-07</t>
        </is>
      </c>
      <c r="C556" s="3" t="inlineStr">
        <is>
          <t>S27</t>
        </is>
      </c>
      <c r="D556" s="3" t="inlineStr">
        <is>
          <t>S27</t>
        </is>
      </c>
      <c r="E556" s="3" t="inlineStr">
        <is>
          <t>Bloqueia até aceite; sequência conservadora dentro do sprint</t>
        </is>
      </c>
    </row>
    <row r="557" ht="28" customHeight="1">
      <c r="A557" s="3" t="inlineStr">
        <is>
          <t>SL-S27-07</t>
        </is>
      </c>
      <c r="B557" s="3" t="inlineStr">
        <is>
          <t>SL-S27-08</t>
        </is>
      </c>
      <c r="C557" s="3" t="inlineStr">
        <is>
          <t>S27</t>
        </is>
      </c>
      <c r="D557" s="3" t="inlineStr">
        <is>
          <t>S27</t>
        </is>
      </c>
      <c r="E557" s="3" t="inlineStr">
        <is>
          <t>Bloqueia até aceite; sequência conservadora dentro do sprint</t>
        </is>
      </c>
    </row>
    <row r="558" ht="28" customHeight="1">
      <c r="A558" s="3" t="inlineStr">
        <is>
          <t>SL-S27-08</t>
        </is>
      </c>
      <c r="B558" s="3" t="inlineStr">
        <is>
          <t>SL-S27-09</t>
        </is>
      </c>
      <c r="C558" s="3" t="inlineStr">
        <is>
          <t>S27</t>
        </is>
      </c>
      <c r="D558" s="3" t="inlineStr">
        <is>
          <t>S27</t>
        </is>
      </c>
      <c r="E558" s="3" t="inlineStr">
        <is>
          <t>Bloqueia até aceite; sequência conservadora dentro do sprint</t>
        </is>
      </c>
    </row>
    <row r="559" ht="28" customHeight="1">
      <c r="A559" s="3" t="inlineStr">
        <is>
          <t>SL-S27-09</t>
        </is>
      </c>
      <c r="B559" s="3" t="inlineStr">
        <is>
          <t>SL-S27-10</t>
        </is>
      </c>
      <c r="C559" s="3" t="inlineStr">
        <is>
          <t>S27</t>
        </is>
      </c>
      <c r="D559" s="3" t="inlineStr">
        <is>
          <t>S27</t>
        </is>
      </c>
      <c r="E559" s="3" t="inlineStr">
        <is>
          <t>Bloqueia até aceite; sequência conservadora dentro do sprint</t>
        </is>
      </c>
    </row>
    <row r="560" ht="28" customHeight="1">
      <c r="A560" s="3" t="inlineStr">
        <is>
          <t>SL-S27-01</t>
        </is>
      </c>
      <c r="B560" s="3" t="inlineStr">
        <is>
          <t>SL-S27-GATE</t>
        </is>
      </c>
      <c r="C560" s="3" t="inlineStr">
        <is>
          <t>S27</t>
        </is>
      </c>
      <c r="D560" s="3" t="inlineStr">
        <is>
          <t>S27</t>
        </is>
      </c>
      <c r="E560" s="3" t="inlineStr">
        <is>
          <t>Bloqueia até aceite; sequência conservadora dentro do sprint</t>
        </is>
      </c>
    </row>
    <row r="561" ht="28" customHeight="1">
      <c r="A561" s="3" t="inlineStr">
        <is>
          <t>SL-S27-02</t>
        </is>
      </c>
      <c r="B561" s="3" t="inlineStr">
        <is>
          <t>SL-S27-GATE</t>
        </is>
      </c>
      <c r="C561" s="3" t="inlineStr">
        <is>
          <t>S27</t>
        </is>
      </c>
      <c r="D561" s="3" t="inlineStr">
        <is>
          <t>S27</t>
        </is>
      </c>
      <c r="E561" s="3" t="inlineStr">
        <is>
          <t>Bloqueia até aceite; sequência conservadora dentro do sprint</t>
        </is>
      </c>
    </row>
    <row r="562" ht="28" customHeight="1">
      <c r="A562" s="3" t="inlineStr">
        <is>
          <t>SL-S27-03</t>
        </is>
      </c>
      <c r="B562" s="3" t="inlineStr">
        <is>
          <t>SL-S27-GATE</t>
        </is>
      </c>
      <c r="C562" s="3" t="inlineStr">
        <is>
          <t>S27</t>
        </is>
      </c>
      <c r="D562" s="3" t="inlineStr">
        <is>
          <t>S27</t>
        </is>
      </c>
      <c r="E562" s="3" t="inlineStr">
        <is>
          <t>Bloqueia até aceite; sequência conservadora dentro do sprint</t>
        </is>
      </c>
    </row>
    <row r="563" ht="28" customHeight="1">
      <c r="A563" s="3" t="inlineStr">
        <is>
          <t>SL-S27-04</t>
        </is>
      </c>
      <c r="B563" s="3" t="inlineStr">
        <is>
          <t>SL-S27-GATE</t>
        </is>
      </c>
      <c r="C563" s="3" t="inlineStr">
        <is>
          <t>S27</t>
        </is>
      </c>
      <c r="D563" s="3" t="inlineStr">
        <is>
          <t>S27</t>
        </is>
      </c>
      <c r="E563" s="3" t="inlineStr">
        <is>
          <t>Bloqueia até aceite; sequência conservadora dentro do sprint</t>
        </is>
      </c>
    </row>
    <row r="564" ht="28" customHeight="1">
      <c r="A564" s="3" t="inlineStr">
        <is>
          <t>SL-S27-05</t>
        </is>
      </c>
      <c r="B564" s="3" t="inlineStr">
        <is>
          <t>SL-S27-GATE</t>
        </is>
      </c>
      <c r="C564" s="3" t="inlineStr">
        <is>
          <t>S27</t>
        </is>
      </c>
      <c r="D564" s="3" t="inlineStr">
        <is>
          <t>S27</t>
        </is>
      </c>
      <c r="E564" s="3" t="inlineStr">
        <is>
          <t>Bloqueia até aceite; sequência conservadora dentro do sprint</t>
        </is>
      </c>
    </row>
    <row r="565" ht="28" customHeight="1">
      <c r="A565" s="3" t="inlineStr">
        <is>
          <t>SL-S27-06</t>
        </is>
      </c>
      <c r="B565" s="3" t="inlineStr">
        <is>
          <t>SL-S27-GATE</t>
        </is>
      </c>
      <c r="C565" s="3" t="inlineStr">
        <is>
          <t>S27</t>
        </is>
      </c>
      <c r="D565" s="3" t="inlineStr">
        <is>
          <t>S27</t>
        </is>
      </c>
      <c r="E565" s="3" t="inlineStr">
        <is>
          <t>Bloqueia até aceite; sequência conservadora dentro do sprint</t>
        </is>
      </c>
    </row>
    <row r="566" ht="28" customHeight="1">
      <c r="A566" s="3" t="inlineStr">
        <is>
          <t>SL-S27-07</t>
        </is>
      </c>
      <c r="B566" s="3" t="inlineStr">
        <is>
          <t>SL-S27-GATE</t>
        </is>
      </c>
      <c r="C566" s="3" t="inlineStr">
        <is>
          <t>S27</t>
        </is>
      </c>
      <c r="D566" s="3" t="inlineStr">
        <is>
          <t>S27</t>
        </is>
      </c>
      <c r="E566" s="3" t="inlineStr">
        <is>
          <t>Bloqueia até aceite; sequência conservadora dentro do sprint</t>
        </is>
      </c>
    </row>
    <row r="567" ht="28" customHeight="1">
      <c r="A567" s="3" t="inlineStr">
        <is>
          <t>SL-S27-08</t>
        </is>
      </c>
      <c r="B567" s="3" t="inlineStr">
        <is>
          <t>SL-S27-GATE</t>
        </is>
      </c>
      <c r="C567" s="3" t="inlineStr">
        <is>
          <t>S27</t>
        </is>
      </c>
      <c r="D567" s="3" t="inlineStr">
        <is>
          <t>S27</t>
        </is>
      </c>
      <c r="E567" s="3" t="inlineStr">
        <is>
          <t>Bloqueia até aceite; sequência conservadora dentro do sprint</t>
        </is>
      </c>
    </row>
    <row r="568" ht="28" customHeight="1">
      <c r="A568" s="3" t="inlineStr">
        <is>
          <t>SL-S27-09</t>
        </is>
      </c>
      <c r="B568" s="3" t="inlineStr">
        <is>
          <t>SL-S27-GATE</t>
        </is>
      </c>
      <c r="C568" s="3" t="inlineStr">
        <is>
          <t>S27</t>
        </is>
      </c>
      <c r="D568" s="3" t="inlineStr">
        <is>
          <t>S27</t>
        </is>
      </c>
      <c r="E568" s="3" t="inlineStr">
        <is>
          <t>Bloqueia até aceite; sequência conservadora dentro do sprint</t>
        </is>
      </c>
    </row>
    <row r="569" ht="28" customHeight="1">
      <c r="A569" s="3" t="inlineStr">
        <is>
          <t>SL-S27-10</t>
        </is>
      </c>
      <c r="B569" s="3" t="inlineStr">
        <is>
          <t>SL-S27-GATE</t>
        </is>
      </c>
      <c r="C569" s="3" t="inlineStr">
        <is>
          <t>S27</t>
        </is>
      </c>
      <c r="D569" s="3" t="inlineStr">
        <is>
          <t>S27</t>
        </is>
      </c>
      <c r="E569" s="3" t="inlineStr">
        <is>
          <t>Bloqueia até aceite; sequência conservadora dentro do sprint</t>
        </is>
      </c>
    </row>
    <row r="570" ht="28" customHeight="1">
      <c r="A570" s="3" t="inlineStr">
        <is>
          <t>SL-S27-GATE</t>
        </is>
      </c>
      <c r="B570" s="3" t="inlineStr">
        <is>
          <t>SL-S28-01</t>
        </is>
      </c>
      <c r="C570" s="3" t="inlineStr">
        <is>
          <t>S27</t>
        </is>
      </c>
      <c r="D570" s="3" t="inlineStr">
        <is>
          <t>S28</t>
        </is>
      </c>
      <c r="E570" s="3" t="inlineStr">
        <is>
          <t>Bloqueia até aceite; sequência conservadora dentro do sprint</t>
        </is>
      </c>
    </row>
    <row r="571" ht="28" customHeight="1">
      <c r="A571" s="3" t="inlineStr">
        <is>
          <t>SL-S28-01</t>
        </is>
      </c>
      <c r="B571" s="3" t="inlineStr">
        <is>
          <t>SL-S28-02</t>
        </is>
      </c>
      <c r="C571" s="3" t="inlineStr">
        <is>
          <t>S28</t>
        </is>
      </c>
      <c r="D571" s="3" t="inlineStr">
        <is>
          <t>S28</t>
        </is>
      </c>
      <c r="E571" s="3" t="inlineStr">
        <is>
          <t>Bloqueia até aceite; sequência conservadora dentro do sprint</t>
        </is>
      </c>
    </row>
    <row r="572" ht="28" customHeight="1">
      <c r="A572" s="3" t="inlineStr">
        <is>
          <t>SL-S28-02</t>
        </is>
      </c>
      <c r="B572" s="3" t="inlineStr">
        <is>
          <t>SL-S28-03</t>
        </is>
      </c>
      <c r="C572" s="3" t="inlineStr">
        <is>
          <t>S28</t>
        </is>
      </c>
      <c r="D572" s="3" t="inlineStr">
        <is>
          <t>S28</t>
        </is>
      </c>
      <c r="E572" s="3" t="inlineStr">
        <is>
          <t>Bloqueia até aceite; sequência conservadora dentro do sprint</t>
        </is>
      </c>
    </row>
    <row r="573" ht="28" customHeight="1">
      <c r="A573" s="3" t="inlineStr">
        <is>
          <t>SL-S28-03</t>
        </is>
      </c>
      <c r="B573" s="3" t="inlineStr">
        <is>
          <t>SL-S28-04</t>
        </is>
      </c>
      <c r="C573" s="3" t="inlineStr">
        <is>
          <t>S28</t>
        </is>
      </c>
      <c r="D573" s="3" t="inlineStr">
        <is>
          <t>S28</t>
        </is>
      </c>
      <c r="E573" s="3" t="inlineStr">
        <is>
          <t>Bloqueia até aceite; sequência conservadora dentro do sprint</t>
        </is>
      </c>
    </row>
    <row r="574" ht="28" customHeight="1">
      <c r="A574" s="3" t="inlineStr">
        <is>
          <t>SL-S28-04</t>
        </is>
      </c>
      <c r="B574" s="3" t="inlineStr">
        <is>
          <t>SL-S28-05</t>
        </is>
      </c>
      <c r="C574" s="3" t="inlineStr">
        <is>
          <t>S28</t>
        </is>
      </c>
      <c r="D574" s="3" t="inlineStr">
        <is>
          <t>S28</t>
        </is>
      </c>
      <c r="E574" s="3" t="inlineStr">
        <is>
          <t>Bloqueia até aceite; sequência conservadora dentro do sprint</t>
        </is>
      </c>
    </row>
    <row r="575" ht="28" customHeight="1">
      <c r="A575" s="3" t="inlineStr">
        <is>
          <t>SL-S28-05</t>
        </is>
      </c>
      <c r="B575" s="3" t="inlineStr">
        <is>
          <t>SL-S28-06</t>
        </is>
      </c>
      <c r="C575" s="3" t="inlineStr">
        <is>
          <t>S28</t>
        </is>
      </c>
      <c r="D575" s="3" t="inlineStr">
        <is>
          <t>S28</t>
        </is>
      </c>
      <c r="E575" s="3" t="inlineStr">
        <is>
          <t>Bloqueia até aceite; sequência conservadora dentro do sprint</t>
        </is>
      </c>
    </row>
    <row r="576" ht="28" customHeight="1">
      <c r="A576" s="3" t="inlineStr">
        <is>
          <t>SL-S28-06</t>
        </is>
      </c>
      <c r="B576" s="3" t="inlineStr">
        <is>
          <t>SL-S28-07</t>
        </is>
      </c>
      <c r="C576" s="3" t="inlineStr">
        <is>
          <t>S28</t>
        </is>
      </c>
      <c r="D576" s="3" t="inlineStr">
        <is>
          <t>S28</t>
        </is>
      </c>
      <c r="E576" s="3" t="inlineStr">
        <is>
          <t>Bloqueia até aceite; sequência conservadora dentro do sprint</t>
        </is>
      </c>
    </row>
    <row r="577" ht="28" customHeight="1">
      <c r="A577" s="3" t="inlineStr">
        <is>
          <t>SL-S28-07</t>
        </is>
      </c>
      <c r="B577" s="3" t="inlineStr">
        <is>
          <t>SL-S28-08</t>
        </is>
      </c>
      <c r="C577" s="3" t="inlineStr">
        <is>
          <t>S28</t>
        </is>
      </c>
      <c r="D577" s="3" t="inlineStr">
        <is>
          <t>S28</t>
        </is>
      </c>
      <c r="E577" s="3" t="inlineStr">
        <is>
          <t>Bloqueia até aceite; sequência conservadora dentro do sprint</t>
        </is>
      </c>
    </row>
    <row r="578" ht="28" customHeight="1">
      <c r="A578" s="3" t="inlineStr">
        <is>
          <t>SL-S28-08</t>
        </is>
      </c>
      <c r="B578" s="3" t="inlineStr">
        <is>
          <t>SL-S28-09</t>
        </is>
      </c>
      <c r="C578" s="3" t="inlineStr">
        <is>
          <t>S28</t>
        </is>
      </c>
      <c r="D578" s="3" t="inlineStr">
        <is>
          <t>S28</t>
        </is>
      </c>
      <c r="E578" s="3" t="inlineStr">
        <is>
          <t>Bloqueia até aceite; sequência conservadora dentro do sprint</t>
        </is>
      </c>
    </row>
    <row r="579" ht="28" customHeight="1">
      <c r="A579" s="3" t="inlineStr">
        <is>
          <t>SL-S28-09</t>
        </is>
      </c>
      <c r="B579" s="3" t="inlineStr">
        <is>
          <t>SL-S28-10</t>
        </is>
      </c>
      <c r="C579" s="3" t="inlineStr">
        <is>
          <t>S28</t>
        </is>
      </c>
      <c r="D579" s="3" t="inlineStr">
        <is>
          <t>S28</t>
        </is>
      </c>
      <c r="E579" s="3" t="inlineStr">
        <is>
          <t>Bloqueia até aceite; sequência conservadora dentro do sprint</t>
        </is>
      </c>
    </row>
    <row r="580" ht="28" customHeight="1">
      <c r="A580" s="3" t="inlineStr">
        <is>
          <t>SL-S28-01</t>
        </is>
      </c>
      <c r="B580" s="3" t="inlineStr">
        <is>
          <t>SL-S28-GATE</t>
        </is>
      </c>
      <c r="C580" s="3" t="inlineStr">
        <is>
          <t>S28</t>
        </is>
      </c>
      <c r="D580" s="3" t="inlineStr">
        <is>
          <t>S28</t>
        </is>
      </c>
      <c r="E580" s="3" t="inlineStr">
        <is>
          <t>Bloqueia até aceite; sequência conservadora dentro do sprint</t>
        </is>
      </c>
    </row>
    <row r="581" ht="28" customHeight="1">
      <c r="A581" s="3" t="inlineStr">
        <is>
          <t>SL-S28-02</t>
        </is>
      </c>
      <c r="B581" s="3" t="inlineStr">
        <is>
          <t>SL-S28-GATE</t>
        </is>
      </c>
      <c r="C581" s="3" t="inlineStr">
        <is>
          <t>S28</t>
        </is>
      </c>
      <c r="D581" s="3" t="inlineStr">
        <is>
          <t>S28</t>
        </is>
      </c>
      <c r="E581" s="3" t="inlineStr">
        <is>
          <t>Bloqueia até aceite; sequência conservadora dentro do sprint</t>
        </is>
      </c>
    </row>
    <row r="582" ht="28" customHeight="1">
      <c r="A582" s="3" t="inlineStr">
        <is>
          <t>SL-S28-03</t>
        </is>
      </c>
      <c r="B582" s="3" t="inlineStr">
        <is>
          <t>SL-S28-GATE</t>
        </is>
      </c>
      <c r="C582" s="3" t="inlineStr">
        <is>
          <t>S28</t>
        </is>
      </c>
      <c r="D582" s="3" t="inlineStr">
        <is>
          <t>S28</t>
        </is>
      </c>
      <c r="E582" s="3" t="inlineStr">
        <is>
          <t>Bloqueia até aceite; sequência conservadora dentro do sprint</t>
        </is>
      </c>
    </row>
    <row r="583" ht="28" customHeight="1">
      <c r="A583" s="3" t="inlineStr">
        <is>
          <t>SL-S28-04</t>
        </is>
      </c>
      <c r="B583" s="3" t="inlineStr">
        <is>
          <t>SL-S28-GATE</t>
        </is>
      </c>
      <c r="C583" s="3" t="inlineStr">
        <is>
          <t>S28</t>
        </is>
      </c>
      <c r="D583" s="3" t="inlineStr">
        <is>
          <t>S28</t>
        </is>
      </c>
      <c r="E583" s="3" t="inlineStr">
        <is>
          <t>Bloqueia até aceite; sequência conservadora dentro do sprint</t>
        </is>
      </c>
    </row>
    <row r="584" ht="28" customHeight="1">
      <c r="A584" s="3" t="inlineStr">
        <is>
          <t>SL-S28-05</t>
        </is>
      </c>
      <c r="B584" s="3" t="inlineStr">
        <is>
          <t>SL-S28-GATE</t>
        </is>
      </c>
      <c r="C584" s="3" t="inlineStr">
        <is>
          <t>S28</t>
        </is>
      </c>
      <c r="D584" s="3" t="inlineStr">
        <is>
          <t>S28</t>
        </is>
      </c>
      <c r="E584" s="3" t="inlineStr">
        <is>
          <t>Bloqueia até aceite; sequência conservadora dentro do sprint</t>
        </is>
      </c>
    </row>
    <row r="585" ht="28" customHeight="1">
      <c r="A585" s="3" t="inlineStr">
        <is>
          <t>SL-S28-06</t>
        </is>
      </c>
      <c r="B585" s="3" t="inlineStr">
        <is>
          <t>SL-S28-GATE</t>
        </is>
      </c>
      <c r="C585" s="3" t="inlineStr">
        <is>
          <t>S28</t>
        </is>
      </c>
      <c r="D585" s="3" t="inlineStr">
        <is>
          <t>S28</t>
        </is>
      </c>
      <c r="E585" s="3" t="inlineStr">
        <is>
          <t>Bloqueia até aceite; sequência conservadora dentro do sprint</t>
        </is>
      </c>
    </row>
    <row r="586" ht="28" customHeight="1">
      <c r="A586" s="3" t="inlineStr">
        <is>
          <t>SL-S28-07</t>
        </is>
      </c>
      <c r="B586" s="3" t="inlineStr">
        <is>
          <t>SL-S28-GATE</t>
        </is>
      </c>
      <c r="C586" s="3" t="inlineStr">
        <is>
          <t>S28</t>
        </is>
      </c>
      <c r="D586" s="3" t="inlineStr">
        <is>
          <t>S28</t>
        </is>
      </c>
      <c r="E586" s="3" t="inlineStr">
        <is>
          <t>Bloqueia até aceite; sequência conservadora dentro do sprint</t>
        </is>
      </c>
    </row>
    <row r="587" ht="28" customHeight="1">
      <c r="A587" s="3" t="inlineStr">
        <is>
          <t>SL-S28-08</t>
        </is>
      </c>
      <c r="B587" s="3" t="inlineStr">
        <is>
          <t>SL-S28-GATE</t>
        </is>
      </c>
      <c r="C587" s="3" t="inlineStr">
        <is>
          <t>S28</t>
        </is>
      </c>
      <c r="D587" s="3" t="inlineStr">
        <is>
          <t>S28</t>
        </is>
      </c>
      <c r="E587" s="3" t="inlineStr">
        <is>
          <t>Bloqueia até aceite; sequência conservadora dentro do sprint</t>
        </is>
      </c>
    </row>
    <row r="588" ht="28" customHeight="1">
      <c r="A588" s="3" t="inlineStr">
        <is>
          <t>SL-S28-09</t>
        </is>
      </c>
      <c r="B588" s="3" t="inlineStr">
        <is>
          <t>SL-S28-GATE</t>
        </is>
      </c>
      <c r="C588" s="3" t="inlineStr">
        <is>
          <t>S28</t>
        </is>
      </c>
      <c r="D588" s="3" t="inlineStr">
        <is>
          <t>S28</t>
        </is>
      </c>
      <c r="E588" s="3" t="inlineStr">
        <is>
          <t>Bloqueia até aceite; sequência conservadora dentro do sprint</t>
        </is>
      </c>
    </row>
    <row r="589" ht="28" customHeight="1">
      <c r="A589" s="3" t="inlineStr">
        <is>
          <t>SL-S28-10</t>
        </is>
      </c>
      <c r="B589" s="3" t="inlineStr">
        <is>
          <t>SL-S28-GATE</t>
        </is>
      </c>
      <c r="C589" s="3" t="inlineStr">
        <is>
          <t>S28</t>
        </is>
      </c>
      <c r="D589" s="3" t="inlineStr">
        <is>
          <t>S28</t>
        </is>
      </c>
      <c r="E589" s="3" t="inlineStr">
        <is>
          <t>Bloqueia até aceite; sequência conservadora dentro do sprint</t>
        </is>
      </c>
    </row>
    <row r="590" ht="28" customHeight="1">
      <c r="A590" s="3" t="inlineStr">
        <is>
          <t>SL-S23-GATE</t>
        </is>
      </c>
      <c r="B590" s="3" t="inlineStr">
        <is>
          <t>SL-S29-01</t>
        </is>
      </c>
      <c r="C590" s="3" t="inlineStr">
        <is>
          <t>S23</t>
        </is>
      </c>
      <c r="D590" s="3" t="inlineStr">
        <is>
          <t>S29</t>
        </is>
      </c>
      <c r="E590" s="3" t="inlineStr">
        <is>
          <t>Bloqueia até aceite; sequência conservadora dentro do sprint</t>
        </is>
      </c>
    </row>
    <row r="591" ht="28" customHeight="1">
      <c r="A591" s="3" t="inlineStr">
        <is>
          <t>SL-S24-GATE</t>
        </is>
      </c>
      <c r="B591" s="3" t="inlineStr">
        <is>
          <t>SL-S29-01</t>
        </is>
      </c>
      <c r="C591" s="3" t="inlineStr">
        <is>
          <t>S24</t>
        </is>
      </c>
      <c r="D591" s="3" t="inlineStr">
        <is>
          <t>S29</t>
        </is>
      </c>
      <c r="E591" s="3" t="inlineStr">
        <is>
          <t>Bloqueia até aceite; sequência conservadora dentro do sprint</t>
        </is>
      </c>
    </row>
    <row r="592" ht="28" customHeight="1">
      <c r="A592" s="3" t="inlineStr">
        <is>
          <t>SL-S25-GATE</t>
        </is>
      </c>
      <c r="B592" s="3" t="inlineStr">
        <is>
          <t>SL-S29-01</t>
        </is>
      </c>
      <c r="C592" s="3" t="inlineStr">
        <is>
          <t>S25</t>
        </is>
      </c>
      <c r="D592" s="3" t="inlineStr">
        <is>
          <t>S29</t>
        </is>
      </c>
      <c r="E592" s="3" t="inlineStr">
        <is>
          <t>Bloqueia até aceite; sequência conservadora dentro do sprint</t>
        </is>
      </c>
    </row>
    <row r="593" ht="28" customHeight="1">
      <c r="A593" s="3" t="inlineStr">
        <is>
          <t>SL-S26-GATE</t>
        </is>
      </c>
      <c r="B593" s="3" t="inlineStr">
        <is>
          <t>SL-S29-01</t>
        </is>
      </c>
      <c r="C593" s="3" t="inlineStr">
        <is>
          <t>S26</t>
        </is>
      </c>
      <c r="D593" s="3" t="inlineStr">
        <is>
          <t>S29</t>
        </is>
      </c>
      <c r="E593" s="3" t="inlineStr">
        <is>
          <t>Bloqueia até aceite; sequência conservadora dentro do sprint</t>
        </is>
      </c>
    </row>
    <row r="594" ht="28" customHeight="1">
      <c r="A594" s="3" t="inlineStr">
        <is>
          <t>SL-S29-01</t>
        </is>
      </c>
      <c r="B594" s="3" t="inlineStr">
        <is>
          <t>SL-S29-02</t>
        </is>
      </c>
      <c r="C594" s="3" t="inlineStr">
        <is>
          <t>S29</t>
        </is>
      </c>
      <c r="D594" s="3" t="inlineStr">
        <is>
          <t>S29</t>
        </is>
      </c>
      <c r="E594" s="3" t="inlineStr">
        <is>
          <t>Bloqueia até aceite; sequência conservadora dentro do sprint</t>
        </is>
      </c>
    </row>
    <row r="595" ht="28" customHeight="1">
      <c r="A595" s="3" t="inlineStr">
        <is>
          <t>SL-S29-02</t>
        </is>
      </c>
      <c r="B595" s="3" t="inlineStr">
        <is>
          <t>SL-S29-03</t>
        </is>
      </c>
      <c r="C595" s="3" t="inlineStr">
        <is>
          <t>S29</t>
        </is>
      </c>
      <c r="D595" s="3" t="inlineStr">
        <is>
          <t>S29</t>
        </is>
      </c>
      <c r="E595" s="3" t="inlineStr">
        <is>
          <t>Bloqueia até aceite; sequência conservadora dentro do sprint</t>
        </is>
      </c>
    </row>
    <row r="596" ht="28" customHeight="1">
      <c r="A596" s="3" t="inlineStr">
        <is>
          <t>SL-S29-03</t>
        </is>
      </c>
      <c r="B596" s="3" t="inlineStr">
        <is>
          <t>SL-S29-04</t>
        </is>
      </c>
      <c r="C596" s="3" t="inlineStr">
        <is>
          <t>S29</t>
        </is>
      </c>
      <c r="D596" s="3" t="inlineStr">
        <is>
          <t>S29</t>
        </is>
      </c>
      <c r="E596" s="3" t="inlineStr">
        <is>
          <t>Bloqueia até aceite; sequência conservadora dentro do sprint</t>
        </is>
      </c>
    </row>
    <row r="597" ht="28" customHeight="1">
      <c r="A597" s="3" t="inlineStr">
        <is>
          <t>SL-S29-04</t>
        </is>
      </c>
      <c r="B597" s="3" t="inlineStr">
        <is>
          <t>SL-S29-05</t>
        </is>
      </c>
      <c r="C597" s="3" t="inlineStr">
        <is>
          <t>S29</t>
        </is>
      </c>
      <c r="D597" s="3" t="inlineStr">
        <is>
          <t>S29</t>
        </is>
      </c>
      <c r="E597" s="3" t="inlineStr">
        <is>
          <t>Bloqueia até aceite; sequência conservadora dentro do sprint</t>
        </is>
      </c>
    </row>
    <row r="598" ht="28" customHeight="1">
      <c r="A598" s="3" t="inlineStr">
        <is>
          <t>SL-S29-05</t>
        </is>
      </c>
      <c r="B598" s="3" t="inlineStr">
        <is>
          <t>SL-S29-06</t>
        </is>
      </c>
      <c r="C598" s="3" t="inlineStr">
        <is>
          <t>S29</t>
        </is>
      </c>
      <c r="D598" s="3" t="inlineStr">
        <is>
          <t>S29</t>
        </is>
      </c>
      <c r="E598" s="3" t="inlineStr">
        <is>
          <t>Bloqueia até aceite; sequência conservadora dentro do sprint</t>
        </is>
      </c>
    </row>
    <row r="599" ht="28" customHeight="1">
      <c r="A599" s="3" t="inlineStr">
        <is>
          <t>SL-S29-06</t>
        </is>
      </c>
      <c r="B599" s="3" t="inlineStr">
        <is>
          <t>SL-S29-07</t>
        </is>
      </c>
      <c r="C599" s="3" t="inlineStr">
        <is>
          <t>S29</t>
        </is>
      </c>
      <c r="D599" s="3" t="inlineStr">
        <is>
          <t>S29</t>
        </is>
      </c>
      <c r="E599" s="3" t="inlineStr">
        <is>
          <t>Bloqueia até aceite; sequência conservadora dentro do sprint</t>
        </is>
      </c>
    </row>
    <row r="600" ht="28" customHeight="1">
      <c r="A600" s="3" t="inlineStr">
        <is>
          <t>SL-S29-07</t>
        </is>
      </c>
      <c r="B600" s="3" t="inlineStr">
        <is>
          <t>SL-S29-08</t>
        </is>
      </c>
      <c r="C600" s="3" t="inlineStr">
        <is>
          <t>S29</t>
        </is>
      </c>
      <c r="D600" s="3" t="inlineStr">
        <is>
          <t>S29</t>
        </is>
      </c>
      <c r="E600" s="3" t="inlineStr">
        <is>
          <t>Bloqueia até aceite; sequência conservadora dentro do sprint</t>
        </is>
      </c>
    </row>
    <row r="601" ht="28" customHeight="1">
      <c r="A601" s="3" t="inlineStr">
        <is>
          <t>SL-S29-08</t>
        </is>
      </c>
      <c r="B601" s="3" t="inlineStr">
        <is>
          <t>SL-S29-09</t>
        </is>
      </c>
      <c r="C601" s="3" t="inlineStr">
        <is>
          <t>S29</t>
        </is>
      </c>
      <c r="D601" s="3" t="inlineStr">
        <is>
          <t>S29</t>
        </is>
      </c>
      <c r="E601" s="3" t="inlineStr">
        <is>
          <t>Bloqueia até aceite; sequência conservadora dentro do sprint</t>
        </is>
      </c>
    </row>
    <row r="602" ht="28" customHeight="1">
      <c r="A602" s="3" t="inlineStr">
        <is>
          <t>SL-S29-09</t>
        </is>
      </c>
      <c r="B602" s="3" t="inlineStr">
        <is>
          <t>SL-S29-10</t>
        </is>
      </c>
      <c r="C602" s="3" t="inlineStr">
        <is>
          <t>S29</t>
        </is>
      </c>
      <c r="D602" s="3" t="inlineStr">
        <is>
          <t>S29</t>
        </is>
      </c>
      <c r="E602" s="3" t="inlineStr">
        <is>
          <t>Bloqueia até aceite; sequência conservadora dentro do sprint</t>
        </is>
      </c>
    </row>
    <row r="603" ht="28" customHeight="1">
      <c r="A603" s="3" t="inlineStr">
        <is>
          <t>SL-S29-01</t>
        </is>
      </c>
      <c r="B603" s="3" t="inlineStr">
        <is>
          <t>SL-S29-GATE</t>
        </is>
      </c>
      <c r="C603" s="3" t="inlineStr">
        <is>
          <t>S29</t>
        </is>
      </c>
      <c r="D603" s="3" t="inlineStr">
        <is>
          <t>S29</t>
        </is>
      </c>
      <c r="E603" s="3" t="inlineStr">
        <is>
          <t>Bloqueia até aceite; sequência conservadora dentro do sprint</t>
        </is>
      </c>
    </row>
    <row r="604" ht="28" customHeight="1">
      <c r="A604" s="3" t="inlineStr">
        <is>
          <t>SL-S29-02</t>
        </is>
      </c>
      <c r="B604" s="3" t="inlineStr">
        <is>
          <t>SL-S29-GATE</t>
        </is>
      </c>
      <c r="C604" s="3" t="inlineStr">
        <is>
          <t>S29</t>
        </is>
      </c>
      <c r="D604" s="3" t="inlineStr">
        <is>
          <t>S29</t>
        </is>
      </c>
      <c r="E604" s="3" t="inlineStr">
        <is>
          <t>Bloqueia até aceite; sequência conservadora dentro do sprint</t>
        </is>
      </c>
    </row>
    <row r="605" ht="28" customHeight="1">
      <c r="A605" s="3" t="inlineStr">
        <is>
          <t>SL-S29-03</t>
        </is>
      </c>
      <c r="B605" s="3" t="inlineStr">
        <is>
          <t>SL-S29-GATE</t>
        </is>
      </c>
      <c r="C605" s="3" t="inlineStr">
        <is>
          <t>S29</t>
        </is>
      </c>
      <c r="D605" s="3" t="inlineStr">
        <is>
          <t>S29</t>
        </is>
      </c>
      <c r="E605" s="3" t="inlineStr">
        <is>
          <t>Bloqueia até aceite; sequência conservadora dentro do sprint</t>
        </is>
      </c>
    </row>
    <row r="606" ht="28" customHeight="1">
      <c r="A606" s="3" t="inlineStr">
        <is>
          <t>SL-S29-04</t>
        </is>
      </c>
      <c r="B606" s="3" t="inlineStr">
        <is>
          <t>SL-S29-GATE</t>
        </is>
      </c>
      <c r="C606" s="3" t="inlineStr">
        <is>
          <t>S29</t>
        </is>
      </c>
      <c r="D606" s="3" t="inlineStr">
        <is>
          <t>S29</t>
        </is>
      </c>
      <c r="E606" s="3" t="inlineStr">
        <is>
          <t>Bloqueia até aceite; sequência conservadora dentro do sprint</t>
        </is>
      </c>
    </row>
    <row r="607" ht="28" customHeight="1">
      <c r="A607" s="3" t="inlineStr">
        <is>
          <t>SL-S29-05</t>
        </is>
      </c>
      <c r="B607" s="3" t="inlineStr">
        <is>
          <t>SL-S29-GATE</t>
        </is>
      </c>
      <c r="C607" s="3" t="inlineStr">
        <is>
          <t>S29</t>
        </is>
      </c>
      <c r="D607" s="3" t="inlineStr">
        <is>
          <t>S29</t>
        </is>
      </c>
      <c r="E607" s="3" t="inlineStr">
        <is>
          <t>Bloqueia até aceite; sequência conservadora dentro do sprint</t>
        </is>
      </c>
    </row>
    <row r="608" ht="28" customHeight="1">
      <c r="A608" s="3" t="inlineStr">
        <is>
          <t>SL-S29-06</t>
        </is>
      </c>
      <c r="B608" s="3" t="inlineStr">
        <is>
          <t>SL-S29-GATE</t>
        </is>
      </c>
      <c r="C608" s="3" t="inlineStr">
        <is>
          <t>S29</t>
        </is>
      </c>
      <c r="D608" s="3" t="inlineStr">
        <is>
          <t>S29</t>
        </is>
      </c>
      <c r="E608" s="3" t="inlineStr">
        <is>
          <t>Bloqueia até aceite; sequência conservadora dentro do sprint</t>
        </is>
      </c>
    </row>
    <row r="609" ht="28" customHeight="1">
      <c r="A609" s="3" t="inlineStr">
        <is>
          <t>SL-S29-07</t>
        </is>
      </c>
      <c r="B609" s="3" t="inlineStr">
        <is>
          <t>SL-S29-GATE</t>
        </is>
      </c>
      <c r="C609" s="3" t="inlineStr">
        <is>
          <t>S29</t>
        </is>
      </c>
      <c r="D609" s="3" t="inlineStr">
        <is>
          <t>S29</t>
        </is>
      </c>
      <c r="E609" s="3" t="inlineStr">
        <is>
          <t>Bloqueia até aceite; sequência conservadora dentro do sprint</t>
        </is>
      </c>
    </row>
    <row r="610" ht="28" customHeight="1">
      <c r="A610" s="3" t="inlineStr">
        <is>
          <t>SL-S29-08</t>
        </is>
      </c>
      <c r="B610" s="3" t="inlineStr">
        <is>
          <t>SL-S29-GATE</t>
        </is>
      </c>
      <c r="C610" s="3" t="inlineStr">
        <is>
          <t>S29</t>
        </is>
      </c>
      <c r="D610" s="3" t="inlineStr">
        <is>
          <t>S29</t>
        </is>
      </c>
      <c r="E610" s="3" t="inlineStr">
        <is>
          <t>Bloqueia até aceite; sequência conservadora dentro do sprint</t>
        </is>
      </c>
    </row>
    <row r="611" ht="28" customHeight="1">
      <c r="A611" s="3" t="inlineStr">
        <is>
          <t>SL-S29-09</t>
        </is>
      </c>
      <c r="B611" s="3" t="inlineStr">
        <is>
          <t>SL-S29-GATE</t>
        </is>
      </c>
      <c r="C611" s="3" t="inlineStr">
        <is>
          <t>S29</t>
        </is>
      </c>
      <c r="D611" s="3" t="inlineStr">
        <is>
          <t>S29</t>
        </is>
      </c>
      <c r="E611" s="3" t="inlineStr">
        <is>
          <t>Bloqueia até aceite; sequência conservadora dentro do sprint</t>
        </is>
      </c>
    </row>
    <row r="612" ht="28" customHeight="1">
      <c r="A612" s="3" t="inlineStr">
        <is>
          <t>SL-S29-10</t>
        </is>
      </c>
      <c r="B612" s="3" t="inlineStr">
        <is>
          <t>SL-S29-GATE</t>
        </is>
      </c>
      <c r="C612" s="3" t="inlineStr">
        <is>
          <t>S29</t>
        </is>
      </c>
      <c r="D612" s="3" t="inlineStr">
        <is>
          <t>S29</t>
        </is>
      </c>
      <c r="E612" s="3" t="inlineStr">
        <is>
          <t>Bloqueia até aceite; sequência conservadora dentro do sprint</t>
        </is>
      </c>
    </row>
    <row r="613" ht="28" customHeight="1">
      <c r="A613" s="3" t="inlineStr">
        <is>
          <t>SL-S27-GATE</t>
        </is>
      </c>
      <c r="B613" s="3" t="inlineStr">
        <is>
          <t>SL-S30-01</t>
        </is>
      </c>
      <c r="C613" s="3" t="inlineStr">
        <is>
          <t>S27</t>
        </is>
      </c>
      <c r="D613" s="3" t="inlineStr">
        <is>
          <t>S30</t>
        </is>
      </c>
      <c r="E613" s="3" t="inlineStr">
        <is>
          <t>Bloqueia até aceite; sequência conservadora dentro do sprint</t>
        </is>
      </c>
    </row>
    <row r="614" ht="28" customHeight="1">
      <c r="A614" s="3" t="inlineStr">
        <is>
          <t>SL-S28-GATE</t>
        </is>
      </c>
      <c r="B614" s="3" t="inlineStr">
        <is>
          <t>SL-S30-01</t>
        </is>
      </c>
      <c r="C614" s="3" t="inlineStr">
        <is>
          <t>S28</t>
        </is>
      </c>
      <c r="D614" s="3" t="inlineStr">
        <is>
          <t>S30</t>
        </is>
      </c>
      <c r="E614" s="3" t="inlineStr">
        <is>
          <t>Bloqueia até aceite; sequência conservadora dentro do sprint</t>
        </is>
      </c>
    </row>
    <row r="615" ht="28" customHeight="1">
      <c r="A615" s="3" t="inlineStr">
        <is>
          <t>SL-S29-GATE</t>
        </is>
      </c>
      <c r="B615" s="3" t="inlineStr">
        <is>
          <t>SL-S30-01</t>
        </is>
      </c>
      <c r="C615" s="3" t="inlineStr">
        <is>
          <t>S29</t>
        </is>
      </c>
      <c r="D615" s="3" t="inlineStr">
        <is>
          <t>S30</t>
        </is>
      </c>
      <c r="E615" s="3" t="inlineStr">
        <is>
          <t>Bloqueia até aceite; sequência conservadora dentro do sprint</t>
        </is>
      </c>
    </row>
    <row r="616" ht="28" customHeight="1">
      <c r="A616" s="3" t="inlineStr">
        <is>
          <t>SL-S30-01</t>
        </is>
      </c>
      <c r="B616" s="3" t="inlineStr">
        <is>
          <t>SL-S30-02</t>
        </is>
      </c>
      <c r="C616" s="3" t="inlineStr">
        <is>
          <t>S30</t>
        </is>
      </c>
      <c r="D616" s="3" t="inlineStr">
        <is>
          <t>S30</t>
        </is>
      </c>
      <c r="E616" s="3" t="inlineStr">
        <is>
          <t>Bloqueia até aceite; sequência conservadora dentro do sprint</t>
        </is>
      </c>
    </row>
    <row r="617" ht="28" customHeight="1">
      <c r="A617" s="3" t="inlineStr">
        <is>
          <t>SL-S30-02</t>
        </is>
      </c>
      <c r="B617" s="3" t="inlineStr">
        <is>
          <t>SL-S30-03</t>
        </is>
      </c>
      <c r="C617" s="3" t="inlineStr">
        <is>
          <t>S30</t>
        </is>
      </c>
      <c r="D617" s="3" t="inlineStr">
        <is>
          <t>S30</t>
        </is>
      </c>
      <c r="E617" s="3" t="inlineStr">
        <is>
          <t>Bloqueia até aceite; sequência conservadora dentro do sprint</t>
        </is>
      </c>
    </row>
    <row r="618" ht="28" customHeight="1">
      <c r="A618" s="3" t="inlineStr">
        <is>
          <t>SL-S30-03</t>
        </is>
      </c>
      <c r="B618" s="3" t="inlineStr">
        <is>
          <t>SL-S30-04</t>
        </is>
      </c>
      <c r="C618" s="3" t="inlineStr">
        <is>
          <t>S30</t>
        </is>
      </c>
      <c r="D618" s="3" t="inlineStr">
        <is>
          <t>S30</t>
        </is>
      </c>
      <c r="E618" s="3" t="inlineStr">
        <is>
          <t>Bloqueia até aceite; sequência conservadora dentro do sprint</t>
        </is>
      </c>
    </row>
    <row r="619" ht="28" customHeight="1">
      <c r="A619" s="3" t="inlineStr">
        <is>
          <t>SL-S30-04</t>
        </is>
      </c>
      <c r="B619" s="3" t="inlineStr">
        <is>
          <t>SL-S30-05</t>
        </is>
      </c>
      <c r="C619" s="3" t="inlineStr">
        <is>
          <t>S30</t>
        </is>
      </c>
      <c r="D619" s="3" t="inlineStr">
        <is>
          <t>S30</t>
        </is>
      </c>
      <c r="E619" s="3" t="inlineStr">
        <is>
          <t>Bloqueia até aceite; sequência conservadora dentro do sprint</t>
        </is>
      </c>
    </row>
    <row r="620" ht="28" customHeight="1">
      <c r="A620" s="3" t="inlineStr">
        <is>
          <t>SL-S30-05</t>
        </is>
      </c>
      <c r="B620" s="3" t="inlineStr">
        <is>
          <t>SL-S30-06</t>
        </is>
      </c>
      <c r="C620" s="3" t="inlineStr">
        <is>
          <t>S30</t>
        </is>
      </c>
      <c r="D620" s="3" t="inlineStr">
        <is>
          <t>S30</t>
        </is>
      </c>
      <c r="E620" s="3" t="inlineStr">
        <is>
          <t>Bloqueia até aceite; sequência conservadora dentro do sprint</t>
        </is>
      </c>
    </row>
    <row r="621" ht="28" customHeight="1">
      <c r="A621" s="3" t="inlineStr">
        <is>
          <t>SL-S30-06</t>
        </is>
      </c>
      <c r="B621" s="3" t="inlineStr">
        <is>
          <t>SL-S30-07</t>
        </is>
      </c>
      <c r="C621" s="3" t="inlineStr">
        <is>
          <t>S30</t>
        </is>
      </c>
      <c r="D621" s="3" t="inlineStr">
        <is>
          <t>S30</t>
        </is>
      </c>
      <c r="E621" s="3" t="inlineStr">
        <is>
          <t>Bloqueia até aceite; sequência conservadora dentro do sprint</t>
        </is>
      </c>
    </row>
    <row r="622" ht="28" customHeight="1">
      <c r="A622" s="3" t="inlineStr">
        <is>
          <t>SL-S30-07</t>
        </is>
      </c>
      <c r="B622" s="3" t="inlineStr">
        <is>
          <t>SL-S30-08</t>
        </is>
      </c>
      <c r="C622" s="3" t="inlineStr">
        <is>
          <t>S30</t>
        </is>
      </c>
      <c r="D622" s="3" t="inlineStr">
        <is>
          <t>S30</t>
        </is>
      </c>
      <c r="E622" s="3" t="inlineStr">
        <is>
          <t>Bloqueia até aceite; sequência conservadora dentro do sprint</t>
        </is>
      </c>
    </row>
    <row r="623" ht="28" customHeight="1">
      <c r="A623" s="3" t="inlineStr">
        <is>
          <t>SL-S30-08</t>
        </is>
      </c>
      <c r="B623" s="3" t="inlineStr">
        <is>
          <t>SL-S30-09</t>
        </is>
      </c>
      <c r="C623" s="3" t="inlineStr">
        <is>
          <t>S30</t>
        </is>
      </c>
      <c r="D623" s="3" t="inlineStr">
        <is>
          <t>S30</t>
        </is>
      </c>
      <c r="E623" s="3" t="inlineStr">
        <is>
          <t>Bloqueia até aceite; sequência conservadora dentro do sprint</t>
        </is>
      </c>
    </row>
    <row r="624" ht="28" customHeight="1">
      <c r="A624" s="3" t="inlineStr">
        <is>
          <t>SL-S30-09</t>
        </is>
      </c>
      <c r="B624" s="3" t="inlineStr">
        <is>
          <t>SL-S30-10</t>
        </is>
      </c>
      <c r="C624" s="3" t="inlineStr">
        <is>
          <t>S30</t>
        </is>
      </c>
      <c r="D624" s="3" t="inlineStr">
        <is>
          <t>S30</t>
        </is>
      </c>
      <c r="E624" s="3" t="inlineStr">
        <is>
          <t>Bloqueia até aceite; sequência conservadora dentro do sprint</t>
        </is>
      </c>
    </row>
    <row r="625" ht="28" customHeight="1">
      <c r="A625" s="3" t="inlineStr">
        <is>
          <t>SL-S30-01</t>
        </is>
      </c>
      <c r="B625" s="3" t="inlineStr">
        <is>
          <t>SL-S30-GATE</t>
        </is>
      </c>
      <c r="C625" s="3" t="inlineStr">
        <is>
          <t>S30</t>
        </is>
      </c>
      <c r="D625" s="3" t="inlineStr">
        <is>
          <t>S30</t>
        </is>
      </c>
      <c r="E625" s="3" t="inlineStr">
        <is>
          <t>Bloqueia até aceite; sequência conservadora dentro do sprint</t>
        </is>
      </c>
    </row>
    <row r="626" ht="28" customHeight="1">
      <c r="A626" s="3" t="inlineStr">
        <is>
          <t>SL-S30-02</t>
        </is>
      </c>
      <c r="B626" s="3" t="inlineStr">
        <is>
          <t>SL-S30-GATE</t>
        </is>
      </c>
      <c r="C626" s="3" t="inlineStr">
        <is>
          <t>S30</t>
        </is>
      </c>
      <c r="D626" s="3" t="inlineStr">
        <is>
          <t>S30</t>
        </is>
      </c>
      <c r="E626" s="3" t="inlineStr">
        <is>
          <t>Bloqueia até aceite; sequência conservadora dentro do sprint</t>
        </is>
      </c>
    </row>
    <row r="627" ht="28" customHeight="1">
      <c r="A627" s="3" t="inlineStr">
        <is>
          <t>SL-S30-03</t>
        </is>
      </c>
      <c r="B627" s="3" t="inlineStr">
        <is>
          <t>SL-S30-GATE</t>
        </is>
      </c>
      <c r="C627" s="3" t="inlineStr">
        <is>
          <t>S30</t>
        </is>
      </c>
      <c r="D627" s="3" t="inlineStr">
        <is>
          <t>S30</t>
        </is>
      </c>
      <c r="E627" s="3" t="inlineStr">
        <is>
          <t>Bloqueia até aceite; sequência conservadora dentro do sprint</t>
        </is>
      </c>
    </row>
    <row r="628" ht="28" customHeight="1">
      <c r="A628" s="3" t="inlineStr">
        <is>
          <t>SL-S30-04</t>
        </is>
      </c>
      <c r="B628" s="3" t="inlineStr">
        <is>
          <t>SL-S30-GATE</t>
        </is>
      </c>
      <c r="C628" s="3" t="inlineStr">
        <is>
          <t>S30</t>
        </is>
      </c>
      <c r="D628" s="3" t="inlineStr">
        <is>
          <t>S30</t>
        </is>
      </c>
      <c r="E628" s="3" t="inlineStr">
        <is>
          <t>Bloqueia até aceite; sequência conservadora dentro do sprint</t>
        </is>
      </c>
    </row>
    <row r="629" ht="28" customHeight="1">
      <c r="A629" s="3" t="inlineStr">
        <is>
          <t>SL-S30-05</t>
        </is>
      </c>
      <c r="B629" s="3" t="inlineStr">
        <is>
          <t>SL-S30-GATE</t>
        </is>
      </c>
      <c r="C629" s="3" t="inlineStr">
        <is>
          <t>S30</t>
        </is>
      </c>
      <c r="D629" s="3" t="inlineStr">
        <is>
          <t>S30</t>
        </is>
      </c>
      <c r="E629" s="3" t="inlineStr">
        <is>
          <t>Bloqueia até aceite; sequência conservadora dentro do sprint</t>
        </is>
      </c>
    </row>
    <row r="630" ht="28" customHeight="1">
      <c r="A630" s="3" t="inlineStr">
        <is>
          <t>SL-S30-06</t>
        </is>
      </c>
      <c r="B630" s="3" t="inlineStr">
        <is>
          <t>SL-S30-GATE</t>
        </is>
      </c>
      <c r="C630" s="3" t="inlineStr">
        <is>
          <t>S30</t>
        </is>
      </c>
      <c r="D630" s="3" t="inlineStr">
        <is>
          <t>S30</t>
        </is>
      </c>
      <c r="E630" s="3" t="inlineStr">
        <is>
          <t>Bloqueia até aceite; sequência conservadora dentro do sprint</t>
        </is>
      </c>
    </row>
    <row r="631" ht="28" customHeight="1">
      <c r="A631" s="3" t="inlineStr">
        <is>
          <t>SL-S30-07</t>
        </is>
      </c>
      <c r="B631" s="3" t="inlineStr">
        <is>
          <t>SL-S30-GATE</t>
        </is>
      </c>
      <c r="C631" s="3" t="inlineStr">
        <is>
          <t>S30</t>
        </is>
      </c>
      <c r="D631" s="3" t="inlineStr">
        <is>
          <t>S30</t>
        </is>
      </c>
      <c r="E631" s="3" t="inlineStr">
        <is>
          <t>Bloqueia até aceite; sequência conservadora dentro do sprint</t>
        </is>
      </c>
    </row>
    <row r="632" ht="28" customHeight="1">
      <c r="A632" s="3" t="inlineStr">
        <is>
          <t>SL-S30-08</t>
        </is>
      </c>
      <c r="B632" s="3" t="inlineStr">
        <is>
          <t>SL-S30-GATE</t>
        </is>
      </c>
      <c r="C632" s="3" t="inlineStr">
        <is>
          <t>S30</t>
        </is>
      </c>
      <c r="D632" s="3" t="inlineStr">
        <is>
          <t>S30</t>
        </is>
      </c>
      <c r="E632" s="3" t="inlineStr">
        <is>
          <t>Bloqueia até aceite; sequência conservadora dentro do sprint</t>
        </is>
      </c>
    </row>
    <row r="633" ht="28" customHeight="1">
      <c r="A633" s="3" t="inlineStr">
        <is>
          <t>SL-S30-09</t>
        </is>
      </c>
      <c r="B633" s="3" t="inlineStr">
        <is>
          <t>SL-S30-GATE</t>
        </is>
      </c>
      <c r="C633" s="3" t="inlineStr">
        <is>
          <t>S30</t>
        </is>
      </c>
      <c r="D633" s="3" t="inlineStr">
        <is>
          <t>S30</t>
        </is>
      </c>
      <c r="E633" s="3" t="inlineStr">
        <is>
          <t>Bloqueia até aceite; sequência conservadora dentro do sprint</t>
        </is>
      </c>
    </row>
    <row r="634" ht="28" customHeight="1">
      <c r="A634" s="3" t="inlineStr">
        <is>
          <t>SL-S30-10</t>
        </is>
      </c>
      <c r="B634" s="3" t="inlineStr">
        <is>
          <t>SL-S30-GATE</t>
        </is>
      </c>
      <c r="C634" s="3" t="inlineStr">
        <is>
          <t>S30</t>
        </is>
      </c>
      <c r="D634" s="3" t="inlineStr">
        <is>
          <t>S30</t>
        </is>
      </c>
      <c r="E634" s="3" t="inlineStr">
        <is>
          <t>Bloqueia até aceite; sequência conservadora dentro do sprint</t>
        </is>
      </c>
    </row>
    <row r="635" ht="28" customHeight="1">
      <c r="A635" s="3" t="inlineStr">
        <is>
          <t>SL-S23-GATE</t>
        </is>
      </c>
      <c r="B635" s="3" t="inlineStr">
        <is>
          <t>SL-S31-01</t>
        </is>
      </c>
      <c r="C635" s="3" t="inlineStr">
        <is>
          <t>S23</t>
        </is>
      </c>
      <c r="D635" s="3" t="inlineStr">
        <is>
          <t>S31</t>
        </is>
      </c>
      <c r="E635" s="3" t="inlineStr">
        <is>
          <t>Bloqueia até aceite; sequência conservadora dentro do sprint</t>
        </is>
      </c>
    </row>
    <row r="636" ht="28" customHeight="1">
      <c r="A636" s="3" t="inlineStr">
        <is>
          <t>SL-S24-GATE</t>
        </is>
      </c>
      <c r="B636" s="3" t="inlineStr">
        <is>
          <t>SL-S31-01</t>
        </is>
      </c>
      <c r="C636" s="3" t="inlineStr">
        <is>
          <t>S24</t>
        </is>
      </c>
      <c r="D636" s="3" t="inlineStr">
        <is>
          <t>S31</t>
        </is>
      </c>
      <c r="E636" s="3" t="inlineStr">
        <is>
          <t>Bloqueia até aceite; sequência conservadora dentro do sprint</t>
        </is>
      </c>
    </row>
    <row r="637" ht="28" customHeight="1">
      <c r="A637" s="3" t="inlineStr">
        <is>
          <t>SL-S25-GATE</t>
        </is>
      </c>
      <c r="B637" s="3" t="inlineStr">
        <is>
          <t>SL-S31-01</t>
        </is>
      </c>
      <c r="C637" s="3" t="inlineStr">
        <is>
          <t>S25</t>
        </is>
      </c>
      <c r="D637" s="3" t="inlineStr">
        <is>
          <t>S31</t>
        </is>
      </c>
      <c r="E637" s="3" t="inlineStr">
        <is>
          <t>Bloqueia até aceite; sequência conservadora dentro do sprint</t>
        </is>
      </c>
    </row>
    <row r="638" ht="28" customHeight="1">
      <c r="A638" s="3" t="inlineStr">
        <is>
          <t>SL-S26-GATE</t>
        </is>
      </c>
      <c r="B638" s="3" t="inlineStr">
        <is>
          <t>SL-S31-01</t>
        </is>
      </c>
      <c r="C638" s="3" t="inlineStr">
        <is>
          <t>S26</t>
        </is>
      </c>
      <c r="D638" s="3" t="inlineStr">
        <is>
          <t>S31</t>
        </is>
      </c>
      <c r="E638" s="3" t="inlineStr">
        <is>
          <t>Bloqueia até aceite; sequência conservadora dentro do sprint</t>
        </is>
      </c>
    </row>
    <row r="639" ht="28" customHeight="1">
      <c r="A639" s="3" t="inlineStr">
        <is>
          <t>SL-S30-GATE</t>
        </is>
      </c>
      <c r="B639" s="3" t="inlineStr">
        <is>
          <t>SL-S31-01</t>
        </is>
      </c>
      <c r="C639" s="3" t="inlineStr">
        <is>
          <t>S30</t>
        </is>
      </c>
      <c r="D639" s="3" t="inlineStr">
        <is>
          <t>S31</t>
        </is>
      </c>
      <c r="E639" s="3" t="inlineStr">
        <is>
          <t>Bloqueia até aceite; sequência conservadora dentro do sprint</t>
        </is>
      </c>
    </row>
    <row r="640" ht="28" customHeight="1">
      <c r="A640" s="3" t="inlineStr">
        <is>
          <t>SL-S31-01</t>
        </is>
      </c>
      <c r="B640" s="3" t="inlineStr">
        <is>
          <t>SL-S31-02</t>
        </is>
      </c>
      <c r="C640" s="3" t="inlineStr">
        <is>
          <t>S31</t>
        </is>
      </c>
      <c r="D640" s="3" t="inlineStr">
        <is>
          <t>S31</t>
        </is>
      </c>
      <c r="E640" s="3" t="inlineStr">
        <is>
          <t>Bloqueia até aceite; sequência conservadora dentro do sprint</t>
        </is>
      </c>
    </row>
    <row r="641" ht="28" customHeight="1">
      <c r="A641" s="3" t="inlineStr">
        <is>
          <t>SL-S31-02</t>
        </is>
      </c>
      <c r="B641" s="3" t="inlineStr">
        <is>
          <t>SL-S31-03</t>
        </is>
      </c>
      <c r="C641" s="3" t="inlineStr">
        <is>
          <t>S31</t>
        </is>
      </c>
      <c r="D641" s="3" t="inlineStr">
        <is>
          <t>S31</t>
        </is>
      </c>
      <c r="E641" s="3" t="inlineStr">
        <is>
          <t>Bloqueia até aceite; sequência conservadora dentro do sprint</t>
        </is>
      </c>
    </row>
    <row r="642" ht="28" customHeight="1">
      <c r="A642" s="3" t="inlineStr">
        <is>
          <t>SL-S31-03</t>
        </is>
      </c>
      <c r="B642" s="3" t="inlineStr">
        <is>
          <t>SL-S31-04</t>
        </is>
      </c>
      <c r="C642" s="3" t="inlineStr">
        <is>
          <t>S31</t>
        </is>
      </c>
      <c r="D642" s="3" t="inlineStr">
        <is>
          <t>S31</t>
        </is>
      </c>
      <c r="E642" s="3" t="inlineStr">
        <is>
          <t>Bloqueia até aceite; sequência conservadora dentro do sprint</t>
        </is>
      </c>
    </row>
    <row r="643" ht="28" customHeight="1">
      <c r="A643" s="3" t="inlineStr">
        <is>
          <t>SL-S31-04</t>
        </is>
      </c>
      <c r="B643" s="3" t="inlineStr">
        <is>
          <t>SL-S31-05</t>
        </is>
      </c>
      <c r="C643" s="3" t="inlineStr">
        <is>
          <t>S31</t>
        </is>
      </c>
      <c r="D643" s="3" t="inlineStr">
        <is>
          <t>S31</t>
        </is>
      </c>
      <c r="E643" s="3" t="inlineStr">
        <is>
          <t>Bloqueia até aceite; sequência conservadora dentro do sprint</t>
        </is>
      </c>
    </row>
    <row r="644" ht="28" customHeight="1">
      <c r="A644" s="3" t="inlineStr">
        <is>
          <t>SL-S31-05</t>
        </is>
      </c>
      <c r="B644" s="3" t="inlineStr">
        <is>
          <t>SL-S31-06</t>
        </is>
      </c>
      <c r="C644" s="3" t="inlineStr">
        <is>
          <t>S31</t>
        </is>
      </c>
      <c r="D644" s="3" t="inlineStr">
        <is>
          <t>S31</t>
        </is>
      </c>
      <c r="E644" s="3" t="inlineStr">
        <is>
          <t>Bloqueia até aceite; sequência conservadora dentro do sprint</t>
        </is>
      </c>
    </row>
    <row r="645" ht="28" customHeight="1">
      <c r="A645" s="3" t="inlineStr">
        <is>
          <t>SL-S31-06</t>
        </is>
      </c>
      <c r="B645" s="3" t="inlineStr">
        <is>
          <t>SL-S31-07</t>
        </is>
      </c>
      <c r="C645" s="3" t="inlineStr">
        <is>
          <t>S31</t>
        </is>
      </c>
      <c r="D645" s="3" t="inlineStr">
        <is>
          <t>S31</t>
        </is>
      </c>
      <c r="E645" s="3" t="inlineStr">
        <is>
          <t>Bloqueia até aceite; sequência conservadora dentro do sprint</t>
        </is>
      </c>
    </row>
    <row r="646" ht="28" customHeight="1">
      <c r="A646" s="3" t="inlineStr">
        <is>
          <t>SL-S31-07</t>
        </is>
      </c>
      <c r="B646" s="3" t="inlineStr">
        <is>
          <t>SL-S31-08</t>
        </is>
      </c>
      <c r="C646" s="3" t="inlineStr">
        <is>
          <t>S31</t>
        </is>
      </c>
      <c r="D646" s="3" t="inlineStr">
        <is>
          <t>S31</t>
        </is>
      </c>
      <c r="E646" s="3" t="inlineStr">
        <is>
          <t>Bloqueia até aceite; sequência conservadora dentro do sprint</t>
        </is>
      </c>
    </row>
    <row r="647" ht="28" customHeight="1">
      <c r="A647" s="3" t="inlineStr">
        <is>
          <t>SL-S31-08</t>
        </is>
      </c>
      <c r="B647" s="3" t="inlineStr">
        <is>
          <t>SL-S31-09</t>
        </is>
      </c>
      <c r="C647" s="3" t="inlineStr">
        <is>
          <t>S31</t>
        </is>
      </c>
      <c r="D647" s="3" t="inlineStr">
        <is>
          <t>S31</t>
        </is>
      </c>
      <c r="E647" s="3" t="inlineStr">
        <is>
          <t>Bloqueia até aceite; sequência conservadora dentro do sprint</t>
        </is>
      </c>
    </row>
    <row r="648" ht="28" customHeight="1">
      <c r="A648" s="3" t="inlineStr">
        <is>
          <t>SL-S31-09</t>
        </is>
      </c>
      <c r="B648" s="3" t="inlineStr">
        <is>
          <t>SL-S31-10</t>
        </is>
      </c>
      <c r="C648" s="3" t="inlineStr">
        <is>
          <t>S31</t>
        </is>
      </c>
      <c r="D648" s="3" t="inlineStr">
        <is>
          <t>S31</t>
        </is>
      </c>
      <c r="E648" s="3" t="inlineStr">
        <is>
          <t>Bloqueia até aceite; sequência conservadora dentro do sprint</t>
        </is>
      </c>
    </row>
    <row r="649" ht="28" customHeight="1">
      <c r="A649" s="3" t="inlineStr">
        <is>
          <t>SL-S31-01</t>
        </is>
      </c>
      <c r="B649" s="3" t="inlineStr">
        <is>
          <t>SL-S31-GATE</t>
        </is>
      </c>
      <c r="C649" s="3" t="inlineStr">
        <is>
          <t>S31</t>
        </is>
      </c>
      <c r="D649" s="3" t="inlineStr">
        <is>
          <t>S31</t>
        </is>
      </c>
      <c r="E649" s="3" t="inlineStr">
        <is>
          <t>Bloqueia até aceite; sequência conservadora dentro do sprint</t>
        </is>
      </c>
    </row>
    <row r="650" ht="28" customHeight="1">
      <c r="A650" s="3" t="inlineStr">
        <is>
          <t>SL-S31-02</t>
        </is>
      </c>
      <c r="B650" s="3" t="inlineStr">
        <is>
          <t>SL-S31-GATE</t>
        </is>
      </c>
      <c r="C650" s="3" t="inlineStr">
        <is>
          <t>S31</t>
        </is>
      </c>
      <c r="D650" s="3" t="inlineStr">
        <is>
          <t>S31</t>
        </is>
      </c>
      <c r="E650" s="3" t="inlineStr">
        <is>
          <t>Bloqueia até aceite; sequência conservadora dentro do sprint</t>
        </is>
      </c>
    </row>
    <row r="651" ht="28" customHeight="1">
      <c r="A651" s="3" t="inlineStr">
        <is>
          <t>SL-S31-03</t>
        </is>
      </c>
      <c r="B651" s="3" t="inlineStr">
        <is>
          <t>SL-S31-GATE</t>
        </is>
      </c>
      <c r="C651" s="3" t="inlineStr">
        <is>
          <t>S31</t>
        </is>
      </c>
      <c r="D651" s="3" t="inlineStr">
        <is>
          <t>S31</t>
        </is>
      </c>
      <c r="E651" s="3" t="inlineStr">
        <is>
          <t>Bloqueia até aceite; sequência conservadora dentro do sprint</t>
        </is>
      </c>
    </row>
    <row r="652" ht="28" customHeight="1">
      <c r="A652" s="3" t="inlineStr">
        <is>
          <t>SL-S31-04</t>
        </is>
      </c>
      <c r="B652" s="3" t="inlineStr">
        <is>
          <t>SL-S31-GATE</t>
        </is>
      </c>
      <c r="C652" s="3" t="inlineStr">
        <is>
          <t>S31</t>
        </is>
      </c>
      <c r="D652" s="3" t="inlineStr">
        <is>
          <t>S31</t>
        </is>
      </c>
      <c r="E652" s="3" t="inlineStr">
        <is>
          <t>Bloqueia até aceite; sequência conservadora dentro do sprint</t>
        </is>
      </c>
    </row>
    <row r="653" ht="28" customHeight="1">
      <c r="A653" s="3" t="inlineStr">
        <is>
          <t>SL-S31-05</t>
        </is>
      </c>
      <c r="B653" s="3" t="inlineStr">
        <is>
          <t>SL-S31-GATE</t>
        </is>
      </c>
      <c r="C653" s="3" t="inlineStr">
        <is>
          <t>S31</t>
        </is>
      </c>
      <c r="D653" s="3" t="inlineStr">
        <is>
          <t>S31</t>
        </is>
      </c>
      <c r="E653" s="3" t="inlineStr">
        <is>
          <t>Bloqueia até aceite; sequência conservadora dentro do sprint</t>
        </is>
      </c>
    </row>
    <row r="654" ht="28" customHeight="1">
      <c r="A654" s="3" t="inlineStr">
        <is>
          <t>SL-S31-06</t>
        </is>
      </c>
      <c r="B654" s="3" t="inlineStr">
        <is>
          <t>SL-S31-GATE</t>
        </is>
      </c>
      <c r="C654" s="3" t="inlineStr">
        <is>
          <t>S31</t>
        </is>
      </c>
      <c r="D654" s="3" t="inlineStr">
        <is>
          <t>S31</t>
        </is>
      </c>
      <c r="E654" s="3" t="inlineStr">
        <is>
          <t>Bloqueia até aceite; sequência conservadora dentro do sprint</t>
        </is>
      </c>
    </row>
    <row r="655" ht="28" customHeight="1">
      <c r="A655" s="3" t="inlineStr">
        <is>
          <t>SL-S31-07</t>
        </is>
      </c>
      <c r="B655" s="3" t="inlineStr">
        <is>
          <t>SL-S31-GATE</t>
        </is>
      </c>
      <c r="C655" s="3" t="inlineStr">
        <is>
          <t>S31</t>
        </is>
      </c>
      <c r="D655" s="3" t="inlineStr">
        <is>
          <t>S31</t>
        </is>
      </c>
      <c r="E655" s="3" t="inlineStr">
        <is>
          <t>Bloqueia até aceite; sequência conservadora dentro do sprint</t>
        </is>
      </c>
    </row>
    <row r="656" ht="28" customHeight="1">
      <c r="A656" s="3" t="inlineStr">
        <is>
          <t>SL-S31-08</t>
        </is>
      </c>
      <c r="B656" s="3" t="inlineStr">
        <is>
          <t>SL-S31-GATE</t>
        </is>
      </c>
      <c r="C656" s="3" t="inlineStr">
        <is>
          <t>S31</t>
        </is>
      </c>
      <c r="D656" s="3" t="inlineStr">
        <is>
          <t>S31</t>
        </is>
      </c>
      <c r="E656" s="3" t="inlineStr">
        <is>
          <t>Bloqueia até aceite; sequência conservadora dentro do sprint</t>
        </is>
      </c>
    </row>
    <row r="657" ht="28" customHeight="1">
      <c r="A657" s="3" t="inlineStr">
        <is>
          <t>SL-S31-09</t>
        </is>
      </c>
      <c r="B657" s="3" t="inlineStr">
        <is>
          <t>SL-S31-GATE</t>
        </is>
      </c>
      <c r="C657" s="3" t="inlineStr">
        <is>
          <t>S31</t>
        </is>
      </c>
      <c r="D657" s="3" t="inlineStr">
        <is>
          <t>S31</t>
        </is>
      </c>
      <c r="E657" s="3" t="inlineStr">
        <is>
          <t>Bloqueia até aceite; sequência conservadora dentro do sprint</t>
        </is>
      </c>
    </row>
    <row r="658" ht="28" customHeight="1">
      <c r="A658" s="3" t="inlineStr">
        <is>
          <t>SL-S31-10</t>
        </is>
      </c>
      <c r="B658" s="3" t="inlineStr">
        <is>
          <t>SL-S31-GATE</t>
        </is>
      </c>
      <c r="C658" s="3" t="inlineStr">
        <is>
          <t>S31</t>
        </is>
      </c>
      <c r="D658" s="3" t="inlineStr">
        <is>
          <t>S31</t>
        </is>
      </c>
      <c r="E658" s="3" t="inlineStr">
        <is>
          <t>Bloqueia até aceite; sequência conservadora dentro do sprint</t>
        </is>
      </c>
    </row>
    <row r="659" ht="28" customHeight="1">
      <c r="A659" s="3" t="inlineStr">
        <is>
          <t>SL-S31-GATE</t>
        </is>
      </c>
      <c r="B659" s="3" t="inlineStr">
        <is>
          <t>SL-S32-01</t>
        </is>
      </c>
      <c r="C659" s="3" t="inlineStr">
        <is>
          <t>S31</t>
        </is>
      </c>
      <c r="D659" s="3" t="inlineStr">
        <is>
          <t>S32</t>
        </is>
      </c>
      <c r="E659" s="3" t="inlineStr">
        <is>
          <t>Bloqueia até aceite; sequência conservadora dentro do sprint</t>
        </is>
      </c>
    </row>
    <row r="660" ht="28" customHeight="1">
      <c r="A660" s="3" t="inlineStr">
        <is>
          <t>SL-S32-01</t>
        </is>
      </c>
      <c r="B660" s="3" t="inlineStr">
        <is>
          <t>SL-S32-02</t>
        </is>
      </c>
      <c r="C660" s="3" t="inlineStr">
        <is>
          <t>S32</t>
        </is>
      </c>
      <c r="D660" s="3" t="inlineStr">
        <is>
          <t>S32</t>
        </is>
      </c>
      <c r="E660" s="3" t="inlineStr">
        <is>
          <t>Bloqueia até aceite; sequência conservadora dentro do sprint</t>
        </is>
      </c>
    </row>
    <row r="661" ht="28" customHeight="1">
      <c r="A661" s="3" t="inlineStr">
        <is>
          <t>SL-S32-02</t>
        </is>
      </c>
      <c r="B661" s="3" t="inlineStr">
        <is>
          <t>SL-S32-03</t>
        </is>
      </c>
      <c r="C661" s="3" t="inlineStr">
        <is>
          <t>S32</t>
        </is>
      </c>
      <c r="D661" s="3" t="inlineStr">
        <is>
          <t>S32</t>
        </is>
      </c>
      <c r="E661" s="3" t="inlineStr">
        <is>
          <t>Bloqueia até aceite; sequência conservadora dentro do sprint</t>
        </is>
      </c>
    </row>
    <row r="662" ht="28" customHeight="1">
      <c r="A662" s="3" t="inlineStr">
        <is>
          <t>SL-S32-03</t>
        </is>
      </c>
      <c r="B662" s="3" t="inlineStr">
        <is>
          <t>SL-S32-04</t>
        </is>
      </c>
      <c r="C662" s="3" t="inlineStr">
        <is>
          <t>S32</t>
        </is>
      </c>
      <c r="D662" s="3" t="inlineStr">
        <is>
          <t>S32</t>
        </is>
      </c>
      <c r="E662" s="3" t="inlineStr">
        <is>
          <t>Bloqueia até aceite; sequência conservadora dentro do sprint</t>
        </is>
      </c>
    </row>
    <row r="663" ht="28" customHeight="1">
      <c r="A663" s="3" t="inlineStr">
        <is>
          <t>SL-S32-04</t>
        </is>
      </c>
      <c r="B663" s="3" t="inlineStr">
        <is>
          <t>SL-S32-05</t>
        </is>
      </c>
      <c r="C663" s="3" t="inlineStr">
        <is>
          <t>S32</t>
        </is>
      </c>
      <c r="D663" s="3" t="inlineStr">
        <is>
          <t>S32</t>
        </is>
      </c>
      <c r="E663" s="3" t="inlineStr">
        <is>
          <t>Bloqueia até aceite; sequência conservadora dentro do sprint</t>
        </is>
      </c>
    </row>
    <row r="664" ht="28" customHeight="1">
      <c r="A664" s="3" t="inlineStr">
        <is>
          <t>SL-S32-05</t>
        </is>
      </c>
      <c r="B664" s="3" t="inlineStr">
        <is>
          <t>SL-S32-06</t>
        </is>
      </c>
      <c r="C664" s="3" t="inlineStr">
        <is>
          <t>S32</t>
        </is>
      </c>
      <c r="D664" s="3" t="inlineStr">
        <is>
          <t>S32</t>
        </is>
      </c>
      <c r="E664" s="3" t="inlineStr">
        <is>
          <t>Bloqueia até aceite; sequência conservadora dentro do sprint</t>
        </is>
      </c>
    </row>
    <row r="665" ht="28" customHeight="1">
      <c r="A665" s="3" t="inlineStr">
        <is>
          <t>SL-S32-06</t>
        </is>
      </c>
      <c r="B665" s="3" t="inlineStr">
        <is>
          <t>SL-S32-07</t>
        </is>
      </c>
      <c r="C665" s="3" t="inlineStr">
        <is>
          <t>S32</t>
        </is>
      </c>
      <c r="D665" s="3" t="inlineStr">
        <is>
          <t>S32</t>
        </is>
      </c>
      <c r="E665" s="3" t="inlineStr">
        <is>
          <t>Bloqueia até aceite; sequência conservadora dentro do sprint</t>
        </is>
      </c>
    </row>
    <row r="666" ht="28" customHeight="1">
      <c r="A666" s="3" t="inlineStr">
        <is>
          <t>SL-S32-07</t>
        </is>
      </c>
      <c r="B666" s="3" t="inlineStr">
        <is>
          <t>SL-S32-08</t>
        </is>
      </c>
      <c r="C666" s="3" t="inlineStr">
        <is>
          <t>S32</t>
        </is>
      </c>
      <c r="D666" s="3" t="inlineStr">
        <is>
          <t>S32</t>
        </is>
      </c>
      <c r="E666" s="3" t="inlineStr">
        <is>
          <t>Bloqueia até aceite; sequência conservadora dentro do sprint</t>
        </is>
      </c>
    </row>
    <row r="667" ht="28" customHeight="1">
      <c r="A667" s="3" t="inlineStr">
        <is>
          <t>SL-S32-08</t>
        </is>
      </c>
      <c r="B667" s="3" t="inlineStr">
        <is>
          <t>SL-S32-09</t>
        </is>
      </c>
      <c r="C667" s="3" t="inlineStr">
        <is>
          <t>S32</t>
        </is>
      </c>
      <c r="D667" s="3" t="inlineStr">
        <is>
          <t>S32</t>
        </is>
      </c>
      <c r="E667" s="3" t="inlineStr">
        <is>
          <t>Bloqueia até aceite; sequência conservadora dentro do sprint</t>
        </is>
      </c>
    </row>
    <row r="668" ht="28" customHeight="1">
      <c r="A668" s="3" t="inlineStr">
        <is>
          <t>SL-S32-09</t>
        </is>
      </c>
      <c r="B668" s="3" t="inlineStr">
        <is>
          <t>SL-S32-10</t>
        </is>
      </c>
      <c r="C668" s="3" t="inlineStr">
        <is>
          <t>S32</t>
        </is>
      </c>
      <c r="D668" s="3" t="inlineStr">
        <is>
          <t>S32</t>
        </is>
      </c>
      <c r="E668" s="3" t="inlineStr">
        <is>
          <t>Bloqueia até aceite; sequência conservadora dentro do sprint</t>
        </is>
      </c>
    </row>
    <row r="669" ht="28" customHeight="1">
      <c r="A669" s="3" t="inlineStr">
        <is>
          <t>SL-S32-01</t>
        </is>
      </c>
      <c r="B669" s="3" t="inlineStr">
        <is>
          <t>SL-S32-GATE</t>
        </is>
      </c>
      <c r="C669" s="3" t="inlineStr">
        <is>
          <t>S32</t>
        </is>
      </c>
      <c r="D669" s="3" t="inlineStr">
        <is>
          <t>S32</t>
        </is>
      </c>
      <c r="E669" s="3" t="inlineStr">
        <is>
          <t>Bloqueia até aceite; sequência conservadora dentro do sprint</t>
        </is>
      </c>
    </row>
    <row r="670" ht="28" customHeight="1">
      <c r="A670" s="3" t="inlineStr">
        <is>
          <t>SL-S32-02</t>
        </is>
      </c>
      <c r="B670" s="3" t="inlineStr">
        <is>
          <t>SL-S32-GATE</t>
        </is>
      </c>
      <c r="C670" s="3" t="inlineStr">
        <is>
          <t>S32</t>
        </is>
      </c>
      <c r="D670" s="3" t="inlineStr">
        <is>
          <t>S32</t>
        </is>
      </c>
      <c r="E670" s="3" t="inlineStr">
        <is>
          <t>Bloqueia até aceite; sequência conservadora dentro do sprint</t>
        </is>
      </c>
    </row>
    <row r="671" ht="28" customHeight="1">
      <c r="A671" s="3" t="inlineStr">
        <is>
          <t>SL-S32-03</t>
        </is>
      </c>
      <c r="B671" s="3" t="inlineStr">
        <is>
          <t>SL-S32-GATE</t>
        </is>
      </c>
      <c r="C671" s="3" t="inlineStr">
        <is>
          <t>S32</t>
        </is>
      </c>
      <c r="D671" s="3" t="inlineStr">
        <is>
          <t>S32</t>
        </is>
      </c>
      <c r="E671" s="3" t="inlineStr">
        <is>
          <t>Bloqueia até aceite; sequência conservadora dentro do sprint</t>
        </is>
      </c>
    </row>
    <row r="672" ht="28" customHeight="1">
      <c r="A672" s="3" t="inlineStr">
        <is>
          <t>SL-S32-04</t>
        </is>
      </c>
      <c r="B672" s="3" t="inlineStr">
        <is>
          <t>SL-S32-GATE</t>
        </is>
      </c>
      <c r="C672" s="3" t="inlineStr">
        <is>
          <t>S32</t>
        </is>
      </c>
      <c r="D672" s="3" t="inlineStr">
        <is>
          <t>S32</t>
        </is>
      </c>
      <c r="E672" s="3" t="inlineStr">
        <is>
          <t>Bloqueia até aceite; sequência conservadora dentro do sprint</t>
        </is>
      </c>
    </row>
    <row r="673" ht="28" customHeight="1">
      <c r="A673" s="3" t="inlineStr">
        <is>
          <t>SL-S32-05</t>
        </is>
      </c>
      <c r="B673" s="3" t="inlineStr">
        <is>
          <t>SL-S32-GATE</t>
        </is>
      </c>
      <c r="C673" s="3" t="inlineStr">
        <is>
          <t>S32</t>
        </is>
      </c>
      <c r="D673" s="3" t="inlineStr">
        <is>
          <t>S32</t>
        </is>
      </c>
      <c r="E673" s="3" t="inlineStr">
        <is>
          <t>Bloqueia até aceite; sequência conservadora dentro do sprint</t>
        </is>
      </c>
    </row>
    <row r="674" ht="28" customHeight="1">
      <c r="A674" s="3" t="inlineStr">
        <is>
          <t>SL-S32-06</t>
        </is>
      </c>
      <c r="B674" s="3" t="inlineStr">
        <is>
          <t>SL-S32-GATE</t>
        </is>
      </c>
      <c r="C674" s="3" t="inlineStr">
        <is>
          <t>S32</t>
        </is>
      </c>
      <c r="D674" s="3" t="inlineStr">
        <is>
          <t>S32</t>
        </is>
      </c>
      <c r="E674" s="3" t="inlineStr">
        <is>
          <t>Bloqueia até aceite; sequência conservadora dentro do sprint</t>
        </is>
      </c>
    </row>
    <row r="675" ht="28" customHeight="1">
      <c r="A675" s="3" t="inlineStr">
        <is>
          <t>SL-S32-07</t>
        </is>
      </c>
      <c r="B675" s="3" t="inlineStr">
        <is>
          <t>SL-S32-GATE</t>
        </is>
      </c>
      <c r="C675" s="3" t="inlineStr">
        <is>
          <t>S32</t>
        </is>
      </c>
      <c r="D675" s="3" t="inlineStr">
        <is>
          <t>S32</t>
        </is>
      </c>
      <c r="E675" s="3" t="inlineStr">
        <is>
          <t>Bloqueia até aceite; sequência conservadora dentro do sprint</t>
        </is>
      </c>
    </row>
    <row r="676" ht="28" customHeight="1">
      <c r="A676" s="3" t="inlineStr">
        <is>
          <t>SL-S32-08</t>
        </is>
      </c>
      <c r="B676" s="3" t="inlineStr">
        <is>
          <t>SL-S32-GATE</t>
        </is>
      </c>
      <c r="C676" s="3" t="inlineStr">
        <is>
          <t>S32</t>
        </is>
      </c>
      <c r="D676" s="3" t="inlineStr">
        <is>
          <t>S32</t>
        </is>
      </c>
      <c r="E676" s="3" t="inlineStr">
        <is>
          <t>Bloqueia até aceite; sequência conservadora dentro do sprint</t>
        </is>
      </c>
    </row>
    <row r="677" ht="28" customHeight="1">
      <c r="A677" s="3" t="inlineStr">
        <is>
          <t>SL-S32-09</t>
        </is>
      </c>
      <c r="B677" s="3" t="inlineStr">
        <is>
          <t>SL-S32-GATE</t>
        </is>
      </c>
      <c r="C677" s="3" t="inlineStr">
        <is>
          <t>S32</t>
        </is>
      </c>
      <c r="D677" s="3" t="inlineStr">
        <is>
          <t>S32</t>
        </is>
      </c>
      <c r="E677" s="3" t="inlineStr">
        <is>
          <t>Bloqueia até aceite; sequência conservadora dentro do sprint</t>
        </is>
      </c>
    </row>
    <row r="678" ht="28" customHeight="1">
      <c r="A678" s="3" t="inlineStr">
        <is>
          <t>SL-S32-10</t>
        </is>
      </c>
      <c r="B678" s="3" t="inlineStr">
        <is>
          <t>SL-S32-GATE</t>
        </is>
      </c>
      <c r="C678" s="3" t="inlineStr">
        <is>
          <t>S32</t>
        </is>
      </c>
      <c r="D678" s="3" t="inlineStr">
        <is>
          <t>S32</t>
        </is>
      </c>
      <c r="E678" s="3" t="inlineStr">
        <is>
          <t>Bloqueia até aceite; sequência conservadora dentro do sprint</t>
        </is>
      </c>
    </row>
    <row r="679" ht="28" customHeight="1">
      <c r="A679" s="3" t="inlineStr">
        <is>
          <t>SL-S27-GATE</t>
        </is>
      </c>
      <c r="B679" s="3" t="inlineStr">
        <is>
          <t>SL-S33-01</t>
        </is>
      </c>
      <c r="C679" s="3" t="inlineStr">
        <is>
          <t>S27</t>
        </is>
      </c>
      <c r="D679" s="3" t="inlineStr">
        <is>
          <t>S33</t>
        </is>
      </c>
      <c r="E679" s="3" t="inlineStr">
        <is>
          <t>Bloqueia até aceite; sequência conservadora dentro do sprint</t>
        </is>
      </c>
    </row>
    <row r="680" ht="28" customHeight="1">
      <c r="A680" s="3" t="inlineStr">
        <is>
          <t>SL-S28-GATE</t>
        </is>
      </c>
      <c r="B680" s="3" t="inlineStr">
        <is>
          <t>SL-S33-01</t>
        </is>
      </c>
      <c r="C680" s="3" t="inlineStr">
        <is>
          <t>S28</t>
        </is>
      </c>
      <c r="D680" s="3" t="inlineStr">
        <is>
          <t>S33</t>
        </is>
      </c>
      <c r="E680" s="3" t="inlineStr">
        <is>
          <t>Bloqueia até aceite; sequência conservadora dentro do sprint</t>
        </is>
      </c>
    </row>
    <row r="681" ht="28" customHeight="1">
      <c r="A681" s="3" t="inlineStr">
        <is>
          <t>SL-S30-GATE</t>
        </is>
      </c>
      <c r="B681" s="3" t="inlineStr">
        <is>
          <t>SL-S33-01</t>
        </is>
      </c>
      <c r="C681" s="3" t="inlineStr">
        <is>
          <t>S30</t>
        </is>
      </c>
      <c r="D681" s="3" t="inlineStr">
        <is>
          <t>S33</t>
        </is>
      </c>
      <c r="E681" s="3" t="inlineStr">
        <is>
          <t>Bloqueia até aceite; sequência conservadora dentro do sprint</t>
        </is>
      </c>
    </row>
    <row r="682" ht="28" customHeight="1">
      <c r="A682" s="3" t="inlineStr">
        <is>
          <t>SL-S32-GATE</t>
        </is>
      </c>
      <c r="B682" s="3" t="inlineStr">
        <is>
          <t>SL-S33-01</t>
        </is>
      </c>
      <c r="C682" s="3" t="inlineStr">
        <is>
          <t>S32</t>
        </is>
      </c>
      <c r="D682" s="3" t="inlineStr">
        <is>
          <t>S33</t>
        </is>
      </c>
      <c r="E682" s="3" t="inlineStr">
        <is>
          <t>Bloqueia até aceite; sequência conservadora dentro do sprint</t>
        </is>
      </c>
    </row>
    <row r="683" ht="28" customHeight="1">
      <c r="A683" s="3" t="inlineStr">
        <is>
          <t>SL-S33-01</t>
        </is>
      </c>
      <c r="B683" s="3" t="inlineStr">
        <is>
          <t>SL-S33-02</t>
        </is>
      </c>
      <c r="C683" s="3" t="inlineStr">
        <is>
          <t>S33</t>
        </is>
      </c>
      <c r="D683" s="3" t="inlineStr">
        <is>
          <t>S33</t>
        </is>
      </c>
      <c r="E683" s="3" t="inlineStr">
        <is>
          <t>Bloqueia até aceite; sequência conservadora dentro do sprint</t>
        </is>
      </c>
    </row>
    <row r="684" ht="28" customHeight="1">
      <c r="A684" s="3" t="inlineStr">
        <is>
          <t>SL-S33-02</t>
        </is>
      </c>
      <c r="B684" s="3" t="inlineStr">
        <is>
          <t>SL-S33-03</t>
        </is>
      </c>
      <c r="C684" s="3" t="inlineStr">
        <is>
          <t>S33</t>
        </is>
      </c>
      <c r="D684" s="3" t="inlineStr">
        <is>
          <t>S33</t>
        </is>
      </c>
      <c r="E684" s="3" t="inlineStr">
        <is>
          <t>Bloqueia até aceite; sequência conservadora dentro do sprint</t>
        </is>
      </c>
    </row>
    <row r="685" ht="28" customHeight="1">
      <c r="A685" s="3" t="inlineStr">
        <is>
          <t>SL-S33-03</t>
        </is>
      </c>
      <c r="B685" s="3" t="inlineStr">
        <is>
          <t>SL-S33-04</t>
        </is>
      </c>
      <c r="C685" s="3" t="inlineStr">
        <is>
          <t>S33</t>
        </is>
      </c>
      <c r="D685" s="3" t="inlineStr">
        <is>
          <t>S33</t>
        </is>
      </c>
      <c r="E685" s="3" t="inlineStr">
        <is>
          <t>Bloqueia até aceite; sequência conservadora dentro do sprint</t>
        </is>
      </c>
    </row>
    <row r="686" ht="28" customHeight="1">
      <c r="A686" s="3" t="inlineStr">
        <is>
          <t>SL-S33-04</t>
        </is>
      </c>
      <c r="B686" s="3" t="inlineStr">
        <is>
          <t>SL-S33-05</t>
        </is>
      </c>
      <c r="C686" s="3" t="inlineStr">
        <is>
          <t>S33</t>
        </is>
      </c>
      <c r="D686" s="3" t="inlineStr">
        <is>
          <t>S33</t>
        </is>
      </c>
      <c r="E686" s="3" t="inlineStr">
        <is>
          <t>Bloqueia até aceite; sequência conservadora dentro do sprint</t>
        </is>
      </c>
    </row>
    <row r="687" ht="28" customHeight="1">
      <c r="A687" s="3" t="inlineStr">
        <is>
          <t>SL-S33-05</t>
        </is>
      </c>
      <c r="B687" s="3" t="inlineStr">
        <is>
          <t>SL-S33-06</t>
        </is>
      </c>
      <c r="C687" s="3" t="inlineStr">
        <is>
          <t>S33</t>
        </is>
      </c>
      <c r="D687" s="3" t="inlineStr">
        <is>
          <t>S33</t>
        </is>
      </c>
      <c r="E687" s="3" t="inlineStr">
        <is>
          <t>Bloqueia até aceite; sequência conservadora dentro do sprint</t>
        </is>
      </c>
    </row>
    <row r="688" ht="28" customHeight="1">
      <c r="A688" s="3" t="inlineStr">
        <is>
          <t>SL-S33-06</t>
        </is>
      </c>
      <c r="B688" s="3" t="inlineStr">
        <is>
          <t>SL-S33-07</t>
        </is>
      </c>
      <c r="C688" s="3" t="inlineStr">
        <is>
          <t>S33</t>
        </is>
      </c>
      <c r="D688" s="3" t="inlineStr">
        <is>
          <t>S33</t>
        </is>
      </c>
      <c r="E688" s="3" t="inlineStr">
        <is>
          <t>Bloqueia até aceite; sequência conservadora dentro do sprint</t>
        </is>
      </c>
    </row>
    <row r="689" ht="28" customHeight="1">
      <c r="A689" s="3" t="inlineStr">
        <is>
          <t>SL-S33-07</t>
        </is>
      </c>
      <c r="B689" s="3" t="inlineStr">
        <is>
          <t>SL-S33-08</t>
        </is>
      </c>
      <c r="C689" s="3" t="inlineStr">
        <is>
          <t>S33</t>
        </is>
      </c>
      <c r="D689" s="3" t="inlineStr">
        <is>
          <t>S33</t>
        </is>
      </c>
      <c r="E689" s="3" t="inlineStr">
        <is>
          <t>Bloqueia até aceite; sequência conservadora dentro do sprint</t>
        </is>
      </c>
    </row>
    <row r="690" ht="28" customHeight="1">
      <c r="A690" s="3" t="inlineStr">
        <is>
          <t>SL-S33-08</t>
        </is>
      </c>
      <c r="B690" s="3" t="inlineStr">
        <is>
          <t>SL-S33-09</t>
        </is>
      </c>
      <c r="C690" s="3" t="inlineStr">
        <is>
          <t>S33</t>
        </is>
      </c>
      <c r="D690" s="3" t="inlineStr">
        <is>
          <t>S33</t>
        </is>
      </c>
      <c r="E690" s="3" t="inlineStr">
        <is>
          <t>Bloqueia até aceite; sequência conservadora dentro do sprint</t>
        </is>
      </c>
    </row>
    <row r="691" ht="28" customHeight="1">
      <c r="A691" s="3" t="inlineStr">
        <is>
          <t>SL-S33-09</t>
        </is>
      </c>
      <c r="B691" s="3" t="inlineStr">
        <is>
          <t>SL-S33-10</t>
        </is>
      </c>
      <c r="C691" s="3" t="inlineStr">
        <is>
          <t>S33</t>
        </is>
      </c>
      <c r="D691" s="3" t="inlineStr">
        <is>
          <t>S33</t>
        </is>
      </c>
      <c r="E691" s="3" t="inlineStr">
        <is>
          <t>Bloqueia até aceite; sequência conservadora dentro do sprint</t>
        </is>
      </c>
    </row>
    <row r="692" ht="28" customHeight="1">
      <c r="A692" s="3" t="inlineStr">
        <is>
          <t>SL-S33-01</t>
        </is>
      </c>
      <c r="B692" s="3" t="inlineStr">
        <is>
          <t>SL-S33-GATE</t>
        </is>
      </c>
      <c r="C692" s="3" t="inlineStr">
        <is>
          <t>S33</t>
        </is>
      </c>
      <c r="D692" s="3" t="inlineStr">
        <is>
          <t>S33</t>
        </is>
      </c>
      <c r="E692" s="3" t="inlineStr">
        <is>
          <t>Bloqueia até aceite; sequência conservadora dentro do sprint</t>
        </is>
      </c>
    </row>
    <row r="693" ht="28" customHeight="1">
      <c r="A693" s="3" t="inlineStr">
        <is>
          <t>SL-S33-02</t>
        </is>
      </c>
      <c r="B693" s="3" t="inlineStr">
        <is>
          <t>SL-S33-GATE</t>
        </is>
      </c>
      <c r="C693" s="3" t="inlineStr">
        <is>
          <t>S33</t>
        </is>
      </c>
      <c r="D693" s="3" t="inlineStr">
        <is>
          <t>S33</t>
        </is>
      </c>
      <c r="E693" s="3" t="inlineStr">
        <is>
          <t>Bloqueia até aceite; sequência conservadora dentro do sprint</t>
        </is>
      </c>
    </row>
    <row r="694" ht="28" customHeight="1">
      <c r="A694" s="3" t="inlineStr">
        <is>
          <t>SL-S33-03</t>
        </is>
      </c>
      <c r="B694" s="3" t="inlineStr">
        <is>
          <t>SL-S33-GATE</t>
        </is>
      </c>
      <c r="C694" s="3" t="inlineStr">
        <is>
          <t>S33</t>
        </is>
      </c>
      <c r="D694" s="3" t="inlineStr">
        <is>
          <t>S33</t>
        </is>
      </c>
      <c r="E694" s="3" t="inlineStr">
        <is>
          <t>Bloqueia até aceite; sequência conservadora dentro do sprint</t>
        </is>
      </c>
    </row>
    <row r="695" ht="28" customHeight="1">
      <c r="A695" s="3" t="inlineStr">
        <is>
          <t>SL-S33-04</t>
        </is>
      </c>
      <c r="B695" s="3" t="inlineStr">
        <is>
          <t>SL-S33-GATE</t>
        </is>
      </c>
      <c r="C695" s="3" t="inlineStr">
        <is>
          <t>S33</t>
        </is>
      </c>
      <c r="D695" s="3" t="inlineStr">
        <is>
          <t>S33</t>
        </is>
      </c>
      <c r="E695" s="3" t="inlineStr">
        <is>
          <t>Bloqueia até aceite; sequência conservadora dentro do sprint</t>
        </is>
      </c>
    </row>
    <row r="696" ht="28" customHeight="1">
      <c r="A696" s="3" t="inlineStr">
        <is>
          <t>SL-S33-05</t>
        </is>
      </c>
      <c r="B696" s="3" t="inlineStr">
        <is>
          <t>SL-S33-GATE</t>
        </is>
      </c>
      <c r="C696" s="3" t="inlineStr">
        <is>
          <t>S33</t>
        </is>
      </c>
      <c r="D696" s="3" t="inlineStr">
        <is>
          <t>S33</t>
        </is>
      </c>
      <c r="E696" s="3" t="inlineStr">
        <is>
          <t>Bloqueia até aceite; sequência conservadora dentro do sprint</t>
        </is>
      </c>
    </row>
    <row r="697" ht="28" customHeight="1">
      <c r="A697" s="3" t="inlineStr">
        <is>
          <t>SL-S33-06</t>
        </is>
      </c>
      <c r="B697" s="3" t="inlineStr">
        <is>
          <t>SL-S33-GATE</t>
        </is>
      </c>
      <c r="C697" s="3" t="inlineStr">
        <is>
          <t>S33</t>
        </is>
      </c>
      <c r="D697" s="3" t="inlineStr">
        <is>
          <t>S33</t>
        </is>
      </c>
      <c r="E697" s="3" t="inlineStr">
        <is>
          <t>Bloqueia até aceite; sequência conservadora dentro do sprint</t>
        </is>
      </c>
    </row>
    <row r="698" ht="28" customHeight="1">
      <c r="A698" s="3" t="inlineStr">
        <is>
          <t>SL-S33-07</t>
        </is>
      </c>
      <c r="B698" s="3" t="inlineStr">
        <is>
          <t>SL-S33-GATE</t>
        </is>
      </c>
      <c r="C698" s="3" t="inlineStr">
        <is>
          <t>S33</t>
        </is>
      </c>
      <c r="D698" s="3" t="inlineStr">
        <is>
          <t>S33</t>
        </is>
      </c>
      <c r="E698" s="3" t="inlineStr">
        <is>
          <t>Bloqueia até aceite; sequência conservadora dentro do sprint</t>
        </is>
      </c>
    </row>
    <row r="699" ht="28" customHeight="1">
      <c r="A699" s="3" t="inlineStr">
        <is>
          <t>SL-S33-08</t>
        </is>
      </c>
      <c r="B699" s="3" t="inlineStr">
        <is>
          <t>SL-S33-GATE</t>
        </is>
      </c>
      <c r="C699" s="3" t="inlineStr">
        <is>
          <t>S33</t>
        </is>
      </c>
      <c r="D699" s="3" t="inlineStr">
        <is>
          <t>S33</t>
        </is>
      </c>
      <c r="E699" s="3" t="inlineStr">
        <is>
          <t>Bloqueia até aceite; sequência conservadora dentro do sprint</t>
        </is>
      </c>
    </row>
    <row r="700" ht="28" customHeight="1">
      <c r="A700" s="3" t="inlineStr">
        <is>
          <t>SL-S33-09</t>
        </is>
      </c>
      <c r="B700" s="3" t="inlineStr">
        <is>
          <t>SL-S33-GATE</t>
        </is>
      </c>
      <c r="C700" s="3" t="inlineStr">
        <is>
          <t>S33</t>
        </is>
      </c>
      <c r="D700" s="3" t="inlineStr">
        <is>
          <t>S33</t>
        </is>
      </c>
      <c r="E700" s="3" t="inlineStr">
        <is>
          <t>Bloqueia até aceite; sequência conservadora dentro do sprint</t>
        </is>
      </c>
    </row>
    <row r="701" ht="28" customHeight="1">
      <c r="A701" s="3" t="inlineStr">
        <is>
          <t>SL-S33-10</t>
        </is>
      </c>
      <c r="B701" s="3" t="inlineStr">
        <is>
          <t>SL-S33-GATE</t>
        </is>
      </c>
      <c r="C701" s="3" t="inlineStr">
        <is>
          <t>S33</t>
        </is>
      </c>
      <c r="D701" s="3" t="inlineStr">
        <is>
          <t>S33</t>
        </is>
      </c>
      <c r="E701" s="3" t="inlineStr">
        <is>
          <t>Bloqueia até aceite; sequência conservadora dentro do sprint</t>
        </is>
      </c>
    </row>
    <row r="702" ht="28" customHeight="1">
      <c r="A702" s="3" t="inlineStr">
        <is>
          <t>SL-S23-GATE</t>
        </is>
      </c>
      <c r="B702" s="3" t="inlineStr">
        <is>
          <t>SL-S34-01</t>
        </is>
      </c>
      <c r="C702" s="3" t="inlineStr">
        <is>
          <t>S23</t>
        </is>
      </c>
      <c r="D702" s="3" t="inlineStr">
        <is>
          <t>S34</t>
        </is>
      </c>
      <c r="E702" s="3" t="inlineStr">
        <is>
          <t>Bloqueia até aceite; sequência conservadora dentro do sprint</t>
        </is>
      </c>
    </row>
    <row r="703" ht="28" customHeight="1">
      <c r="A703" s="3" t="inlineStr">
        <is>
          <t>SL-S30-GATE</t>
        </is>
      </c>
      <c r="B703" s="3" t="inlineStr">
        <is>
          <t>SL-S34-01</t>
        </is>
      </c>
      <c r="C703" s="3" t="inlineStr">
        <is>
          <t>S30</t>
        </is>
      </c>
      <c r="D703" s="3" t="inlineStr">
        <is>
          <t>S34</t>
        </is>
      </c>
      <c r="E703" s="3" t="inlineStr">
        <is>
          <t>Bloqueia até aceite; sequência conservadora dentro do sprint</t>
        </is>
      </c>
    </row>
    <row r="704" ht="28" customHeight="1">
      <c r="A704" s="3" t="inlineStr">
        <is>
          <t>SL-S32-GATE</t>
        </is>
      </c>
      <c r="B704" s="3" t="inlineStr">
        <is>
          <t>SL-S34-01</t>
        </is>
      </c>
      <c r="C704" s="3" t="inlineStr">
        <is>
          <t>S32</t>
        </is>
      </c>
      <c r="D704" s="3" t="inlineStr">
        <is>
          <t>S34</t>
        </is>
      </c>
      <c r="E704" s="3" t="inlineStr">
        <is>
          <t>Bloqueia até aceite; sequência conservadora dentro do sprint</t>
        </is>
      </c>
    </row>
    <row r="705" ht="28" customHeight="1">
      <c r="A705" s="3" t="inlineStr">
        <is>
          <t>SL-S34-01</t>
        </is>
      </c>
      <c r="B705" s="3" t="inlineStr">
        <is>
          <t>SL-S34-02</t>
        </is>
      </c>
      <c r="C705" s="3" t="inlineStr">
        <is>
          <t>S34</t>
        </is>
      </c>
      <c r="D705" s="3" t="inlineStr">
        <is>
          <t>S34</t>
        </is>
      </c>
      <c r="E705" s="3" t="inlineStr">
        <is>
          <t>Bloqueia até aceite; sequência conservadora dentro do sprint</t>
        </is>
      </c>
    </row>
    <row r="706" ht="28" customHeight="1">
      <c r="A706" s="3" t="inlineStr">
        <is>
          <t>SL-S34-02</t>
        </is>
      </c>
      <c r="B706" s="3" t="inlineStr">
        <is>
          <t>SL-S34-03</t>
        </is>
      </c>
      <c r="C706" s="3" t="inlineStr">
        <is>
          <t>S34</t>
        </is>
      </c>
      <c r="D706" s="3" t="inlineStr">
        <is>
          <t>S34</t>
        </is>
      </c>
      <c r="E706" s="3" t="inlineStr">
        <is>
          <t>Bloqueia até aceite; sequência conservadora dentro do sprint</t>
        </is>
      </c>
    </row>
    <row r="707" ht="28" customHeight="1">
      <c r="A707" s="3" t="inlineStr">
        <is>
          <t>SL-S34-03</t>
        </is>
      </c>
      <c r="B707" s="3" t="inlineStr">
        <is>
          <t>SL-S34-04</t>
        </is>
      </c>
      <c r="C707" s="3" t="inlineStr">
        <is>
          <t>S34</t>
        </is>
      </c>
      <c r="D707" s="3" t="inlineStr">
        <is>
          <t>S34</t>
        </is>
      </c>
      <c r="E707" s="3" t="inlineStr">
        <is>
          <t>Bloqueia até aceite; sequência conservadora dentro do sprint</t>
        </is>
      </c>
    </row>
    <row r="708" ht="28" customHeight="1">
      <c r="A708" s="3" t="inlineStr">
        <is>
          <t>SL-S34-04</t>
        </is>
      </c>
      <c r="B708" s="3" t="inlineStr">
        <is>
          <t>SL-S34-05</t>
        </is>
      </c>
      <c r="C708" s="3" t="inlineStr">
        <is>
          <t>S34</t>
        </is>
      </c>
      <c r="D708" s="3" t="inlineStr">
        <is>
          <t>S34</t>
        </is>
      </c>
      <c r="E708" s="3" t="inlineStr">
        <is>
          <t>Bloqueia até aceite; sequência conservadora dentro do sprint</t>
        </is>
      </c>
    </row>
    <row r="709" ht="28" customHeight="1">
      <c r="A709" s="3" t="inlineStr">
        <is>
          <t>SL-S34-05</t>
        </is>
      </c>
      <c r="B709" s="3" t="inlineStr">
        <is>
          <t>SL-S34-06</t>
        </is>
      </c>
      <c r="C709" s="3" t="inlineStr">
        <is>
          <t>S34</t>
        </is>
      </c>
      <c r="D709" s="3" t="inlineStr">
        <is>
          <t>S34</t>
        </is>
      </c>
      <c r="E709" s="3" t="inlineStr">
        <is>
          <t>Bloqueia até aceite; sequência conservadora dentro do sprint</t>
        </is>
      </c>
    </row>
    <row r="710" ht="28" customHeight="1">
      <c r="A710" s="3" t="inlineStr">
        <is>
          <t>SL-S34-06</t>
        </is>
      </c>
      <c r="B710" s="3" t="inlineStr">
        <is>
          <t>SL-S34-07</t>
        </is>
      </c>
      <c r="C710" s="3" t="inlineStr">
        <is>
          <t>S34</t>
        </is>
      </c>
      <c r="D710" s="3" t="inlineStr">
        <is>
          <t>S34</t>
        </is>
      </c>
      <c r="E710" s="3" t="inlineStr">
        <is>
          <t>Bloqueia até aceite; sequência conservadora dentro do sprint</t>
        </is>
      </c>
    </row>
    <row r="711" ht="28" customHeight="1">
      <c r="A711" s="3" t="inlineStr">
        <is>
          <t>SL-S34-07</t>
        </is>
      </c>
      <c r="B711" s="3" t="inlineStr">
        <is>
          <t>SL-S34-08</t>
        </is>
      </c>
      <c r="C711" s="3" t="inlineStr">
        <is>
          <t>S34</t>
        </is>
      </c>
      <c r="D711" s="3" t="inlineStr">
        <is>
          <t>S34</t>
        </is>
      </c>
      <c r="E711" s="3" t="inlineStr">
        <is>
          <t>Bloqueia até aceite; sequência conservadora dentro do sprint</t>
        </is>
      </c>
    </row>
    <row r="712" ht="28" customHeight="1">
      <c r="A712" s="3" t="inlineStr">
        <is>
          <t>SL-S34-08</t>
        </is>
      </c>
      <c r="B712" s="3" t="inlineStr">
        <is>
          <t>SL-S34-09</t>
        </is>
      </c>
      <c r="C712" s="3" t="inlineStr">
        <is>
          <t>S34</t>
        </is>
      </c>
      <c r="D712" s="3" t="inlineStr">
        <is>
          <t>S34</t>
        </is>
      </c>
      <c r="E712" s="3" t="inlineStr">
        <is>
          <t>Bloqueia até aceite; sequência conservadora dentro do sprint</t>
        </is>
      </c>
    </row>
    <row r="713" ht="28" customHeight="1">
      <c r="A713" s="3" t="inlineStr">
        <is>
          <t>SL-S34-09</t>
        </is>
      </c>
      <c r="B713" s="3" t="inlineStr">
        <is>
          <t>SL-S34-10</t>
        </is>
      </c>
      <c r="C713" s="3" t="inlineStr">
        <is>
          <t>S34</t>
        </is>
      </c>
      <c r="D713" s="3" t="inlineStr">
        <is>
          <t>S34</t>
        </is>
      </c>
      <c r="E713" s="3" t="inlineStr">
        <is>
          <t>Bloqueia até aceite; sequência conservadora dentro do sprint</t>
        </is>
      </c>
    </row>
    <row r="714" ht="28" customHeight="1">
      <c r="A714" s="3" t="inlineStr">
        <is>
          <t>SL-S34-01</t>
        </is>
      </c>
      <c r="B714" s="3" t="inlineStr">
        <is>
          <t>SL-S34-GATE</t>
        </is>
      </c>
      <c r="C714" s="3" t="inlineStr">
        <is>
          <t>S34</t>
        </is>
      </c>
      <c r="D714" s="3" t="inlineStr">
        <is>
          <t>S34</t>
        </is>
      </c>
      <c r="E714" s="3" t="inlineStr">
        <is>
          <t>Bloqueia até aceite; sequência conservadora dentro do sprint</t>
        </is>
      </c>
    </row>
    <row r="715" ht="28" customHeight="1">
      <c r="A715" s="3" t="inlineStr">
        <is>
          <t>SL-S34-02</t>
        </is>
      </c>
      <c r="B715" s="3" t="inlineStr">
        <is>
          <t>SL-S34-GATE</t>
        </is>
      </c>
      <c r="C715" s="3" t="inlineStr">
        <is>
          <t>S34</t>
        </is>
      </c>
      <c r="D715" s="3" t="inlineStr">
        <is>
          <t>S34</t>
        </is>
      </c>
      <c r="E715" s="3" t="inlineStr">
        <is>
          <t>Bloqueia até aceite; sequência conservadora dentro do sprint</t>
        </is>
      </c>
    </row>
    <row r="716" ht="28" customHeight="1">
      <c r="A716" s="3" t="inlineStr">
        <is>
          <t>SL-S34-03</t>
        </is>
      </c>
      <c r="B716" s="3" t="inlineStr">
        <is>
          <t>SL-S34-GATE</t>
        </is>
      </c>
      <c r="C716" s="3" t="inlineStr">
        <is>
          <t>S34</t>
        </is>
      </c>
      <c r="D716" s="3" t="inlineStr">
        <is>
          <t>S34</t>
        </is>
      </c>
      <c r="E716" s="3" t="inlineStr">
        <is>
          <t>Bloqueia até aceite; sequência conservadora dentro do sprint</t>
        </is>
      </c>
    </row>
    <row r="717" ht="28" customHeight="1">
      <c r="A717" s="3" t="inlineStr">
        <is>
          <t>SL-S34-04</t>
        </is>
      </c>
      <c r="B717" s="3" t="inlineStr">
        <is>
          <t>SL-S34-GATE</t>
        </is>
      </c>
      <c r="C717" s="3" t="inlineStr">
        <is>
          <t>S34</t>
        </is>
      </c>
      <c r="D717" s="3" t="inlineStr">
        <is>
          <t>S34</t>
        </is>
      </c>
      <c r="E717" s="3" t="inlineStr">
        <is>
          <t>Bloqueia até aceite; sequência conservadora dentro do sprint</t>
        </is>
      </c>
    </row>
    <row r="718" ht="28" customHeight="1">
      <c r="A718" s="3" t="inlineStr">
        <is>
          <t>SL-S34-05</t>
        </is>
      </c>
      <c r="B718" s="3" t="inlineStr">
        <is>
          <t>SL-S34-GATE</t>
        </is>
      </c>
      <c r="C718" s="3" t="inlineStr">
        <is>
          <t>S34</t>
        </is>
      </c>
      <c r="D718" s="3" t="inlineStr">
        <is>
          <t>S34</t>
        </is>
      </c>
      <c r="E718" s="3" t="inlineStr">
        <is>
          <t>Bloqueia até aceite; sequência conservadora dentro do sprint</t>
        </is>
      </c>
    </row>
    <row r="719" ht="28" customHeight="1">
      <c r="A719" s="3" t="inlineStr">
        <is>
          <t>SL-S34-06</t>
        </is>
      </c>
      <c r="B719" s="3" t="inlineStr">
        <is>
          <t>SL-S34-GATE</t>
        </is>
      </c>
      <c r="C719" s="3" t="inlineStr">
        <is>
          <t>S34</t>
        </is>
      </c>
      <c r="D719" s="3" t="inlineStr">
        <is>
          <t>S34</t>
        </is>
      </c>
      <c r="E719" s="3" t="inlineStr">
        <is>
          <t>Bloqueia até aceite; sequência conservadora dentro do sprint</t>
        </is>
      </c>
    </row>
    <row r="720" ht="28" customHeight="1">
      <c r="A720" s="3" t="inlineStr">
        <is>
          <t>SL-S34-07</t>
        </is>
      </c>
      <c r="B720" s="3" t="inlineStr">
        <is>
          <t>SL-S34-GATE</t>
        </is>
      </c>
      <c r="C720" s="3" t="inlineStr">
        <is>
          <t>S34</t>
        </is>
      </c>
      <c r="D720" s="3" t="inlineStr">
        <is>
          <t>S34</t>
        </is>
      </c>
      <c r="E720" s="3" t="inlineStr">
        <is>
          <t>Bloqueia até aceite; sequência conservadora dentro do sprint</t>
        </is>
      </c>
    </row>
    <row r="721" ht="28" customHeight="1">
      <c r="A721" s="3" t="inlineStr">
        <is>
          <t>SL-S34-08</t>
        </is>
      </c>
      <c r="B721" s="3" t="inlineStr">
        <is>
          <t>SL-S34-GATE</t>
        </is>
      </c>
      <c r="C721" s="3" t="inlineStr">
        <is>
          <t>S34</t>
        </is>
      </c>
      <c r="D721" s="3" t="inlineStr">
        <is>
          <t>S34</t>
        </is>
      </c>
      <c r="E721" s="3" t="inlineStr">
        <is>
          <t>Bloqueia até aceite; sequência conservadora dentro do sprint</t>
        </is>
      </c>
    </row>
    <row r="722" ht="28" customHeight="1">
      <c r="A722" s="3" t="inlineStr">
        <is>
          <t>SL-S34-09</t>
        </is>
      </c>
      <c r="B722" s="3" t="inlineStr">
        <is>
          <t>SL-S34-GATE</t>
        </is>
      </c>
      <c r="C722" s="3" t="inlineStr">
        <is>
          <t>S34</t>
        </is>
      </c>
      <c r="D722" s="3" t="inlineStr">
        <is>
          <t>S34</t>
        </is>
      </c>
      <c r="E722" s="3" t="inlineStr">
        <is>
          <t>Bloqueia até aceite; sequência conservadora dentro do sprint</t>
        </is>
      </c>
    </row>
    <row r="723" ht="28" customHeight="1">
      <c r="A723" s="3" t="inlineStr">
        <is>
          <t>SL-S34-10</t>
        </is>
      </c>
      <c r="B723" s="3" t="inlineStr">
        <is>
          <t>SL-S34-GATE</t>
        </is>
      </c>
      <c r="C723" s="3" t="inlineStr">
        <is>
          <t>S34</t>
        </is>
      </c>
      <c r="D723" s="3" t="inlineStr">
        <is>
          <t>S34</t>
        </is>
      </c>
      <c r="E723" s="3" t="inlineStr">
        <is>
          <t>Bloqueia até aceite; sequência conservadora dentro do sprint</t>
        </is>
      </c>
    </row>
    <row r="724" ht="28" customHeight="1">
      <c r="A724" s="3" t="inlineStr">
        <is>
          <t>SL-S32-GATE</t>
        </is>
      </c>
      <c r="B724" s="3" t="inlineStr">
        <is>
          <t>SL-S35-01</t>
        </is>
      </c>
      <c r="C724" s="3" t="inlineStr">
        <is>
          <t>S32</t>
        </is>
      </c>
      <c r="D724" s="3" t="inlineStr">
        <is>
          <t>S35</t>
        </is>
      </c>
      <c r="E724" s="3" t="inlineStr">
        <is>
          <t>Bloqueia até aceite; sequência conservadora dentro do sprint</t>
        </is>
      </c>
    </row>
    <row r="725" ht="28" customHeight="1">
      <c r="A725" s="3" t="inlineStr">
        <is>
          <t>SL-S34-GATE</t>
        </is>
      </c>
      <c r="B725" s="3" t="inlineStr">
        <is>
          <t>SL-S35-01</t>
        </is>
      </c>
      <c r="C725" s="3" t="inlineStr">
        <is>
          <t>S34</t>
        </is>
      </c>
      <c r="D725" s="3" t="inlineStr">
        <is>
          <t>S35</t>
        </is>
      </c>
      <c r="E725" s="3" t="inlineStr">
        <is>
          <t>Bloqueia até aceite; sequência conservadora dentro do sprint</t>
        </is>
      </c>
    </row>
    <row r="726" ht="28" customHeight="1">
      <c r="A726" s="3" t="inlineStr">
        <is>
          <t>SL-S35-01</t>
        </is>
      </c>
      <c r="B726" s="3" t="inlineStr">
        <is>
          <t>SL-S35-02</t>
        </is>
      </c>
      <c r="C726" s="3" t="inlineStr">
        <is>
          <t>S35</t>
        </is>
      </c>
      <c r="D726" s="3" t="inlineStr">
        <is>
          <t>S35</t>
        </is>
      </c>
      <c r="E726" s="3" t="inlineStr">
        <is>
          <t>Bloqueia até aceite; sequência conservadora dentro do sprint</t>
        </is>
      </c>
    </row>
    <row r="727" ht="28" customHeight="1">
      <c r="A727" s="3" t="inlineStr">
        <is>
          <t>SL-S35-02</t>
        </is>
      </c>
      <c r="B727" s="3" t="inlineStr">
        <is>
          <t>SL-S35-03</t>
        </is>
      </c>
      <c r="C727" s="3" t="inlineStr">
        <is>
          <t>S35</t>
        </is>
      </c>
      <c r="D727" s="3" t="inlineStr">
        <is>
          <t>S35</t>
        </is>
      </c>
      <c r="E727" s="3" t="inlineStr">
        <is>
          <t>Bloqueia até aceite; sequência conservadora dentro do sprint</t>
        </is>
      </c>
    </row>
    <row r="728" ht="28" customHeight="1">
      <c r="A728" s="3" t="inlineStr">
        <is>
          <t>SL-S35-03</t>
        </is>
      </c>
      <c r="B728" s="3" t="inlineStr">
        <is>
          <t>SL-S35-04</t>
        </is>
      </c>
      <c r="C728" s="3" t="inlineStr">
        <is>
          <t>S35</t>
        </is>
      </c>
      <c r="D728" s="3" t="inlineStr">
        <is>
          <t>S35</t>
        </is>
      </c>
      <c r="E728" s="3" t="inlineStr">
        <is>
          <t>Bloqueia até aceite; sequência conservadora dentro do sprint</t>
        </is>
      </c>
    </row>
    <row r="729" ht="28" customHeight="1">
      <c r="A729" s="3" t="inlineStr">
        <is>
          <t>SL-S35-04</t>
        </is>
      </c>
      <c r="B729" s="3" t="inlineStr">
        <is>
          <t>SL-S35-05</t>
        </is>
      </c>
      <c r="C729" s="3" t="inlineStr">
        <is>
          <t>S35</t>
        </is>
      </c>
      <c r="D729" s="3" t="inlineStr">
        <is>
          <t>S35</t>
        </is>
      </c>
      <c r="E729" s="3" t="inlineStr">
        <is>
          <t>Bloqueia até aceite; sequência conservadora dentro do sprint</t>
        </is>
      </c>
    </row>
    <row r="730" ht="28" customHeight="1">
      <c r="A730" s="3" t="inlineStr">
        <is>
          <t>SL-S35-05</t>
        </is>
      </c>
      <c r="B730" s="3" t="inlineStr">
        <is>
          <t>SL-S35-06</t>
        </is>
      </c>
      <c r="C730" s="3" t="inlineStr">
        <is>
          <t>S35</t>
        </is>
      </c>
      <c r="D730" s="3" t="inlineStr">
        <is>
          <t>S35</t>
        </is>
      </c>
      <c r="E730" s="3" t="inlineStr">
        <is>
          <t>Bloqueia até aceite; sequência conservadora dentro do sprint</t>
        </is>
      </c>
    </row>
    <row r="731" ht="28" customHeight="1">
      <c r="A731" s="3" t="inlineStr">
        <is>
          <t>SL-S35-06</t>
        </is>
      </c>
      <c r="B731" s="3" t="inlineStr">
        <is>
          <t>SL-S35-07</t>
        </is>
      </c>
      <c r="C731" s="3" t="inlineStr">
        <is>
          <t>S35</t>
        </is>
      </c>
      <c r="D731" s="3" t="inlineStr">
        <is>
          <t>S35</t>
        </is>
      </c>
      <c r="E731" s="3" t="inlineStr">
        <is>
          <t>Bloqueia até aceite; sequência conservadora dentro do sprint</t>
        </is>
      </c>
    </row>
    <row r="732" ht="28" customHeight="1">
      <c r="A732" s="3" t="inlineStr">
        <is>
          <t>SL-S35-07</t>
        </is>
      </c>
      <c r="B732" s="3" t="inlineStr">
        <is>
          <t>SL-S35-08</t>
        </is>
      </c>
      <c r="C732" s="3" t="inlineStr">
        <is>
          <t>S35</t>
        </is>
      </c>
      <c r="D732" s="3" t="inlineStr">
        <is>
          <t>S35</t>
        </is>
      </c>
      <c r="E732" s="3" t="inlineStr">
        <is>
          <t>Bloqueia até aceite; sequência conservadora dentro do sprint</t>
        </is>
      </c>
    </row>
    <row r="733" ht="28" customHeight="1">
      <c r="A733" s="3" t="inlineStr">
        <is>
          <t>SL-S35-08</t>
        </is>
      </c>
      <c r="B733" s="3" t="inlineStr">
        <is>
          <t>SL-S35-09</t>
        </is>
      </c>
      <c r="C733" s="3" t="inlineStr">
        <is>
          <t>S35</t>
        </is>
      </c>
      <c r="D733" s="3" t="inlineStr">
        <is>
          <t>S35</t>
        </is>
      </c>
      <c r="E733" s="3" t="inlineStr">
        <is>
          <t>Bloqueia até aceite; sequência conservadora dentro do sprint</t>
        </is>
      </c>
    </row>
    <row r="734" ht="28" customHeight="1">
      <c r="A734" s="3" t="inlineStr">
        <is>
          <t>SL-S35-09</t>
        </is>
      </c>
      <c r="B734" s="3" t="inlineStr">
        <is>
          <t>SL-S35-10</t>
        </is>
      </c>
      <c r="C734" s="3" t="inlineStr">
        <is>
          <t>S35</t>
        </is>
      </c>
      <c r="D734" s="3" t="inlineStr">
        <is>
          <t>S35</t>
        </is>
      </c>
      <c r="E734" s="3" t="inlineStr">
        <is>
          <t>Bloqueia até aceite; sequência conservadora dentro do sprint</t>
        </is>
      </c>
    </row>
    <row r="735" ht="28" customHeight="1">
      <c r="A735" s="3" t="inlineStr">
        <is>
          <t>SL-S35-01</t>
        </is>
      </c>
      <c r="B735" s="3" t="inlineStr">
        <is>
          <t>SL-S35-GATE</t>
        </is>
      </c>
      <c r="C735" s="3" t="inlineStr">
        <is>
          <t>S35</t>
        </is>
      </c>
      <c r="D735" s="3" t="inlineStr">
        <is>
          <t>S35</t>
        </is>
      </c>
      <c r="E735" s="3" t="inlineStr">
        <is>
          <t>Bloqueia até aceite; sequência conservadora dentro do sprint</t>
        </is>
      </c>
    </row>
    <row r="736" ht="28" customHeight="1">
      <c r="A736" s="3" t="inlineStr">
        <is>
          <t>SL-S35-02</t>
        </is>
      </c>
      <c r="B736" s="3" t="inlineStr">
        <is>
          <t>SL-S35-GATE</t>
        </is>
      </c>
      <c r="C736" s="3" t="inlineStr">
        <is>
          <t>S35</t>
        </is>
      </c>
      <c r="D736" s="3" t="inlineStr">
        <is>
          <t>S35</t>
        </is>
      </c>
      <c r="E736" s="3" t="inlineStr">
        <is>
          <t>Bloqueia até aceite; sequência conservadora dentro do sprint</t>
        </is>
      </c>
    </row>
    <row r="737" ht="28" customHeight="1">
      <c r="A737" s="3" t="inlineStr">
        <is>
          <t>SL-S35-03</t>
        </is>
      </c>
      <c r="B737" s="3" t="inlineStr">
        <is>
          <t>SL-S35-GATE</t>
        </is>
      </c>
      <c r="C737" s="3" t="inlineStr">
        <is>
          <t>S35</t>
        </is>
      </c>
      <c r="D737" s="3" t="inlineStr">
        <is>
          <t>S35</t>
        </is>
      </c>
      <c r="E737" s="3" t="inlineStr">
        <is>
          <t>Bloqueia até aceite; sequência conservadora dentro do sprint</t>
        </is>
      </c>
    </row>
    <row r="738" ht="28" customHeight="1">
      <c r="A738" s="3" t="inlineStr">
        <is>
          <t>SL-S35-04</t>
        </is>
      </c>
      <c r="B738" s="3" t="inlineStr">
        <is>
          <t>SL-S35-GATE</t>
        </is>
      </c>
      <c r="C738" s="3" t="inlineStr">
        <is>
          <t>S35</t>
        </is>
      </c>
      <c r="D738" s="3" t="inlineStr">
        <is>
          <t>S35</t>
        </is>
      </c>
      <c r="E738" s="3" t="inlineStr">
        <is>
          <t>Bloqueia até aceite; sequência conservadora dentro do sprint</t>
        </is>
      </c>
    </row>
    <row r="739" ht="28" customHeight="1">
      <c r="A739" s="3" t="inlineStr">
        <is>
          <t>SL-S35-05</t>
        </is>
      </c>
      <c r="B739" s="3" t="inlineStr">
        <is>
          <t>SL-S35-GATE</t>
        </is>
      </c>
      <c r="C739" s="3" t="inlineStr">
        <is>
          <t>S35</t>
        </is>
      </c>
      <c r="D739" s="3" t="inlineStr">
        <is>
          <t>S35</t>
        </is>
      </c>
      <c r="E739" s="3" t="inlineStr">
        <is>
          <t>Bloqueia até aceite; sequência conservadora dentro do sprint</t>
        </is>
      </c>
    </row>
    <row r="740" ht="28" customHeight="1">
      <c r="A740" s="3" t="inlineStr">
        <is>
          <t>SL-S35-06</t>
        </is>
      </c>
      <c r="B740" s="3" t="inlineStr">
        <is>
          <t>SL-S35-GATE</t>
        </is>
      </c>
      <c r="C740" s="3" t="inlineStr">
        <is>
          <t>S35</t>
        </is>
      </c>
      <c r="D740" s="3" t="inlineStr">
        <is>
          <t>S35</t>
        </is>
      </c>
      <c r="E740" s="3" t="inlineStr">
        <is>
          <t>Bloqueia até aceite; sequência conservadora dentro do sprint</t>
        </is>
      </c>
    </row>
    <row r="741" ht="28" customHeight="1">
      <c r="A741" s="3" t="inlineStr">
        <is>
          <t>SL-S35-07</t>
        </is>
      </c>
      <c r="B741" s="3" t="inlineStr">
        <is>
          <t>SL-S35-GATE</t>
        </is>
      </c>
      <c r="C741" s="3" t="inlineStr">
        <is>
          <t>S35</t>
        </is>
      </c>
      <c r="D741" s="3" t="inlineStr">
        <is>
          <t>S35</t>
        </is>
      </c>
      <c r="E741" s="3" t="inlineStr">
        <is>
          <t>Bloqueia até aceite; sequência conservadora dentro do sprint</t>
        </is>
      </c>
    </row>
    <row r="742" ht="28" customHeight="1">
      <c r="A742" s="3" t="inlineStr">
        <is>
          <t>SL-S35-08</t>
        </is>
      </c>
      <c r="B742" s="3" t="inlineStr">
        <is>
          <t>SL-S35-GATE</t>
        </is>
      </c>
      <c r="C742" s="3" t="inlineStr">
        <is>
          <t>S35</t>
        </is>
      </c>
      <c r="D742" s="3" t="inlineStr">
        <is>
          <t>S35</t>
        </is>
      </c>
      <c r="E742" s="3" t="inlineStr">
        <is>
          <t>Bloqueia até aceite; sequência conservadora dentro do sprint</t>
        </is>
      </c>
    </row>
    <row r="743" ht="28" customHeight="1">
      <c r="A743" s="3" t="inlineStr">
        <is>
          <t>SL-S35-09</t>
        </is>
      </c>
      <c r="B743" s="3" t="inlineStr">
        <is>
          <t>SL-S35-GATE</t>
        </is>
      </c>
      <c r="C743" s="3" t="inlineStr">
        <is>
          <t>S35</t>
        </is>
      </c>
      <c r="D743" s="3" t="inlineStr">
        <is>
          <t>S35</t>
        </is>
      </c>
      <c r="E743" s="3" t="inlineStr">
        <is>
          <t>Bloqueia até aceite; sequência conservadora dentro do sprint</t>
        </is>
      </c>
    </row>
    <row r="744" ht="28" customHeight="1">
      <c r="A744" s="3" t="inlineStr">
        <is>
          <t>SL-S35-10</t>
        </is>
      </c>
      <c r="B744" s="3" t="inlineStr">
        <is>
          <t>SL-S35-GATE</t>
        </is>
      </c>
      <c r="C744" s="3" t="inlineStr">
        <is>
          <t>S35</t>
        </is>
      </c>
      <c r="D744" s="3" t="inlineStr">
        <is>
          <t>S35</t>
        </is>
      </c>
      <c r="E744" s="3" t="inlineStr">
        <is>
          <t>Bloqueia até aceite; sequência conservadora dentro do sprint</t>
        </is>
      </c>
    </row>
    <row r="745" ht="28" customHeight="1">
      <c r="A745" s="3" t="inlineStr">
        <is>
          <t>SL-S30-GATE</t>
        </is>
      </c>
      <c r="B745" s="3" t="inlineStr">
        <is>
          <t>SL-S36-01</t>
        </is>
      </c>
      <c r="C745" s="3" t="inlineStr">
        <is>
          <t>S30</t>
        </is>
      </c>
      <c r="D745" s="3" t="inlineStr">
        <is>
          <t>S36</t>
        </is>
      </c>
      <c r="E745" s="3" t="inlineStr">
        <is>
          <t>Bloqueia até aceite; sequência conservadora dentro do sprint</t>
        </is>
      </c>
    </row>
    <row r="746" ht="28" customHeight="1">
      <c r="A746" s="3" t="inlineStr">
        <is>
          <t>SL-S32-GATE</t>
        </is>
      </c>
      <c r="B746" s="3" t="inlineStr">
        <is>
          <t>SL-S36-01</t>
        </is>
      </c>
      <c r="C746" s="3" t="inlineStr">
        <is>
          <t>S32</t>
        </is>
      </c>
      <c r="D746" s="3" t="inlineStr">
        <is>
          <t>S36</t>
        </is>
      </c>
      <c r="E746" s="3" t="inlineStr">
        <is>
          <t>Bloqueia até aceite; sequência conservadora dentro do sprint</t>
        </is>
      </c>
    </row>
    <row r="747" ht="28" customHeight="1">
      <c r="A747" s="3" t="inlineStr">
        <is>
          <t>SL-S33-GATE</t>
        </is>
      </c>
      <c r="B747" s="3" t="inlineStr">
        <is>
          <t>SL-S36-01</t>
        </is>
      </c>
      <c r="C747" s="3" t="inlineStr">
        <is>
          <t>S33</t>
        </is>
      </c>
      <c r="D747" s="3" t="inlineStr">
        <is>
          <t>S36</t>
        </is>
      </c>
      <c r="E747" s="3" t="inlineStr">
        <is>
          <t>Bloqueia até aceite; sequência conservadora dentro do sprint</t>
        </is>
      </c>
    </row>
    <row r="748" ht="28" customHeight="1">
      <c r="A748" s="3" t="inlineStr">
        <is>
          <t>SL-S35-GATE</t>
        </is>
      </c>
      <c r="B748" s="3" t="inlineStr">
        <is>
          <t>SL-S36-01</t>
        </is>
      </c>
      <c r="C748" s="3" t="inlineStr">
        <is>
          <t>S35</t>
        </is>
      </c>
      <c r="D748" s="3" t="inlineStr">
        <is>
          <t>S36</t>
        </is>
      </c>
      <c r="E748" s="3" t="inlineStr">
        <is>
          <t>Bloqueia até aceite; sequência conservadora dentro do sprint</t>
        </is>
      </c>
    </row>
    <row r="749" ht="28" customHeight="1">
      <c r="A749" s="3" t="inlineStr">
        <is>
          <t>SL-S36-01</t>
        </is>
      </c>
      <c r="B749" s="3" t="inlineStr">
        <is>
          <t>SL-S36-02</t>
        </is>
      </c>
      <c r="C749" s="3" t="inlineStr">
        <is>
          <t>S36</t>
        </is>
      </c>
      <c r="D749" s="3" t="inlineStr">
        <is>
          <t>S36</t>
        </is>
      </c>
      <c r="E749" s="3" t="inlineStr">
        <is>
          <t>Bloqueia até aceite; sequência conservadora dentro do sprint</t>
        </is>
      </c>
    </row>
    <row r="750" ht="28" customHeight="1">
      <c r="A750" s="3" t="inlineStr">
        <is>
          <t>SL-S36-02</t>
        </is>
      </c>
      <c r="B750" s="3" t="inlineStr">
        <is>
          <t>SL-S36-03</t>
        </is>
      </c>
      <c r="C750" s="3" t="inlineStr">
        <is>
          <t>S36</t>
        </is>
      </c>
      <c r="D750" s="3" t="inlineStr">
        <is>
          <t>S36</t>
        </is>
      </c>
      <c r="E750" s="3" t="inlineStr">
        <is>
          <t>Bloqueia até aceite; sequência conservadora dentro do sprint</t>
        </is>
      </c>
    </row>
    <row r="751" ht="28" customHeight="1">
      <c r="A751" s="3" t="inlineStr">
        <is>
          <t>SL-S36-03</t>
        </is>
      </c>
      <c r="B751" s="3" t="inlineStr">
        <is>
          <t>SL-S36-04</t>
        </is>
      </c>
      <c r="C751" s="3" t="inlineStr">
        <is>
          <t>S36</t>
        </is>
      </c>
      <c r="D751" s="3" t="inlineStr">
        <is>
          <t>S36</t>
        </is>
      </c>
      <c r="E751" s="3" t="inlineStr">
        <is>
          <t>Bloqueia até aceite; sequência conservadora dentro do sprint</t>
        </is>
      </c>
    </row>
    <row r="752" ht="28" customHeight="1">
      <c r="A752" s="3" t="inlineStr">
        <is>
          <t>SL-S36-04</t>
        </is>
      </c>
      <c r="B752" s="3" t="inlineStr">
        <is>
          <t>SL-S36-05</t>
        </is>
      </c>
      <c r="C752" s="3" t="inlineStr">
        <is>
          <t>S36</t>
        </is>
      </c>
      <c r="D752" s="3" t="inlineStr">
        <is>
          <t>S36</t>
        </is>
      </c>
      <c r="E752" s="3" t="inlineStr">
        <is>
          <t>Bloqueia até aceite; sequência conservadora dentro do sprint</t>
        </is>
      </c>
    </row>
    <row r="753" ht="28" customHeight="1">
      <c r="A753" s="3" t="inlineStr">
        <is>
          <t>SL-S36-05</t>
        </is>
      </c>
      <c r="B753" s="3" t="inlineStr">
        <is>
          <t>SL-S36-06</t>
        </is>
      </c>
      <c r="C753" s="3" t="inlineStr">
        <is>
          <t>S36</t>
        </is>
      </c>
      <c r="D753" s="3" t="inlineStr">
        <is>
          <t>S36</t>
        </is>
      </c>
      <c r="E753" s="3" t="inlineStr">
        <is>
          <t>Bloqueia até aceite; sequência conservadora dentro do sprint</t>
        </is>
      </c>
    </row>
    <row r="754" ht="28" customHeight="1">
      <c r="A754" s="3" t="inlineStr">
        <is>
          <t>SL-S36-06</t>
        </is>
      </c>
      <c r="B754" s="3" t="inlineStr">
        <is>
          <t>SL-S36-07</t>
        </is>
      </c>
      <c r="C754" s="3" t="inlineStr">
        <is>
          <t>S36</t>
        </is>
      </c>
      <c r="D754" s="3" t="inlineStr">
        <is>
          <t>S36</t>
        </is>
      </c>
      <c r="E754" s="3" t="inlineStr">
        <is>
          <t>Bloqueia até aceite; sequência conservadora dentro do sprint</t>
        </is>
      </c>
    </row>
    <row r="755" ht="28" customHeight="1">
      <c r="A755" s="3" t="inlineStr">
        <is>
          <t>SL-S36-07</t>
        </is>
      </c>
      <c r="B755" s="3" t="inlineStr">
        <is>
          <t>SL-S36-08</t>
        </is>
      </c>
      <c r="C755" s="3" t="inlineStr">
        <is>
          <t>S36</t>
        </is>
      </c>
      <c r="D755" s="3" t="inlineStr">
        <is>
          <t>S36</t>
        </is>
      </c>
      <c r="E755" s="3" t="inlineStr">
        <is>
          <t>Bloqueia até aceite; sequência conservadora dentro do sprint</t>
        </is>
      </c>
    </row>
    <row r="756" ht="28" customHeight="1">
      <c r="A756" s="3" t="inlineStr">
        <is>
          <t>SL-S36-08</t>
        </is>
      </c>
      <c r="B756" s="3" t="inlineStr">
        <is>
          <t>SL-S36-09</t>
        </is>
      </c>
      <c r="C756" s="3" t="inlineStr">
        <is>
          <t>S36</t>
        </is>
      </c>
      <c r="D756" s="3" t="inlineStr">
        <is>
          <t>S36</t>
        </is>
      </c>
      <c r="E756" s="3" t="inlineStr">
        <is>
          <t>Bloqueia até aceite; sequência conservadora dentro do sprint</t>
        </is>
      </c>
    </row>
    <row r="757" ht="28" customHeight="1">
      <c r="A757" s="3" t="inlineStr">
        <is>
          <t>SL-S36-09</t>
        </is>
      </c>
      <c r="B757" s="3" t="inlineStr">
        <is>
          <t>SL-S36-10</t>
        </is>
      </c>
      <c r="C757" s="3" t="inlineStr">
        <is>
          <t>S36</t>
        </is>
      </c>
      <c r="D757" s="3" t="inlineStr">
        <is>
          <t>S36</t>
        </is>
      </c>
      <c r="E757" s="3" t="inlineStr">
        <is>
          <t>Bloqueia até aceite; sequência conservadora dentro do sprint</t>
        </is>
      </c>
    </row>
    <row r="758" ht="28" customHeight="1">
      <c r="A758" s="3" t="inlineStr">
        <is>
          <t>SL-S36-01</t>
        </is>
      </c>
      <c r="B758" s="3" t="inlineStr">
        <is>
          <t>SL-S36-GATE</t>
        </is>
      </c>
      <c r="C758" s="3" t="inlineStr">
        <is>
          <t>S36</t>
        </is>
      </c>
      <c r="D758" s="3" t="inlineStr">
        <is>
          <t>S36</t>
        </is>
      </c>
      <c r="E758" s="3" t="inlineStr">
        <is>
          <t>Bloqueia até aceite; sequência conservadora dentro do sprint</t>
        </is>
      </c>
    </row>
    <row r="759" ht="28" customHeight="1">
      <c r="A759" s="3" t="inlineStr">
        <is>
          <t>SL-S36-02</t>
        </is>
      </c>
      <c r="B759" s="3" t="inlineStr">
        <is>
          <t>SL-S36-GATE</t>
        </is>
      </c>
      <c r="C759" s="3" t="inlineStr">
        <is>
          <t>S36</t>
        </is>
      </c>
      <c r="D759" s="3" t="inlineStr">
        <is>
          <t>S36</t>
        </is>
      </c>
      <c r="E759" s="3" t="inlineStr">
        <is>
          <t>Bloqueia até aceite; sequência conservadora dentro do sprint</t>
        </is>
      </c>
    </row>
    <row r="760" ht="28" customHeight="1">
      <c r="A760" s="3" t="inlineStr">
        <is>
          <t>SL-S36-03</t>
        </is>
      </c>
      <c r="B760" s="3" t="inlineStr">
        <is>
          <t>SL-S36-GATE</t>
        </is>
      </c>
      <c r="C760" s="3" t="inlineStr">
        <is>
          <t>S36</t>
        </is>
      </c>
      <c r="D760" s="3" t="inlineStr">
        <is>
          <t>S36</t>
        </is>
      </c>
      <c r="E760" s="3" t="inlineStr">
        <is>
          <t>Bloqueia até aceite; sequência conservadora dentro do sprint</t>
        </is>
      </c>
    </row>
    <row r="761" ht="28" customHeight="1">
      <c r="A761" s="3" t="inlineStr">
        <is>
          <t>SL-S36-04</t>
        </is>
      </c>
      <c r="B761" s="3" t="inlineStr">
        <is>
          <t>SL-S36-GATE</t>
        </is>
      </c>
      <c r="C761" s="3" t="inlineStr">
        <is>
          <t>S36</t>
        </is>
      </c>
      <c r="D761" s="3" t="inlineStr">
        <is>
          <t>S36</t>
        </is>
      </c>
      <c r="E761" s="3" t="inlineStr">
        <is>
          <t>Bloqueia até aceite; sequência conservadora dentro do sprint</t>
        </is>
      </c>
    </row>
    <row r="762" ht="28" customHeight="1">
      <c r="A762" s="3" t="inlineStr">
        <is>
          <t>SL-S36-05</t>
        </is>
      </c>
      <c r="B762" s="3" t="inlineStr">
        <is>
          <t>SL-S36-GATE</t>
        </is>
      </c>
      <c r="C762" s="3" t="inlineStr">
        <is>
          <t>S36</t>
        </is>
      </c>
      <c r="D762" s="3" t="inlineStr">
        <is>
          <t>S36</t>
        </is>
      </c>
      <c r="E762" s="3" t="inlineStr">
        <is>
          <t>Bloqueia até aceite; sequência conservadora dentro do sprint</t>
        </is>
      </c>
    </row>
    <row r="763" ht="28" customHeight="1">
      <c r="A763" s="3" t="inlineStr">
        <is>
          <t>SL-S36-06</t>
        </is>
      </c>
      <c r="B763" s="3" t="inlineStr">
        <is>
          <t>SL-S36-GATE</t>
        </is>
      </c>
      <c r="C763" s="3" t="inlineStr">
        <is>
          <t>S36</t>
        </is>
      </c>
      <c r="D763" s="3" t="inlineStr">
        <is>
          <t>S36</t>
        </is>
      </c>
      <c r="E763" s="3" t="inlineStr">
        <is>
          <t>Bloqueia até aceite; sequência conservadora dentro do sprint</t>
        </is>
      </c>
    </row>
    <row r="764" ht="28" customHeight="1">
      <c r="A764" s="3" t="inlineStr">
        <is>
          <t>SL-S36-07</t>
        </is>
      </c>
      <c r="B764" s="3" t="inlineStr">
        <is>
          <t>SL-S36-GATE</t>
        </is>
      </c>
      <c r="C764" s="3" t="inlineStr">
        <is>
          <t>S36</t>
        </is>
      </c>
      <c r="D764" s="3" t="inlineStr">
        <is>
          <t>S36</t>
        </is>
      </c>
      <c r="E764" s="3" t="inlineStr">
        <is>
          <t>Bloqueia até aceite; sequência conservadora dentro do sprint</t>
        </is>
      </c>
    </row>
    <row r="765" ht="28" customHeight="1">
      <c r="A765" s="3" t="inlineStr">
        <is>
          <t>SL-S36-08</t>
        </is>
      </c>
      <c r="B765" s="3" t="inlineStr">
        <is>
          <t>SL-S36-GATE</t>
        </is>
      </c>
      <c r="C765" s="3" t="inlineStr">
        <is>
          <t>S36</t>
        </is>
      </c>
      <c r="D765" s="3" t="inlineStr">
        <is>
          <t>S36</t>
        </is>
      </c>
      <c r="E765" s="3" t="inlineStr">
        <is>
          <t>Bloqueia até aceite; sequência conservadora dentro do sprint</t>
        </is>
      </c>
    </row>
    <row r="766" ht="28" customHeight="1">
      <c r="A766" s="3" t="inlineStr">
        <is>
          <t>SL-S36-09</t>
        </is>
      </c>
      <c r="B766" s="3" t="inlineStr">
        <is>
          <t>SL-S36-GATE</t>
        </is>
      </c>
      <c r="C766" s="3" t="inlineStr">
        <is>
          <t>S36</t>
        </is>
      </c>
      <c r="D766" s="3" t="inlineStr">
        <is>
          <t>S36</t>
        </is>
      </c>
      <c r="E766" s="3" t="inlineStr">
        <is>
          <t>Bloqueia até aceite; sequência conservadora dentro do sprint</t>
        </is>
      </c>
    </row>
    <row r="767" ht="28" customHeight="1">
      <c r="A767" s="3" t="inlineStr">
        <is>
          <t>SL-S36-10</t>
        </is>
      </c>
      <c r="B767" s="3" t="inlineStr">
        <is>
          <t>SL-S36-GATE</t>
        </is>
      </c>
      <c r="C767" s="3" t="inlineStr">
        <is>
          <t>S36</t>
        </is>
      </c>
      <c r="D767" s="3" t="inlineStr">
        <is>
          <t>S36</t>
        </is>
      </c>
      <c r="E767" s="3" t="inlineStr">
        <is>
          <t>Bloqueia até aceite; sequência conservadora dentro do sprint</t>
        </is>
      </c>
    </row>
    <row r="768" ht="28" customHeight="1">
      <c r="A768" s="3" t="inlineStr">
        <is>
          <t>SL-S05-GATE</t>
        </is>
      </c>
      <c r="B768" s="3" t="inlineStr">
        <is>
          <t>SL-S37-01</t>
        </is>
      </c>
      <c r="C768" s="3" t="inlineStr">
        <is>
          <t>S05</t>
        </is>
      </c>
      <c r="D768" s="3" t="inlineStr">
        <is>
          <t>S37</t>
        </is>
      </c>
      <c r="E768" s="3" t="inlineStr">
        <is>
          <t>Bloqueia até aceite; sequência conservadora dentro do sprint</t>
        </is>
      </c>
    </row>
    <row r="769" ht="28" customHeight="1">
      <c r="A769" s="3" t="inlineStr">
        <is>
          <t>SL-S10-GATE</t>
        </is>
      </c>
      <c r="B769" s="3" t="inlineStr">
        <is>
          <t>SL-S37-01</t>
        </is>
      </c>
      <c r="C769" s="3" t="inlineStr">
        <is>
          <t>S10</t>
        </is>
      </c>
      <c r="D769" s="3" t="inlineStr">
        <is>
          <t>S37</t>
        </is>
      </c>
      <c r="E769" s="3" t="inlineStr">
        <is>
          <t>Bloqueia até aceite; sequência conservadora dentro do sprint</t>
        </is>
      </c>
    </row>
    <row r="770" ht="28" customHeight="1">
      <c r="A770" s="3" t="inlineStr">
        <is>
          <t>SL-S22-GATE</t>
        </is>
      </c>
      <c r="B770" s="3" t="inlineStr">
        <is>
          <t>SL-S37-01</t>
        </is>
      </c>
      <c r="C770" s="3" t="inlineStr">
        <is>
          <t>S22</t>
        </is>
      </c>
      <c r="D770" s="3" t="inlineStr">
        <is>
          <t>S37</t>
        </is>
      </c>
      <c r="E770" s="3" t="inlineStr">
        <is>
          <t>Bloqueia até aceite; sequência conservadora dentro do sprint</t>
        </is>
      </c>
    </row>
    <row r="771" ht="28" customHeight="1">
      <c r="A771" s="3" t="inlineStr">
        <is>
          <t>SL-S32-GATE</t>
        </is>
      </c>
      <c r="B771" s="3" t="inlineStr">
        <is>
          <t>SL-S37-01</t>
        </is>
      </c>
      <c r="C771" s="3" t="inlineStr">
        <is>
          <t>S32</t>
        </is>
      </c>
      <c r="D771" s="3" t="inlineStr">
        <is>
          <t>S37</t>
        </is>
      </c>
      <c r="E771" s="3" t="inlineStr">
        <is>
          <t>Bloqueia até aceite; sequência conservadora dentro do sprint</t>
        </is>
      </c>
    </row>
    <row r="772" ht="28" customHeight="1">
      <c r="A772" s="3" t="inlineStr">
        <is>
          <t>SL-S36-GATE</t>
        </is>
      </c>
      <c r="B772" s="3" t="inlineStr">
        <is>
          <t>SL-S37-01</t>
        </is>
      </c>
      <c r="C772" s="3" t="inlineStr">
        <is>
          <t>S36</t>
        </is>
      </c>
      <c r="D772" s="3" t="inlineStr">
        <is>
          <t>S37</t>
        </is>
      </c>
      <c r="E772" s="3" t="inlineStr">
        <is>
          <t>Bloqueia até aceite; sequência conservadora dentro do sprint</t>
        </is>
      </c>
    </row>
    <row r="773" ht="28" customHeight="1">
      <c r="A773" s="3" t="inlineStr">
        <is>
          <t>SL-S37-01</t>
        </is>
      </c>
      <c r="B773" s="3" t="inlineStr">
        <is>
          <t>SL-S37-02</t>
        </is>
      </c>
      <c r="C773" s="3" t="inlineStr">
        <is>
          <t>S37</t>
        </is>
      </c>
      <c r="D773" s="3" t="inlineStr">
        <is>
          <t>S37</t>
        </is>
      </c>
      <c r="E773" s="3" t="inlineStr">
        <is>
          <t>Bloqueia até aceite; sequência conservadora dentro do sprint</t>
        </is>
      </c>
    </row>
    <row r="774" ht="28" customHeight="1">
      <c r="A774" s="3" t="inlineStr">
        <is>
          <t>SL-S37-02</t>
        </is>
      </c>
      <c r="B774" s="3" t="inlineStr">
        <is>
          <t>SL-S37-03</t>
        </is>
      </c>
      <c r="C774" s="3" t="inlineStr">
        <is>
          <t>S37</t>
        </is>
      </c>
      <c r="D774" s="3" t="inlineStr">
        <is>
          <t>S37</t>
        </is>
      </c>
      <c r="E774" s="3" t="inlineStr">
        <is>
          <t>Bloqueia até aceite; sequência conservadora dentro do sprint</t>
        </is>
      </c>
    </row>
    <row r="775" ht="28" customHeight="1">
      <c r="A775" s="3" t="inlineStr">
        <is>
          <t>SL-S37-03</t>
        </is>
      </c>
      <c r="B775" s="3" t="inlineStr">
        <is>
          <t>SL-S37-04</t>
        </is>
      </c>
      <c r="C775" s="3" t="inlineStr">
        <is>
          <t>S37</t>
        </is>
      </c>
      <c r="D775" s="3" t="inlineStr">
        <is>
          <t>S37</t>
        </is>
      </c>
      <c r="E775" s="3" t="inlineStr">
        <is>
          <t>Bloqueia até aceite; sequência conservadora dentro do sprint</t>
        </is>
      </c>
    </row>
    <row r="776" ht="28" customHeight="1">
      <c r="A776" s="3" t="inlineStr">
        <is>
          <t>SL-S37-04</t>
        </is>
      </c>
      <c r="B776" s="3" t="inlineStr">
        <is>
          <t>SL-S37-05</t>
        </is>
      </c>
      <c r="C776" s="3" t="inlineStr">
        <is>
          <t>S37</t>
        </is>
      </c>
      <c r="D776" s="3" t="inlineStr">
        <is>
          <t>S37</t>
        </is>
      </c>
      <c r="E776" s="3" t="inlineStr">
        <is>
          <t>Bloqueia até aceite; sequência conservadora dentro do sprint</t>
        </is>
      </c>
    </row>
    <row r="777" ht="28" customHeight="1">
      <c r="A777" s="3" t="inlineStr">
        <is>
          <t>SL-S37-05</t>
        </is>
      </c>
      <c r="B777" s="3" t="inlineStr">
        <is>
          <t>SL-S37-06</t>
        </is>
      </c>
      <c r="C777" s="3" t="inlineStr">
        <is>
          <t>S37</t>
        </is>
      </c>
      <c r="D777" s="3" t="inlineStr">
        <is>
          <t>S37</t>
        </is>
      </c>
      <c r="E777" s="3" t="inlineStr">
        <is>
          <t>Bloqueia até aceite; sequência conservadora dentro do sprint</t>
        </is>
      </c>
    </row>
    <row r="778" ht="28" customHeight="1">
      <c r="A778" s="3" t="inlineStr">
        <is>
          <t>SL-S37-06</t>
        </is>
      </c>
      <c r="B778" s="3" t="inlineStr">
        <is>
          <t>SL-S37-07</t>
        </is>
      </c>
      <c r="C778" s="3" t="inlineStr">
        <is>
          <t>S37</t>
        </is>
      </c>
      <c r="D778" s="3" t="inlineStr">
        <is>
          <t>S37</t>
        </is>
      </c>
      <c r="E778" s="3" t="inlineStr">
        <is>
          <t>Bloqueia até aceite; sequência conservadora dentro do sprint</t>
        </is>
      </c>
    </row>
    <row r="779" ht="28" customHeight="1">
      <c r="A779" s="3" t="inlineStr">
        <is>
          <t>SL-S37-07</t>
        </is>
      </c>
      <c r="B779" s="3" t="inlineStr">
        <is>
          <t>SL-S37-08</t>
        </is>
      </c>
      <c r="C779" s="3" t="inlineStr">
        <is>
          <t>S37</t>
        </is>
      </c>
      <c r="D779" s="3" t="inlineStr">
        <is>
          <t>S37</t>
        </is>
      </c>
      <c r="E779" s="3" t="inlineStr">
        <is>
          <t>Bloqueia até aceite; sequência conservadora dentro do sprint</t>
        </is>
      </c>
    </row>
    <row r="780" ht="28" customHeight="1">
      <c r="A780" s="3" t="inlineStr">
        <is>
          <t>SL-S37-08</t>
        </is>
      </c>
      <c r="B780" s="3" t="inlineStr">
        <is>
          <t>SL-S37-09</t>
        </is>
      </c>
      <c r="C780" s="3" t="inlineStr">
        <is>
          <t>S37</t>
        </is>
      </c>
      <c r="D780" s="3" t="inlineStr">
        <is>
          <t>S37</t>
        </is>
      </c>
      <c r="E780" s="3" t="inlineStr">
        <is>
          <t>Bloqueia até aceite; sequência conservadora dentro do sprint</t>
        </is>
      </c>
    </row>
    <row r="781" ht="28" customHeight="1">
      <c r="A781" s="3" t="inlineStr">
        <is>
          <t>SL-S37-09</t>
        </is>
      </c>
      <c r="B781" s="3" t="inlineStr">
        <is>
          <t>SL-S37-10</t>
        </is>
      </c>
      <c r="C781" s="3" t="inlineStr">
        <is>
          <t>S37</t>
        </is>
      </c>
      <c r="D781" s="3" t="inlineStr">
        <is>
          <t>S37</t>
        </is>
      </c>
      <c r="E781" s="3" t="inlineStr">
        <is>
          <t>Bloqueia até aceite; sequência conservadora dentro do sprint</t>
        </is>
      </c>
    </row>
    <row r="782" ht="28" customHeight="1">
      <c r="A782" s="3" t="inlineStr">
        <is>
          <t>SL-S37-01</t>
        </is>
      </c>
      <c r="B782" s="3" t="inlineStr">
        <is>
          <t>SL-S37-GATE</t>
        </is>
      </c>
      <c r="C782" s="3" t="inlineStr">
        <is>
          <t>S37</t>
        </is>
      </c>
      <c r="D782" s="3" t="inlineStr">
        <is>
          <t>S37</t>
        </is>
      </c>
      <c r="E782" s="3" t="inlineStr">
        <is>
          <t>Bloqueia até aceite; sequência conservadora dentro do sprint</t>
        </is>
      </c>
    </row>
    <row r="783" ht="28" customHeight="1">
      <c r="A783" s="3" t="inlineStr">
        <is>
          <t>SL-S37-02</t>
        </is>
      </c>
      <c r="B783" s="3" t="inlineStr">
        <is>
          <t>SL-S37-GATE</t>
        </is>
      </c>
      <c r="C783" s="3" t="inlineStr">
        <is>
          <t>S37</t>
        </is>
      </c>
      <c r="D783" s="3" t="inlineStr">
        <is>
          <t>S37</t>
        </is>
      </c>
      <c r="E783" s="3" t="inlineStr">
        <is>
          <t>Bloqueia até aceite; sequência conservadora dentro do sprint</t>
        </is>
      </c>
    </row>
    <row r="784" ht="28" customHeight="1">
      <c r="A784" s="3" t="inlineStr">
        <is>
          <t>SL-S37-03</t>
        </is>
      </c>
      <c r="B784" s="3" t="inlineStr">
        <is>
          <t>SL-S37-GATE</t>
        </is>
      </c>
      <c r="C784" s="3" t="inlineStr">
        <is>
          <t>S37</t>
        </is>
      </c>
      <c r="D784" s="3" t="inlineStr">
        <is>
          <t>S37</t>
        </is>
      </c>
      <c r="E784" s="3" t="inlineStr">
        <is>
          <t>Bloqueia até aceite; sequência conservadora dentro do sprint</t>
        </is>
      </c>
    </row>
    <row r="785" ht="28" customHeight="1">
      <c r="A785" s="3" t="inlineStr">
        <is>
          <t>SL-S37-04</t>
        </is>
      </c>
      <c r="B785" s="3" t="inlineStr">
        <is>
          <t>SL-S37-GATE</t>
        </is>
      </c>
      <c r="C785" s="3" t="inlineStr">
        <is>
          <t>S37</t>
        </is>
      </c>
      <c r="D785" s="3" t="inlineStr">
        <is>
          <t>S37</t>
        </is>
      </c>
      <c r="E785" s="3" t="inlineStr">
        <is>
          <t>Bloqueia até aceite; sequência conservadora dentro do sprint</t>
        </is>
      </c>
    </row>
    <row r="786" ht="28" customHeight="1">
      <c r="A786" s="3" t="inlineStr">
        <is>
          <t>SL-S37-05</t>
        </is>
      </c>
      <c r="B786" s="3" t="inlineStr">
        <is>
          <t>SL-S37-GATE</t>
        </is>
      </c>
      <c r="C786" s="3" t="inlineStr">
        <is>
          <t>S37</t>
        </is>
      </c>
      <c r="D786" s="3" t="inlineStr">
        <is>
          <t>S37</t>
        </is>
      </c>
      <c r="E786" s="3" t="inlineStr">
        <is>
          <t>Bloqueia até aceite; sequência conservadora dentro do sprint</t>
        </is>
      </c>
    </row>
    <row r="787" ht="28" customHeight="1">
      <c r="A787" s="3" t="inlineStr">
        <is>
          <t>SL-S37-06</t>
        </is>
      </c>
      <c r="B787" s="3" t="inlineStr">
        <is>
          <t>SL-S37-GATE</t>
        </is>
      </c>
      <c r="C787" s="3" t="inlineStr">
        <is>
          <t>S37</t>
        </is>
      </c>
      <c r="D787" s="3" t="inlineStr">
        <is>
          <t>S37</t>
        </is>
      </c>
      <c r="E787" s="3" t="inlineStr">
        <is>
          <t>Bloqueia até aceite; sequência conservadora dentro do sprint</t>
        </is>
      </c>
    </row>
    <row r="788" ht="28" customHeight="1">
      <c r="A788" s="3" t="inlineStr">
        <is>
          <t>SL-S37-07</t>
        </is>
      </c>
      <c r="B788" s="3" t="inlineStr">
        <is>
          <t>SL-S37-GATE</t>
        </is>
      </c>
      <c r="C788" s="3" t="inlineStr">
        <is>
          <t>S37</t>
        </is>
      </c>
      <c r="D788" s="3" t="inlineStr">
        <is>
          <t>S37</t>
        </is>
      </c>
      <c r="E788" s="3" t="inlineStr">
        <is>
          <t>Bloqueia até aceite; sequência conservadora dentro do sprint</t>
        </is>
      </c>
    </row>
    <row r="789" ht="28" customHeight="1">
      <c r="A789" s="3" t="inlineStr">
        <is>
          <t>SL-S37-08</t>
        </is>
      </c>
      <c r="B789" s="3" t="inlineStr">
        <is>
          <t>SL-S37-GATE</t>
        </is>
      </c>
      <c r="C789" s="3" t="inlineStr">
        <is>
          <t>S37</t>
        </is>
      </c>
      <c r="D789" s="3" t="inlineStr">
        <is>
          <t>S37</t>
        </is>
      </c>
      <c r="E789" s="3" t="inlineStr">
        <is>
          <t>Bloqueia até aceite; sequência conservadora dentro do sprint</t>
        </is>
      </c>
    </row>
    <row r="790" ht="28" customHeight="1">
      <c r="A790" s="3" t="inlineStr">
        <is>
          <t>SL-S37-09</t>
        </is>
      </c>
      <c r="B790" s="3" t="inlineStr">
        <is>
          <t>SL-S37-GATE</t>
        </is>
      </c>
      <c r="C790" s="3" t="inlineStr">
        <is>
          <t>S37</t>
        </is>
      </c>
      <c r="D790" s="3" t="inlineStr">
        <is>
          <t>S37</t>
        </is>
      </c>
      <c r="E790" s="3" t="inlineStr">
        <is>
          <t>Bloqueia até aceite; sequência conservadora dentro do sprint</t>
        </is>
      </c>
    </row>
    <row r="791" ht="28" customHeight="1">
      <c r="A791" s="3" t="inlineStr">
        <is>
          <t>SL-S37-10</t>
        </is>
      </c>
      <c r="B791" s="3" t="inlineStr">
        <is>
          <t>SL-S37-GATE</t>
        </is>
      </c>
      <c r="C791" s="3" t="inlineStr">
        <is>
          <t>S37</t>
        </is>
      </c>
      <c r="D791" s="3" t="inlineStr">
        <is>
          <t>S37</t>
        </is>
      </c>
      <c r="E791" s="3" t="inlineStr">
        <is>
          <t>Bloqueia até aceite; sequência conservadora dentro do sprint</t>
        </is>
      </c>
    </row>
    <row r="792" ht="28" customHeight="1">
      <c r="A792" s="3" t="inlineStr">
        <is>
          <t>SL-S37-GATE</t>
        </is>
      </c>
      <c r="B792" s="3" t="inlineStr">
        <is>
          <t>SL-S38-01</t>
        </is>
      </c>
      <c r="C792" s="3" t="inlineStr">
        <is>
          <t>S37</t>
        </is>
      </c>
      <c r="D792" s="3" t="inlineStr">
        <is>
          <t>S38</t>
        </is>
      </c>
      <c r="E792" s="3" t="inlineStr">
        <is>
          <t>Bloqueia até aceite; sequência conservadora dentro do sprint</t>
        </is>
      </c>
    </row>
    <row r="793" ht="28" customHeight="1">
      <c r="A793" s="3" t="inlineStr">
        <is>
          <t>SL-S38-01</t>
        </is>
      </c>
      <c r="B793" s="3" t="inlineStr">
        <is>
          <t>SL-S38-02</t>
        </is>
      </c>
      <c r="C793" s="3" t="inlineStr">
        <is>
          <t>S38</t>
        </is>
      </c>
      <c r="D793" s="3" t="inlineStr">
        <is>
          <t>S38</t>
        </is>
      </c>
      <c r="E793" s="3" t="inlineStr">
        <is>
          <t>Bloqueia até aceite; sequência conservadora dentro do sprint</t>
        </is>
      </c>
    </row>
    <row r="794" ht="28" customHeight="1">
      <c r="A794" s="3" t="inlineStr">
        <is>
          <t>SL-S38-02</t>
        </is>
      </c>
      <c r="B794" s="3" t="inlineStr">
        <is>
          <t>SL-S38-03</t>
        </is>
      </c>
      <c r="C794" s="3" t="inlineStr">
        <is>
          <t>S38</t>
        </is>
      </c>
      <c r="D794" s="3" t="inlineStr">
        <is>
          <t>S38</t>
        </is>
      </c>
      <c r="E794" s="3" t="inlineStr">
        <is>
          <t>Bloqueia até aceite; sequência conservadora dentro do sprint</t>
        </is>
      </c>
    </row>
    <row r="795" ht="28" customHeight="1">
      <c r="A795" s="3" t="inlineStr">
        <is>
          <t>SL-S38-03</t>
        </is>
      </c>
      <c r="B795" s="3" t="inlineStr">
        <is>
          <t>SL-S38-04</t>
        </is>
      </c>
      <c r="C795" s="3" t="inlineStr">
        <is>
          <t>S38</t>
        </is>
      </c>
      <c r="D795" s="3" t="inlineStr">
        <is>
          <t>S38</t>
        </is>
      </c>
      <c r="E795" s="3" t="inlineStr">
        <is>
          <t>Bloqueia até aceite; sequência conservadora dentro do sprint</t>
        </is>
      </c>
    </row>
    <row r="796" ht="28" customHeight="1">
      <c r="A796" s="3" t="inlineStr">
        <is>
          <t>SL-S38-04</t>
        </is>
      </c>
      <c r="B796" s="3" t="inlineStr">
        <is>
          <t>SL-S38-05</t>
        </is>
      </c>
      <c r="C796" s="3" t="inlineStr">
        <is>
          <t>S38</t>
        </is>
      </c>
      <c r="D796" s="3" t="inlineStr">
        <is>
          <t>S38</t>
        </is>
      </c>
      <c r="E796" s="3" t="inlineStr">
        <is>
          <t>Bloqueia até aceite; sequência conservadora dentro do sprint</t>
        </is>
      </c>
    </row>
    <row r="797" ht="28" customHeight="1">
      <c r="A797" s="3" t="inlineStr">
        <is>
          <t>SL-S38-05</t>
        </is>
      </c>
      <c r="B797" s="3" t="inlineStr">
        <is>
          <t>SL-S38-06</t>
        </is>
      </c>
      <c r="C797" s="3" t="inlineStr">
        <is>
          <t>S38</t>
        </is>
      </c>
      <c r="D797" s="3" t="inlineStr">
        <is>
          <t>S38</t>
        </is>
      </c>
      <c r="E797" s="3" t="inlineStr">
        <is>
          <t>Bloqueia até aceite; sequência conservadora dentro do sprint</t>
        </is>
      </c>
    </row>
    <row r="798" ht="28" customHeight="1">
      <c r="A798" s="3" t="inlineStr">
        <is>
          <t>SL-S38-06</t>
        </is>
      </c>
      <c r="B798" s="3" t="inlineStr">
        <is>
          <t>SL-S38-07</t>
        </is>
      </c>
      <c r="C798" s="3" t="inlineStr">
        <is>
          <t>S38</t>
        </is>
      </c>
      <c r="D798" s="3" t="inlineStr">
        <is>
          <t>S38</t>
        </is>
      </c>
      <c r="E798" s="3" t="inlineStr">
        <is>
          <t>Bloqueia até aceite; sequência conservadora dentro do sprint</t>
        </is>
      </c>
    </row>
    <row r="799" ht="28" customHeight="1">
      <c r="A799" s="3" t="inlineStr">
        <is>
          <t>SL-S38-07</t>
        </is>
      </c>
      <c r="B799" s="3" t="inlineStr">
        <is>
          <t>SL-S38-08</t>
        </is>
      </c>
      <c r="C799" s="3" t="inlineStr">
        <is>
          <t>S38</t>
        </is>
      </c>
      <c r="D799" s="3" t="inlineStr">
        <is>
          <t>S38</t>
        </is>
      </c>
      <c r="E799" s="3" t="inlineStr">
        <is>
          <t>Bloqueia até aceite; sequência conservadora dentro do sprint</t>
        </is>
      </c>
    </row>
    <row r="800" ht="28" customHeight="1">
      <c r="A800" s="3" t="inlineStr">
        <is>
          <t>SL-S38-08</t>
        </is>
      </c>
      <c r="B800" s="3" t="inlineStr">
        <is>
          <t>SL-S38-09</t>
        </is>
      </c>
      <c r="C800" s="3" t="inlineStr">
        <is>
          <t>S38</t>
        </is>
      </c>
      <c r="D800" s="3" t="inlineStr">
        <is>
          <t>S38</t>
        </is>
      </c>
      <c r="E800" s="3" t="inlineStr">
        <is>
          <t>Bloqueia até aceite; sequência conservadora dentro do sprint</t>
        </is>
      </c>
    </row>
    <row r="801" ht="28" customHeight="1">
      <c r="A801" s="3" t="inlineStr">
        <is>
          <t>SL-S38-09</t>
        </is>
      </c>
      <c r="B801" s="3" t="inlineStr">
        <is>
          <t>SL-S38-10</t>
        </is>
      </c>
      <c r="C801" s="3" t="inlineStr">
        <is>
          <t>S38</t>
        </is>
      </c>
      <c r="D801" s="3" t="inlineStr">
        <is>
          <t>S38</t>
        </is>
      </c>
      <c r="E801" s="3" t="inlineStr">
        <is>
          <t>Bloqueia até aceite; sequência conservadora dentro do sprint</t>
        </is>
      </c>
    </row>
    <row r="802" ht="28" customHeight="1">
      <c r="A802" s="3" t="inlineStr">
        <is>
          <t>SL-S38-01</t>
        </is>
      </c>
      <c r="B802" s="3" t="inlineStr">
        <is>
          <t>SL-S38-GATE</t>
        </is>
      </c>
      <c r="C802" s="3" t="inlineStr">
        <is>
          <t>S38</t>
        </is>
      </c>
      <c r="D802" s="3" t="inlineStr">
        <is>
          <t>S38</t>
        </is>
      </c>
      <c r="E802" s="3" t="inlineStr">
        <is>
          <t>Bloqueia até aceite; sequência conservadora dentro do sprint</t>
        </is>
      </c>
    </row>
    <row r="803" ht="28" customHeight="1">
      <c r="A803" s="3" t="inlineStr">
        <is>
          <t>SL-S38-02</t>
        </is>
      </c>
      <c r="B803" s="3" t="inlineStr">
        <is>
          <t>SL-S38-GATE</t>
        </is>
      </c>
      <c r="C803" s="3" t="inlineStr">
        <is>
          <t>S38</t>
        </is>
      </c>
      <c r="D803" s="3" t="inlineStr">
        <is>
          <t>S38</t>
        </is>
      </c>
      <c r="E803" s="3" t="inlineStr">
        <is>
          <t>Bloqueia até aceite; sequência conservadora dentro do sprint</t>
        </is>
      </c>
    </row>
    <row r="804" ht="28" customHeight="1">
      <c r="A804" s="3" t="inlineStr">
        <is>
          <t>SL-S38-03</t>
        </is>
      </c>
      <c r="B804" s="3" t="inlineStr">
        <is>
          <t>SL-S38-GATE</t>
        </is>
      </c>
      <c r="C804" s="3" t="inlineStr">
        <is>
          <t>S38</t>
        </is>
      </c>
      <c r="D804" s="3" t="inlineStr">
        <is>
          <t>S38</t>
        </is>
      </c>
      <c r="E804" s="3" t="inlineStr">
        <is>
          <t>Bloqueia até aceite; sequência conservadora dentro do sprint</t>
        </is>
      </c>
    </row>
    <row r="805" ht="28" customHeight="1">
      <c r="A805" s="3" t="inlineStr">
        <is>
          <t>SL-S38-04</t>
        </is>
      </c>
      <c r="B805" s="3" t="inlineStr">
        <is>
          <t>SL-S38-GATE</t>
        </is>
      </c>
      <c r="C805" s="3" t="inlineStr">
        <is>
          <t>S38</t>
        </is>
      </c>
      <c r="D805" s="3" t="inlineStr">
        <is>
          <t>S38</t>
        </is>
      </c>
      <c r="E805" s="3" t="inlineStr">
        <is>
          <t>Bloqueia até aceite; sequência conservadora dentro do sprint</t>
        </is>
      </c>
    </row>
    <row r="806" ht="28" customHeight="1">
      <c r="A806" s="3" t="inlineStr">
        <is>
          <t>SL-S38-05</t>
        </is>
      </c>
      <c r="B806" s="3" t="inlineStr">
        <is>
          <t>SL-S38-GATE</t>
        </is>
      </c>
      <c r="C806" s="3" t="inlineStr">
        <is>
          <t>S38</t>
        </is>
      </c>
      <c r="D806" s="3" t="inlineStr">
        <is>
          <t>S38</t>
        </is>
      </c>
      <c r="E806" s="3" t="inlineStr">
        <is>
          <t>Bloqueia até aceite; sequência conservadora dentro do sprint</t>
        </is>
      </c>
    </row>
    <row r="807" ht="28" customHeight="1">
      <c r="A807" s="3" t="inlineStr">
        <is>
          <t>SL-S38-06</t>
        </is>
      </c>
      <c r="B807" s="3" t="inlineStr">
        <is>
          <t>SL-S38-GATE</t>
        </is>
      </c>
      <c r="C807" s="3" t="inlineStr">
        <is>
          <t>S38</t>
        </is>
      </c>
      <c r="D807" s="3" t="inlineStr">
        <is>
          <t>S38</t>
        </is>
      </c>
      <c r="E807" s="3" t="inlineStr">
        <is>
          <t>Bloqueia até aceite; sequência conservadora dentro do sprint</t>
        </is>
      </c>
    </row>
    <row r="808" ht="28" customHeight="1">
      <c r="A808" s="3" t="inlineStr">
        <is>
          <t>SL-S38-07</t>
        </is>
      </c>
      <c r="B808" s="3" t="inlineStr">
        <is>
          <t>SL-S38-GATE</t>
        </is>
      </c>
      <c r="C808" s="3" t="inlineStr">
        <is>
          <t>S38</t>
        </is>
      </c>
      <c r="D808" s="3" t="inlineStr">
        <is>
          <t>S38</t>
        </is>
      </c>
      <c r="E808" s="3" t="inlineStr">
        <is>
          <t>Bloqueia até aceite; sequência conservadora dentro do sprint</t>
        </is>
      </c>
    </row>
    <row r="809" ht="28" customHeight="1">
      <c r="A809" s="3" t="inlineStr">
        <is>
          <t>SL-S38-08</t>
        </is>
      </c>
      <c r="B809" s="3" t="inlineStr">
        <is>
          <t>SL-S38-GATE</t>
        </is>
      </c>
      <c r="C809" s="3" t="inlineStr">
        <is>
          <t>S38</t>
        </is>
      </c>
      <c r="D809" s="3" t="inlineStr">
        <is>
          <t>S38</t>
        </is>
      </c>
      <c r="E809" s="3" t="inlineStr">
        <is>
          <t>Bloqueia até aceite; sequência conservadora dentro do sprint</t>
        </is>
      </c>
    </row>
    <row r="810" ht="28" customHeight="1">
      <c r="A810" s="3" t="inlineStr">
        <is>
          <t>SL-S38-09</t>
        </is>
      </c>
      <c r="B810" s="3" t="inlineStr">
        <is>
          <t>SL-S38-GATE</t>
        </is>
      </c>
      <c r="C810" s="3" t="inlineStr">
        <is>
          <t>S38</t>
        </is>
      </c>
      <c r="D810" s="3" t="inlineStr">
        <is>
          <t>S38</t>
        </is>
      </c>
      <c r="E810" s="3" t="inlineStr">
        <is>
          <t>Bloqueia até aceite; sequência conservadora dentro do sprint</t>
        </is>
      </c>
    </row>
    <row r="811" ht="28" customHeight="1">
      <c r="A811" s="3" t="inlineStr">
        <is>
          <t>SL-S38-10</t>
        </is>
      </c>
      <c r="B811" s="3" t="inlineStr">
        <is>
          <t>SL-S38-GATE</t>
        </is>
      </c>
      <c r="C811" s="3" t="inlineStr">
        <is>
          <t>S38</t>
        </is>
      </c>
      <c r="D811" s="3" t="inlineStr">
        <is>
          <t>S38</t>
        </is>
      </c>
      <c r="E811" s="3" t="inlineStr">
        <is>
          <t>Bloqueia até aceite; sequência conservadora dentro do sprint</t>
        </is>
      </c>
    </row>
    <row r="812" ht="28" customHeight="1">
      <c r="A812" s="3" t="inlineStr">
        <is>
          <t>SL-S37-GATE</t>
        </is>
      </c>
      <c r="B812" s="3" t="inlineStr">
        <is>
          <t>SL-S39-01</t>
        </is>
      </c>
      <c r="C812" s="3" t="inlineStr">
        <is>
          <t>S37</t>
        </is>
      </c>
      <c r="D812" s="3" t="inlineStr">
        <is>
          <t>S39</t>
        </is>
      </c>
      <c r="E812" s="3" t="inlineStr">
        <is>
          <t>Bloqueia até aceite; sequência conservadora dentro do sprint</t>
        </is>
      </c>
    </row>
    <row r="813" ht="28" customHeight="1">
      <c r="A813" s="3" t="inlineStr">
        <is>
          <t>SL-S39-01</t>
        </is>
      </c>
      <c r="B813" s="3" t="inlineStr">
        <is>
          <t>SL-S39-02</t>
        </is>
      </c>
      <c r="C813" s="3" t="inlineStr">
        <is>
          <t>S39</t>
        </is>
      </c>
      <c r="D813" s="3" t="inlineStr">
        <is>
          <t>S39</t>
        </is>
      </c>
      <c r="E813" s="3" t="inlineStr">
        <is>
          <t>Bloqueia até aceite; sequência conservadora dentro do sprint</t>
        </is>
      </c>
    </row>
    <row r="814" ht="28" customHeight="1">
      <c r="A814" s="3" t="inlineStr">
        <is>
          <t>SL-S39-02</t>
        </is>
      </c>
      <c r="B814" s="3" t="inlineStr">
        <is>
          <t>SL-S39-03</t>
        </is>
      </c>
      <c r="C814" s="3" t="inlineStr">
        <is>
          <t>S39</t>
        </is>
      </c>
      <c r="D814" s="3" t="inlineStr">
        <is>
          <t>S39</t>
        </is>
      </c>
      <c r="E814" s="3" t="inlineStr">
        <is>
          <t>Bloqueia até aceite; sequência conservadora dentro do sprint</t>
        </is>
      </c>
    </row>
    <row r="815" ht="28" customHeight="1">
      <c r="A815" s="3" t="inlineStr">
        <is>
          <t>SL-S39-03</t>
        </is>
      </c>
      <c r="B815" s="3" t="inlineStr">
        <is>
          <t>SL-S39-04</t>
        </is>
      </c>
      <c r="C815" s="3" t="inlineStr">
        <is>
          <t>S39</t>
        </is>
      </c>
      <c r="D815" s="3" t="inlineStr">
        <is>
          <t>S39</t>
        </is>
      </c>
      <c r="E815" s="3" t="inlineStr">
        <is>
          <t>Bloqueia até aceite; sequência conservadora dentro do sprint</t>
        </is>
      </c>
    </row>
    <row r="816" ht="28" customHeight="1">
      <c r="A816" s="3" t="inlineStr">
        <is>
          <t>SL-S39-04</t>
        </is>
      </c>
      <c r="B816" s="3" t="inlineStr">
        <is>
          <t>SL-S39-05</t>
        </is>
      </c>
      <c r="C816" s="3" t="inlineStr">
        <is>
          <t>S39</t>
        </is>
      </c>
      <c r="D816" s="3" t="inlineStr">
        <is>
          <t>S39</t>
        </is>
      </c>
      <c r="E816" s="3" t="inlineStr">
        <is>
          <t>Bloqueia até aceite; sequência conservadora dentro do sprint</t>
        </is>
      </c>
    </row>
    <row r="817" ht="28" customHeight="1">
      <c r="A817" s="3" t="inlineStr">
        <is>
          <t>SL-S39-05</t>
        </is>
      </c>
      <c r="B817" s="3" t="inlineStr">
        <is>
          <t>SL-S39-06</t>
        </is>
      </c>
      <c r="C817" s="3" t="inlineStr">
        <is>
          <t>S39</t>
        </is>
      </c>
      <c r="D817" s="3" t="inlineStr">
        <is>
          <t>S39</t>
        </is>
      </c>
      <c r="E817" s="3" t="inlineStr">
        <is>
          <t>Bloqueia até aceite; sequência conservadora dentro do sprint</t>
        </is>
      </c>
    </row>
    <row r="818" ht="28" customHeight="1">
      <c r="A818" s="3" t="inlineStr">
        <is>
          <t>SL-S39-06</t>
        </is>
      </c>
      <c r="B818" s="3" t="inlineStr">
        <is>
          <t>SL-S39-07</t>
        </is>
      </c>
      <c r="C818" s="3" t="inlineStr">
        <is>
          <t>S39</t>
        </is>
      </c>
      <c r="D818" s="3" t="inlineStr">
        <is>
          <t>S39</t>
        </is>
      </c>
      <c r="E818" s="3" t="inlineStr">
        <is>
          <t>Bloqueia até aceite; sequência conservadora dentro do sprint</t>
        </is>
      </c>
    </row>
    <row r="819" ht="28" customHeight="1">
      <c r="A819" s="3" t="inlineStr">
        <is>
          <t>SL-S39-07</t>
        </is>
      </c>
      <c r="B819" s="3" t="inlineStr">
        <is>
          <t>SL-S39-08</t>
        </is>
      </c>
      <c r="C819" s="3" t="inlineStr">
        <is>
          <t>S39</t>
        </is>
      </c>
      <c r="D819" s="3" t="inlineStr">
        <is>
          <t>S39</t>
        </is>
      </c>
      <c r="E819" s="3" t="inlineStr">
        <is>
          <t>Bloqueia até aceite; sequência conservadora dentro do sprint</t>
        </is>
      </c>
    </row>
    <row r="820" ht="28" customHeight="1">
      <c r="A820" s="3" t="inlineStr">
        <is>
          <t>SL-S39-08</t>
        </is>
      </c>
      <c r="B820" s="3" t="inlineStr">
        <is>
          <t>SL-S39-09</t>
        </is>
      </c>
      <c r="C820" s="3" t="inlineStr">
        <is>
          <t>S39</t>
        </is>
      </c>
      <c r="D820" s="3" t="inlineStr">
        <is>
          <t>S39</t>
        </is>
      </c>
      <c r="E820" s="3" t="inlineStr">
        <is>
          <t>Bloqueia até aceite; sequência conservadora dentro do sprint</t>
        </is>
      </c>
    </row>
    <row r="821" ht="28" customHeight="1">
      <c r="A821" s="3" t="inlineStr">
        <is>
          <t>SL-S39-09</t>
        </is>
      </c>
      <c r="B821" s="3" t="inlineStr">
        <is>
          <t>SL-S39-10</t>
        </is>
      </c>
      <c r="C821" s="3" t="inlineStr">
        <is>
          <t>S39</t>
        </is>
      </c>
      <c r="D821" s="3" t="inlineStr">
        <is>
          <t>S39</t>
        </is>
      </c>
      <c r="E821" s="3" t="inlineStr">
        <is>
          <t>Bloqueia até aceite; sequência conservadora dentro do sprint</t>
        </is>
      </c>
    </row>
    <row r="822" ht="28" customHeight="1">
      <c r="A822" s="3" t="inlineStr">
        <is>
          <t>SL-S39-01</t>
        </is>
      </c>
      <c r="B822" s="3" t="inlineStr">
        <is>
          <t>SL-S39-GATE</t>
        </is>
      </c>
      <c r="C822" s="3" t="inlineStr">
        <is>
          <t>S39</t>
        </is>
      </c>
      <c r="D822" s="3" t="inlineStr">
        <is>
          <t>S39</t>
        </is>
      </c>
      <c r="E822" s="3" t="inlineStr">
        <is>
          <t>Bloqueia até aceite; sequência conservadora dentro do sprint</t>
        </is>
      </c>
    </row>
    <row r="823" ht="28" customHeight="1">
      <c r="A823" s="3" t="inlineStr">
        <is>
          <t>SL-S39-02</t>
        </is>
      </c>
      <c r="B823" s="3" t="inlineStr">
        <is>
          <t>SL-S39-GATE</t>
        </is>
      </c>
      <c r="C823" s="3" t="inlineStr">
        <is>
          <t>S39</t>
        </is>
      </c>
      <c r="D823" s="3" t="inlineStr">
        <is>
          <t>S39</t>
        </is>
      </c>
      <c r="E823" s="3" t="inlineStr">
        <is>
          <t>Bloqueia até aceite; sequência conservadora dentro do sprint</t>
        </is>
      </c>
    </row>
    <row r="824" ht="28" customHeight="1">
      <c r="A824" s="3" t="inlineStr">
        <is>
          <t>SL-S39-03</t>
        </is>
      </c>
      <c r="B824" s="3" t="inlineStr">
        <is>
          <t>SL-S39-GATE</t>
        </is>
      </c>
      <c r="C824" s="3" t="inlineStr">
        <is>
          <t>S39</t>
        </is>
      </c>
      <c r="D824" s="3" t="inlineStr">
        <is>
          <t>S39</t>
        </is>
      </c>
      <c r="E824" s="3" t="inlineStr">
        <is>
          <t>Bloqueia até aceite; sequência conservadora dentro do sprint</t>
        </is>
      </c>
    </row>
    <row r="825" ht="28" customHeight="1">
      <c r="A825" s="3" t="inlineStr">
        <is>
          <t>SL-S39-04</t>
        </is>
      </c>
      <c r="B825" s="3" t="inlineStr">
        <is>
          <t>SL-S39-GATE</t>
        </is>
      </c>
      <c r="C825" s="3" t="inlineStr">
        <is>
          <t>S39</t>
        </is>
      </c>
      <c r="D825" s="3" t="inlineStr">
        <is>
          <t>S39</t>
        </is>
      </c>
      <c r="E825" s="3" t="inlineStr">
        <is>
          <t>Bloqueia até aceite; sequência conservadora dentro do sprint</t>
        </is>
      </c>
    </row>
    <row r="826" ht="28" customHeight="1">
      <c r="A826" s="3" t="inlineStr">
        <is>
          <t>SL-S39-05</t>
        </is>
      </c>
      <c r="B826" s="3" t="inlineStr">
        <is>
          <t>SL-S39-GATE</t>
        </is>
      </c>
      <c r="C826" s="3" t="inlineStr">
        <is>
          <t>S39</t>
        </is>
      </c>
      <c r="D826" s="3" t="inlineStr">
        <is>
          <t>S39</t>
        </is>
      </c>
      <c r="E826" s="3" t="inlineStr">
        <is>
          <t>Bloqueia até aceite; sequência conservadora dentro do sprint</t>
        </is>
      </c>
    </row>
    <row r="827" ht="28" customHeight="1">
      <c r="A827" s="3" t="inlineStr">
        <is>
          <t>SL-S39-06</t>
        </is>
      </c>
      <c r="B827" s="3" t="inlineStr">
        <is>
          <t>SL-S39-GATE</t>
        </is>
      </c>
      <c r="C827" s="3" t="inlineStr">
        <is>
          <t>S39</t>
        </is>
      </c>
      <c r="D827" s="3" t="inlineStr">
        <is>
          <t>S39</t>
        </is>
      </c>
      <c r="E827" s="3" t="inlineStr">
        <is>
          <t>Bloqueia até aceite; sequência conservadora dentro do sprint</t>
        </is>
      </c>
    </row>
    <row r="828" ht="28" customHeight="1">
      <c r="A828" s="3" t="inlineStr">
        <is>
          <t>SL-S39-07</t>
        </is>
      </c>
      <c r="B828" s="3" t="inlineStr">
        <is>
          <t>SL-S39-GATE</t>
        </is>
      </c>
      <c r="C828" s="3" t="inlineStr">
        <is>
          <t>S39</t>
        </is>
      </c>
      <c r="D828" s="3" t="inlineStr">
        <is>
          <t>S39</t>
        </is>
      </c>
      <c r="E828" s="3" t="inlineStr">
        <is>
          <t>Bloqueia até aceite; sequência conservadora dentro do sprint</t>
        </is>
      </c>
    </row>
    <row r="829" ht="28" customHeight="1">
      <c r="A829" s="3" t="inlineStr">
        <is>
          <t>SL-S39-08</t>
        </is>
      </c>
      <c r="B829" s="3" t="inlineStr">
        <is>
          <t>SL-S39-GATE</t>
        </is>
      </c>
      <c r="C829" s="3" t="inlineStr">
        <is>
          <t>S39</t>
        </is>
      </c>
      <c r="D829" s="3" t="inlineStr">
        <is>
          <t>S39</t>
        </is>
      </c>
      <c r="E829" s="3" t="inlineStr">
        <is>
          <t>Bloqueia até aceite; sequência conservadora dentro do sprint</t>
        </is>
      </c>
    </row>
    <row r="830" ht="28" customHeight="1">
      <c r="A830" s="3" t="inlineStr">
        <is>
          <t>SL-S39-09</t>
        </is>
      </c>
      <c r="B830" s="3" t="inlineStr">
        <is>
          <t>SL-S39-GATE</t>
        </is>
      </c>
      <c r="C830" s="3" t="inlineStr">
        <is>
          <t>S39</t>
        </is>
      </c>
      <c r="D830" s="3" t="inlineStr">
        <is>
          <t>S39</t>
        </is>
      </c>
      <c r="E830" s="3" t="inlineStr">
        <is>
          <t>Bloqueia até aceite; sequência conservadora dentro do sprint</t>
        </is>
      </c>
    </row>
    <row r="831" ht="28" customHeight="1">
      <c r="A831" s="3" t="inlineStr">
        <is>
          <t>SL-S39-10</t>
        </is>
      </c>
      <c r="B831" s="3" t="inlineStr">
        <is>
          <t>SL-S39-GATE</t>
        </is>
      </c>
      <c r="C831" s="3" t="inlineStr">
        <is>
          <t>S39</t>
        </is>
      </c>
      <c r="D831" s="3" t="inlineStr">
        <is>
          <t>S39</t>
        </is>
      </c>
      <c r="E831" s="3" t="inlineStr">
        <is>
          <t>Bloqueia até aceite; sequência conservadora dentro do sprint</t>
        </is>
      </c>
    </row>
    <row r="832" ht="28" customHeight="1">
      <c r="A832" s="3" t="inlineStr">
        <is>
          <t>SL-S38-GATE</t>
        </is>
      </c>
      <c r="B832" s="3" t="inlineStr">
        <is>
          <t>SL-S40-01</t>
        </is>
      </c>
      <c r="C832" s="3" t="inlineStr">
        <is>
          <t>S38</t>
        </is>
      </c>
      <c r="D832" s="3" t="inlineStr">
        <is>
          <t>S40</t>
        </is>
      </c>
      <c r="E832" s="3" t="inlineStr">
        <is>
          <t>Bloqueia até aceite; sequência conservadora dentro do sprint</t>
        </is>
      </c>
    </row>
    <row r="833" ht="28" customHeight="1">
      <c r="A833" s="3" t="inlineStr">
        <is>
          <t>SL-S39-GATE</t>
        </is>
      </c>
      <c r="B833" s="3" t="inlineStr">
        <is>
          <t>SL-S40-01</t>
        </is>
      </c>
      <c r="C833" s="3" t="inlineStr">
        <is>
          <t>S39</t>
        </is>
      </c>
      <c r="D833" s="3" t="inlineStr">
        <is>
          <t>S40</t>
        </is>
      </c>
      <c r="E833" s="3" t="inlineStr">
        <is>
          <t>Bloqueia até aceite; sequência conservadora dentro do sprint</t>
        </is>
      </c>
    </row>
    <row r="834" ht="28" customHeight="1">
      <c r="A834" s="3" t="inlineStr">
        <is>
          <t>SL-S40-01</t>
        </is>
      </c>
      <c r="B834" s="3" t="inlineStr">
        <is>
          <t>SL-S40-02</t>
        </is>
      </c>
      <c r="C834" s="3" t="inlineStr">
        <is>
          <t>S40</t>
        </is>
      </c>
      <c r="D834" s="3" t="inlineStr">
        <is>
          <t>S40</t>
        </is>
      </c>
      <c r="E834" s="3" t="inlineStr">
        <is>
          <t>Bloqueia até aceite; sequência conservadora dentro do sprint</t>
        </is>
      </c>
    </row>
    <row r="835" ht="28" customHeight="1">
      <c r="A835" s="3" t="inlineStr">
        <is>
          <t>SL-S40-02</t>
        </is>
      </c>
      <c r="B835" s="3" t="inlineStr">
        <is>
          <t>SL-S40-03</t>
        </is>
      </c>
      <c r="C835" s="3" t="inlineStr">
        <is>
          <t>S40</t>
        </is>
      </c>
      <c r="D835" s="3" t="inlineStr">
        <is>
          <t>S40</t>
        </is>
      </c>
      <c r="E835" s="3" t="inlineStr">
        <is>
          <t>Bloqueia até aceite; sequência conservadora dentro do sprint</t>
        </is>
      </c>
    </row>
    <row r="836" ht="28" customHeight="1">
      <c r="A836" s="3" t="inlineStr">
        <is>
          <t>SL-S40-03</t>
        </is>
      </c>
      <c r="B836" s="3" t="inlineStr">
        <is>
          <t>SL-S40-04</t>
        </is>
      </c>
      <c r="C836" s="3" t="inlineStr">
        <is>
          <t>S40</t>
        </is>
      </c>
      <c r="D836" s="3" t="inlineStr">
        <is>
          <t>S40</t>
        </is>
      </c>
      <c r="E836" s="3" t="inlineStr">
        <is>
          <t>Bloqueia até aceite; sequência conservadora dentro do sprint</t>
        </is>
      </c>
    </row>
    <row r="837" ht="28" customHeight="1">
      <c r="A837" s="3" t="inlineStr">
        <is>
          <t>SL-S40-04</t>
        </is>
      </c>
      <c r="B837" s="3" t="inlineStr">
        <is>
          <t>SL-S40-05</t>
        </is>
      </c>
      <c r="C837" s="3" t="inlineStr">
        <is>
          <t>S40</t>
        </is>
      </c>
      <c r="D837" s="3" t="inlineStr">
        <is>
          <t>S40</t>
        </is>
      </c>
      <c r="E837" s="3" t="inlineStr">
        <is>
          <t>Bloqueia até aceite; sequência conservadora dentro do sprint</t>
        </is>
      </c>
    </row>
    <row r="838" ht="28" customHeight="1">
      <c r="A838" s="3" t="inlineStr">
        <is>
          <t>SL-S40-05</t>
        </is>
      </c>
      <c r="B838" s="3" t="inlineStr">
        <is>
          <t>SL-S40-06</t>
        </is>
      </c>
      <c r="C838" s="3" t="inlineStr">
        <is>
          <t>S40</t>
        </is>
      </c>
      <c r="D838" s="3" t="inlineStr">
        <is>
          <t>S40</t>
        </is>
      </c>
      <c r="E838" s="3" t="inlineStr">
        <is>
          <t>Bloqueia até aceite; sequência conservadora dentro do sprint</t>
        </is>
      </c>
    </row>
    <row r="839" ht="28" customHeight="1">
      <c r="A839" s="3" t="inlineStr">
        <is>
          <t>SL-S40-06</t>
        </is>
      </c>
      <c r="B839" s="3" t="inlineStr">
        <is>
          <t>SL-S40-07</t>
        </is>
      </c>
      <c r="C839" s="3" t="inlineStr">
        <is>
          <t>S40</t>
        </is>
      </c>
      <c r="D839" s="3" t="inlineStr">
        <is>
          <t>S40</t>
        </is>
      </c>
      <c r="E839" s="3" t="inlineStr">
        <is>
          <t>Bloqueia até aceite; sequência conservadora dentro do sprint</t>
        </is>
      </c>
    </row>
    <row r="840" ht="28" customHeight="1">
      <c r="A840" s="3" t="inlineStr">
        <is>
          <t>SL-S40-07</t>
        </is>
      </c>
      <c r="B840" s="3" t="inlineStr">
        <is>
          <t>SL-S40-08</t>
        </is>
      </c>
      <c r="C840" s="3" t="inlineStr">
        <is>
          <t>S40</t>
        </is>
      </c>
      <c r="D840" s="3" t="inlineStr">
        <is>
          <t>S40</t>
        </is>
      </c>
      <c r="E840" s="3" t="inlineStr">
        <is>
          <t>Bloqueia até aceite; sequência conservadora dentro do sprint</t>
        </is>
      </c>
    </row>
    <row r="841" ht="28" customHeight="1">
      <c r="A841" s="3" t="inlineStr">
        <is>
          <t>SL-S40-08</t>
        </is>
      </c>
      <c r="B841" s="3" t="inlineStr">
        <is>
          <t>SL-S40-09</t>
        </is>
      </c>
      <c r="C841" s="3" t="inlineStr">
        <is>
          <t>S40</t>
        </is>
      </c>
      <c r="D841" s="3" t="inlineStr">
        <is>
          <t>S40</t>
        </is>
      </c>
      <c r="E841" s="3" t="inlineStr">
        <is>
          <t>Bloqueia até aceite; sequência conservadora dentro do sprint</t>
        </is>
      </c>
    </row>
    <row r="842" ht="28" customHeight="1">
      <c r="A842" s="3" t="inlineStr">
        <is>
          <t>SL-S40-09</t>
        </is>
      </c>
      <c r="B842" s="3" t="inlineStr">
        <is>
          <t>SL-S40-10</t>
        </is>
      </c>
      <c r="C842" s="3" t="inlineStr">
        <is>
          <t>S40</t>
        </is>
      </c>
      <c r="D842" s="3" t="inlineStr">
        <is>
          <t>S40</t>
        </is>
      </c>
      <c r="E842" s="3" t="inlineStr">
        <is>
          <t>Bloqueia até aceite; sequência conservadora dentro do sprint</t>
        </is>
      </c>
    </row>
    <row r="843" ht="28" customHeight="1">
      <c r="A843" s="3" t="inlineStr">
        <is>
          <t>SL-S40-01</t>
        </is>
      </c>
      <c r="B843" s="3" t="inlineStr">
        <is>
          <t>SL-S40-GATE</t>
        </is>
      </c>
      <c r="C843" s="3" t="inlineStr">
        <is>
          <t>S40</t>
        </is>
      </c>
      <c r="D843" s="3" t="inlineStr">
        <is>
          <t>S40</t>
        </is>
      </c>
      <c r="E843" s="3" t="inlineStr">
        <is>
          <t>Bloqueia até aceite; sequência conservadora dentro do sprint</t>
        </is>
      </c>
    </row>
    <row r="844" ht="28" customHeight="1">
      <c r="A844" s="3" t="inlineStr">
        <is>
          <t>SL-S40-02</t>
        </is>
      </c>
      <c r="B844" s="3" t="inlineStr">
        <is>
          <t>SL-S40-GATE</t>
        </is>
      </c>
      <c r="C844" s="3" t="inlineStr">
        <is>
          <t>S40</t>
        </is>
      </c>
      <c r="D844" s="3" t="inlineStr">
        <is>
          <t>S40</t>
        </is>
      </c>
      <c r="E844" s="3" t="inlineStr">
        <is>
          <t>Bloqueia até aceite; sequência conservadora dentro do sprint</t>
        </is>
      </c>
    </row>
    <row r="845" ht="28" customHeight="1">
      <c r="A845" s="3" t="inlineStr">
        <is>
          <t>SL-S40-03</t>
        </is>
      </c>
      <c r="B845" s="3" t="inlineStr">
        <is>
          <t>SL-S40-GATE</t>
        </is>
      </c>
      <c r="C845" s="3" t="inlineStr">
        <is>
          <t>S40</t>
        </is>
      </c>
      <c r="D845" s="3" t="inlineStr">
        <is>
          <t>S40</t>
        </is>
      </c>
      <c r="E845" s="3" t="inlineStr">
        <is>
          <t>Bloqueia até aceite; sequência conservadora dentro do sprint</t>
        </is>
      </c>
    </row>
    <row r="846" ht="28" customHeight="1">
      <c r="A846" s="3" t="inlineStr">
        <is>
          <t>SL-S40-04</t>
        </is>
      </c>
      <c r="B846" s="3" t="inlineStr">
        <is>
          <t>SL-S40-GATE</t>
        </is>
      </c>
      <c r="C846" s="3" t="inlineStr">
        <is>
          <t>S40</t>
        </is>
      </c>
      <c r="D846" s="3" t="inlineStr">
        <is>
          <t>S40</t>
        </is>
      </c>
      <c r="E846" s="3" t="inlineStr">
        <is>
          <t>Bloqueia até aceite; sequência conservadora dentro do sprint</t>
        </is>
      </c>
    </row>
    <row r="847" ht="28" customHeight="1">
      <c r="A847" s="3" t="inlineStr">
        <is>
          <t>SL-S40-05</t>
        </is>
      </c>
      <c r="B847" s="3" t="inlineStr">
        <is>
          <t>SL-S40-GATE</t>
        </is>
      </c>
      <c r="C847" s="3" t="inlineStr">
        <is>
          <t>S40</t>
        </is>
      </c>
      <c r="D847" s="3" t="inlineStr">
        <is>
          <t>S40</t>
        </is>
      </c>
      <c r="E847" s="3" t="inlineStr">
        <is>
          <t>Bloqueia até aceite; sequência conservadora dentro do sprint</t>
        </is>
      </c>
    </row>
    <row r="848" ht="28" customHeight="1">
      <c r="A848" s="3" t="inlineStr">
        <is>
          <t>SL-S40-06</t>
        </is>
      </c>
      <c r="B848" s="3" t="inlineStr">
        <is>
          <t>SL-S40-GATE</t>
        </is>
      </c>
      <c r="C848" s="3" t="inlineStr">
        <is>
          <t>S40</t>
        </is>
      </c>
      <c r="D848" s="3" t="inlineStr">
        <is>
          <t>S40</t>
        </is>
      </c>
      <c r="E848" s="3" t="inlineStr">
        <is>
          <t>Bloqueia até aceite; sequência conservadora dentro do sprint</t>
        </is>
      </c>
    </row>
    <row r="849" ht="28" customHeight="1">
      <c r="A849" s="3" t="inlineStr">
        <is>
          <t>SL-S40-07</t>
        </is>
      </c>
      <c r="B849" s="3" t="inlineStr">
        <is>
          <t>SL-S40-GATE</t>
        </is>
      </c>
      <c r="C849" s="3" t="inlineStr">
        <is>
          <t>S40</t>
        </is>
      </c>
      <c r="D849" s="3" t="inlineStr">
        <is>
          <t>S40</t>
        </is>
      </c>
      <c r="E849" s="3" t="inlineStr">
        <is>
          <t>Bloqueia até aceite; sequência conservadora dentro do sprint</t>
        </is>
      </c>
    </row>
    <row r="850" ht="28" customHeight="1">
      <c r="A850" s="3" t="inlineStr">
        <is>
          <t>SL-S40-08</t>
        </is>
      </c>
      <c r="B850" s="3" t="inlineStr">
        <is>
          <t>SL-S40-GATE</t>
        </is>
      </c>
      <c r="C850" s="3" t="inlineStr">
        <is>
          <t>S40</t>
        </is>
      </c>
      <c r="D850" s="3" t="inlineStr">
        <is>
          <t>S40</t>
        </is>
      </c>
      <c r="E850" s="3" t="inlineStr">
        <is>
          <t>Bloqueia até aceite; sequência conservadora dentro do sprint</t>
        </is>
      </c>
    </row>
    <row r="851" ht="28" customHeight="1">
      <c r="A851" s="3" t="inlineStr">
        <is>
          <t>SL-S40-09</t>
        </is>
      </c>
      <c r="B851" s="3" t="inlineStr">
        <is>
          <t>SL-S40-GATE</t>
        </is>
      </c>
      <c r="C851" s="3" t="inlineStr">
        <is>
          <t>S40</t>
        </is>
      </c>
      <c r="D851" s="3" t="inlineStr">
        <is>
          <t>S40</t>
        </is>
      </c>
      <c r="E851" s="3" t="inlineStr">
        <is>
          <t>Bloqueia até aceite; sequência conservadora dentro do sprint</t>
        </is>
      </c>
    </row>
    <row r="852" ht="28" customHeight="1">
      <c r="A852" s="3" t="inlineStr">
        <is>
          <t>SL-S40-10</t>
        </is>
      </c>
      <c r="B852" s="3" t="inlineStr">
        <is>
          <t>SL-S40-GATE</t>
        </is>
      </c>
      <c r="C852" s="3" t="inlineStr">
        <is>
          <t>S40</t>
        </is>
      </c>
      <c r="D852" s="3" t="inlineStr">
        <is>
          <t>S40</t>
        </is>
      </c>
      <c r="E852" s="3" t="inlineStr">
        <is>
          <t>Bloqueia até aceite; sequência conservadora dentro do sprint</t>
        </is>
      </c>
    </row>
    <row r="853" ht="28" customHeight="1">
      <c r="A853" s="3" t="inlineStr">
        <is>
          <t>SL-S35-GATE</t>
        </is>
      </c>
      <c r="B853" s="3" t="inlineStr">
        <is>
          <t>SL-S41-01</t>
        </is>
      </c>
      <c r="C853" s="3" t="inlineStr">
        <is>
          <t>S35</t>
        </is>
      </c>
      <c r="D853" s="3" t="inlineStr">
        <is>
          <t>S41</t>
        </is>
      </c>
      <c r="E853" s="3" t="inlineStr">
        <is>
          <t>Bloqueia até aceite; sequência conservadora dentro do sprint</t>
        </is>
      </c>
    </row>
    <row r="854" ht="28" customHeight="1">
      <c r="A854" s="3" t="inlineStr">
        <is>
          <t>SL-S40-GATE</t>
        </is>
      </c>
      <c r="B854" s="3" t="inlineStr">
        <is>
          <t>SL-S41-01</t>
        </is>
      </c>
      <c r="C854" s="3" t="inlineStr">
        <is>
          <t>S40</t>
        </is>
      </c>
      <c r="D854" s="3" t="inlineStr">
        <is>
          <t>S41</t>
        </is>
      </c>
      <c r="E854" s="3" t="inlineStr">
        <is>
          <t>Bloqueia até aceite; sequência conservadora dentro do sprint</t>
        </is>
      </c>
    </row>
    <row r="855" ht="28" customHeight="1">
      <c r="A855" s="3" t="inlineStr">
        <is>
          <t>SL-S41-01</t>
        </is>
      </c>
      <c r="B855" s="3" t="inlineStr">
        <is>
          <t>SL-S41-02</t>
        </is>
      </c>
      <c r="C855" s="3" t="inlineStr">
        <is>
          <t>S41</t>
        </is>
      </c>
      <c r="D855" s="3" t="inlineStr">
        <is>
          <t>S41</t>
        </is>
      </c>
      <c r="E855" s="3" t="inlineStr">
        <is>
          <t>Bloqueia até aceite; sequência conservadora dentro do sprint</t>
        </is>
      </c>
    </row>
    <row r="856" ht="28" customHeight="1">
      <c r="A856" s="3" t="inlineStr">
        <is>
          <t>SL-S41-02</t>
        </is>
      </c>
      <c r="B856" s="3" t="inlineStr">
        <is>
          <t>SL-S41-03</t>
        </is>
      </c>
      <c r="C856" s="3" t="inlineStr">
        <is>
          <t>S41</t>
        </is>
      </c>
      <c r="D856" s="3" t="inlineStr">
        <is>
          <t>S41</t>
        </is>
      </c>
      <c r="E856" s="3" t="inlineStr">
        <is>
          <t>Bloqueia até aceite; sequência conservadora dentro do sprint</t>
        </is>
      </c>
    </row>
    <row r="857" ht="28" customHeight="1">
      <c r="A857" s="3" t="inlineStr">
        <is>
          <t>SL-S41-03</t>
        </is>
      </c>
      <c r="B857" s="3" t="inlineStr">
        <is>
          <t>SL-S41-04</t>
        </is>
      </c>
      <c r="C857" s="3" t="inlineStr">
        <is>
          <t>S41</t>
        </is>
      </c>
      <c r="D857" s="3" t="inlineStr">
        <is>
          <t>S41</t>
        </is>
      </c>
      <c r="E857" s="3" t="inlineStr">
        <is>
          <t>Bloqueia até aceite; sequência conservadora dentro do sprint</t>
        </is>
      </c>
    </row>
    <row r="858" ht="28" customHeight="1">
      <c r="A858" s="3" t="inlineStr">
        <is>
          <t>SL-S41-04</t>
        </is>
      </c>
      <c r="B858" s="3" t="inlineStr">
        <is>
          <t>SL-S41-05</t>
        </is>
      </c>
      <c r="C858" s="3" t="inlineStr">
        <is>
          <t>S41</t>
        </is>
      </c>
      <c r="D858" s="3" t="inlineStr">
        <is>
          <t>S41</t>
        </is>
      </c>
      <c r="E858" s="3" t="inlineStr">
        <is>
          <t>Bloqueia até aceite; sequência conservadora dentro do sprint</t>
        </is>
      </c>
    </row>
    <row r="859" ht="28" customHeight="1">
      <c r="A859" s="3" t="inlineStr">
        <is>
          <t>SL-S41-05</t>
        </is>
      </c>
      <c r="B859" s="3" t="inlineStr">
        <is>
          <t>SL-S41-06</t>
        </is>
      </c>
      <c r="C859" s="3" t="inlineStr">
        <is>
          <t>S41</t>
        </is>
      </c>
      <c r="D859" s="3" t="inlineStr">
        <is>
          <t>S41</t>
        </is>
      </c>
      <c r="E859" s="3" t="inlineStr">
        <is>
          <t>Bloqueia até aceite; sequência conservadora dentro do sprint</t>
        </is>
      </c>
    </row>
    <row r="860" ht="28" customHeight="1">
      <c r="A860" s="3" t="inlineStr">
        <is>
          <t>SL-S41-06</t>
        </is>
      </c>
      <c r="B860" s="3" t="inlineStr">
        <is>
          <t>SL-S41-07</t>
        </is>
      </c>
      <c r="C860" s="3" t="inlineStr">
        <is>
          <t>S41</t>
        </is>
      </c>
      <c r="D860" s="3" t="inlineStr">
        <is>
          <t>S41</t>
        </is>
      </c>
      <c r="E860" s="3" t="inlineStr">
        <is>
          <t>Bloqueia até aceite; sequência conservadora dentro do sprint</t>
        </is>
      </c>
    </row>
    <row r="861" ht="28" customHeight="1">
      <c r="A861" s="3" t="inlineStr">
        <is>
          <t>SL-S41-07</t>
        </is>
      </c>
      <c r="B861" s="3" t="inlineStr">
        <is>
          <t>SL-S41-08</t>
        </is>
      </c>
      <c r="C861" s="3" t="inlineStr">
        <is>
          <t>S41</t>
        </is>
      </c>
      <c r="D861" s="3" t="inlineStr">
        <is>
          <t>S41</t>
        </is>
      </c>
      <c r="E861" s="3" t="inlineStr">
        <is>
          <t>Bloqueia até aceite; sequência conservadora dentro do sprint</t>
        </is>
      </c>
    </row>
    <row r="862" ht="28" customHeight="1">
      <c r="A862" s="3" t="inlineStr">
        <is>
          <t>SL-S41-08</t>
        </is>
      </c>
      <c r="B862" s="3" t="inlineStr">
        <is>
          <t>SL-S41-09</t>
        </is>
      </c>
      <c r="C862" s="3" t="inlineStr">
        <is>
          <t>S41</t>
        </is>
      </c>
      <c r="D862" s="3" t="inlineStr">
        <is>
          <t>S41</t>
        </is>
      </c>
      <c r="E862" s="3" t="inlineStr">
        <is>
          <t>Bloqueia até aceite; sequência conservadora dentro do sprint</t>
        </is>
      </c>
    </row>
    <row r="863" ht="28" customHeight="1">
      <c r="A863" s="3" t="inlineStr">
        <is>
          <t>SL-S41-09</t>
        </is>
      </c>
      <c r="B863" s="3" t="inlineStr">
        <is>
          <t>SL-S41-10</t>
        </is>
      </c>
      <c r="C863" s="3" t="inlineStr">
        <is>
          <t>S41</t>
        </is>
      </c>
      <c r="D863" s="3" t="inlineStr">
        <is>
          <t>S41</t>
        </is>
      </c>
      <c r="E863" s="3" t="inlineStr">
        <is>
          <t>Bloqueia até aceite; sequência conservadora dentro do sprint</t>
        </is>
      </c>
    </row>
    <row r="864" ht="28" customHeight="1">
      <c r="A864" s="3" t="inlineStr">
        <is>
          <t>SL-S41-01</t>
        </is>
      </c>
      <c r="B864" s="3" t="inlineStr">
        <is>
          <t>SL-S41-GATE</t>
        </is>
      </c>
      <c r="C864" s="3" t="inlineStr">
        <is>
          <t>S41</t>
        </is>
      </c>
      <c r="D864" s="3" t="inlineStr">
        <is>
          <t>S41</t>
        </is>
      </c>
      <c r="E864" s="3" t="inlineStr">
        <is>
          <t>Bloqueia até aceite; sequência conservadora dentro do sprint</t>
        </is>
      </c>
    </row>
    <row r="865" ht="28" customHeight="1">
      <c r="A865" s="3" t="inlineStr">
        <is>
          <t>SL-S41-02</t>
        </is>
      </c>
      <c r="B865" s="3" t="inlineStr">
        <is>
          <t>SL-S41-GATE</t>
        </is>
      </c>
      <c r="C865" s="3" t="inlineStr">
        <is>
          <t>S41</t>
        </is>
      </c>
      <c r="D865" s="3" t="inlineStr">
        <is>
          <t>S41</t>
        </is>
      </c>
      <c r="E865" s="3" t="inlineStr">
        <is>
          <t>Bloqueia até aceite; sequência conservadora dentro do sprint</t>
        </is>
      </c>
    </row>
    <row r="866" ht="28" customHeight="1">
      <c r="A866" s="3" t="inlineStr">
        <is>
          <t>SL-S41-03</t>
        </is>
      </c>
      <c r="B866" s="3" t="inlineStr">
        <is>
          <t>SL-S41-GATE</t>
        </is>
      </c>
      <c r="C866" s="3" t="inlineStr">
        <is>
          <t>S41</t>
        </is>
      </c>
      <c r="D866" s="3" t="inlineStr">
        <is>
          <t>S41</t>
        </is>
      </c>
      <c r="E866" s="3" t="inlineStr">
        <is>
          <t>Bloqueia até aceite; sequência conservadora dentro do sprint</t>
        </is>
      </c>
    </row>
    <row r="867" ht="28" customHeight="1">
      <c r="A867" s="3" t="inlineStr">
        <is>
          <t>SL-S41-04</t>
        </is>
      </c>
      <c r="B867" s="3" t="inlineStr">
        <is>
          <t>SL-S41-GATE</t>
        </is>
      </c>
      <c r="C867" s="3" t="inlineStr">
        <is>
          <t>S41</t>
        </is>
      </c>
      <c r="D867" s="3" t="inlineStr">
        <is>
          <t>S41</t>
        </is>
      </c>
      <c r="E867" s="3" t="inlineStr">
        <is>
          <t>Bloqueia até aceite; sequência conservadora dentro do sprint</t>
        </is>
      </c>
    </row>
    <row r="868" ht="28" customHeight="1">
      <c r="A868" s="3" t="inlineStr">
        <is>
          <t>SL-S41-05</t>
        </is>
      </c>
      <c r="B868" s="3" t="inlineStr">
        <is>
          <t>SL-S41-GATE</t>
        </is>
      </c>
      <c r="C868" s="3" t="inlineStr">
        <is>
          <t>S41</t>
        </is>
      </c>
      <c r="D868" s="3" t="inlineStr">
        <is>
          <t>S41</t>
        </is>
      </c>
      <c r="E868" s="3" t="inlineStr">
        <is>
          <t>Bloqueia até aceite; sequência conservadora dentro do sprint</t>
        </is>
      </c>
    </row>
    <row r="869" ht="28" customHeight="1">
      <c r="A869" s="3" t="inlineStr">
        <is>
          <t>SL-S41-06</t>
        </is>
      </c>
      <c r="B869" s="3" t="inlineStr">
        <is>
          <t>SL-S41-GATE</t>
        </is>
      </c>
      <c r="C869" s="3" t="inlineStr">
        <is>
          <t>S41</t>
        </is>
      </c>
      <c r="D869" s="3" t="inlineStr">
        <is>
          <t>S41</t>
        </is>
      </c>
      <c r="E869" s="3" t="inlineStr">
        <is>
          <t>Bloqueia até aceite; sequência conservadora dentro do sprint</t>
        </is>
      </c>
    </row>
    <row r="870" ht="28" customHeight="1">
      <c r="A870" s="3" t="inlineStr">
        <is>
          <t>SL-S41-07</t>
        </is>
      </c>
      <c r="B870" s="3" t="inlineStr">
        <is>
          <t>SL-S41-GATE</t>
        </is>
      </c>
      <c r="C870" s="3" t="inlineStr">
        <is>
          <t>S41</t>
        </is>
      </c>
      <c r="D870" s="3" t="inlineStr">
        <is>
          <t>S41</t>
        </is>
      </c>
      <c r="E870" s="3" t="inlineStr">
        <is>
          <t>Bloqueia até aceite; sequência conservadora dentro do sprint</t>
        </is>
      </c>
    </row>
    <row r="871" ht="28" customHeight="1">
      <c r="A871" s="3" t="inlineStr">
        <is>
          <t>SL-S41-08</t>
        </is>
      </c>
      <c r="B871" s="3" t="inlineStr">
        <is>
          <t>SL-S41-GATE</t>
        </is>
      </c>
      <c r="C871" s="3" t="inlineStr">
        <is>
          <t>S41</t>
        </is>
      </c>
      <c r="D871" s="3" t="inlineStr">
        <is>
          <t>S41</t>
        </is>
      </c>
      <c r="E871" s="3" t="inlineStr">
        <is>
          <t>Bloqueia até aceite; sequência conservadora dentro do sprint</t>
        </is>
      </c>
    </row>
    <row r="872" ht="28" customHeight="1">
      <c r="A872" s="3" t="inlineStr">
        <is>
          <t>SL-S41-09</t>
        </is>
      </c>
      <c r="B872" s="3" t="inlineStr">
        <is>
          <t>SL-S41-GATE</t>
        </is>
      </c>
      <c r="C872" s="3" t="inlineStr">
        <is>
          <t>S41</t>
        </is>
      </c>
      <c r="D872" s="3" t="inlineStr">
        <is>
          <t>S41</t>
        </is>
      </c>
      <c r="E872" s="3" t="inlineStr">
        <is>
          <t>Bloqueia até aceite; sequência conservadora dentro do sprint</t>
        </is>
      </c>
    </row>
    <row r="873" ht="28" customHeight="1">
      <c r="A873" s="3" t="inlineStr">
        <is>
          <t>SL-S41-10</t>
        </is>
      </c>
      <c r="B873" s="3" t="inlineStr">
        <is>
          <t>SL-S41-GATE</t>
        </is>
      </c>
      <c r="C873" s="3" t="inlineStr">
        <is>
          <t>S41</t>
        </is>
      </c>
      <c r="D873" s="3" t="inlineStr">
        <is>
          <t>S41</t>
        </is>
      </c>
      <c r="E873" s="3" t="inlineStr">
        <is>
          <t>Bloqueia até aceite; sequência conservadora dentro do sprint</t>
        </is>
      </c>
    </row>
    <row r="874" ht="28" customHeight="1">
      <c r="A874" s="3" t="inlineStr">
        <is>
          <t>SL-S03-GATE</t>
        </is>
      </c>
      <c r="B874" s="3" t="inlineStr">
        <is>
          <t>SL-S42-01</t>
        </is>
      </c>
      <c r="C874" s="3" t="inlineStr">
        <is>
          <t>S03</t>
        </is>
      </c>
      <c r="D874" s="3" t="inlineStr">
        <is>
          <t>S42</t>
        </is>
      </c>
      <c r="E874" s="3" t="inlineStr">
        <is>
          <t>Bloqueia até aceite; sequência conservadora dentro do sprint</t>
        </is>
      </c>
    </row>
    <row r="875" ht="28" customHeight="1">
      <c r="A875" s="3" t="inlineStr">
        <is>
          <t>SL-S23-GATE</t>
        </is>
      </c>
      <c r="B875" s="3" t="inlineStr">
        <is>
          <t>SL-S42-01</t>
        </is>
      </c>
      <c r="C875" s="3" t="inlineStr">
        <is>
          <t>S23</t>
        </is>
      </c>
      <c r="D875" s="3" t="inlineStr">
        <is>
          <t>S42</t>
        </is>
      </c>
      <c r="E875" s="3" t="inlineStr">
        <is>
          <t>Bloqueia até aceite; sequência conservadora dentro do sprint</t>
        </is>
      </c>
    </row>
    <row r="876" ht="28" customHeight="1">
      <c r="A876" s="3" t="inlineStr">
        <is>
          <t>SL-S32-GATE</t>
        </is>
      </c>
      <c r="B876" s="3" t="inlineStr">
        <is>
          <t>SL-S42-01</t>
        </is>
      </c>
      <c r="C876" s="3" t="inlineStr">
        <is>
          <t>S32</t>
        </is>
      </c>
      <c r="D876" s="3" t="inlineStr">
        <is>
          <t>S42</t>
        </is>
      </c>
      <c r="E876" s="3" t="inlineStr">
        <is>
          <t>Bloqueia até aceite; sequência conservadora dentro do sprint</t>
        </is>
      </c>
    </row>
    <row r="877" ht="28" customHeight="1">
      <c r="A877" s="3" t="inlineStr">
        <is>
          <t>SL-S41-GATE</t>
        </is>
      </c>
      <c r="B877" s="3" t="inlineStr">
        <is>
          <t>SL-S42-01</t>
        </is>
      </c>
      <c r="C877" s="3" t="inlineStr">
        <is>
          <t>S41</t>
        </is>
      </c>
      <c r="D877" s="3" t="inlineStr">
        <is>
          <t>S42</t>
        </is>
      </c>
      <c r="E877" s="3" t="inlineStr">
        <is>
          <t>Bloqueia até aceite; sequência conservadora dentro do sprint</t>
        </is>
      </c>
    </row>
    <row r="878" ht="28" customHeight="1">
      <c r="A878" s="3" t="inlineStr">
        <is>
          <t>SL-S42-01</t>
        </is>
      </c>
      <c r="B878" s="3" t="inlineStr">
        <is>
          <t>SL-S42-02</t>
        </is>
      </c>
      <c r="C878" s="3" t="inlineStr">
        <is>
          <t>S42</t>
        </is>
      </c>
      <c r="D878" s="3" t="inlineStr">
        <is>
          <t>S42</t>
        </is>
      </c>
      <c r="E878" s="3" t="inlineStr">
        <is>
          <t>Bloqueia até aceite; sequência conservadora dentro do sprint</t>
        </is>
      </c>
    </row>
    <row r="879" ht="28" customHeight="1">
      <c r="A879" s="3" t="inlineStr">
        <is>
          <t>SL-S42-02</t>
        </is>
      </c>
      <c r="B879" s="3" t="inlineStr">
        <is>
          <t>SL-S42-03</t>
        </is>
      </c>
      <c r="C879" s="3" t="inlineStr">
        <is>
          <t>S42</t>
        </is>
      </c>
      <c r="D879" s="3" t="inlineStr">
        <is>
          <t>S42</t>
        </is>
      </c>
      <c r="E879" s="3" t="inlineStr">
        <is>
          <t>Bloqueia até aceite; sequência conservadora dentro do sprint</t>
        </is>
      </c>
    </row>
    <row r="880" ht="28" customHeight="1">
      <c r="A880" s="3" t="inlineStr">
        <is>
          <t>SL-S42-03</t>
        </is>
      </c>
      <c r="B880" s="3" t="inlineStr">
        <is>
          <t>SL-S42-04</t>
        </is>
      </c>
      <c r="C880" s="3" t="inlineStr">
        <is>
          <t>S42</t>
        </is>
      </c>
      <c r="D880" s="3" t="inlineStr">
        <is>
          <t>S42</t>
        </is>
      </c>
      <c r="E880" s="3" t="inlineStr">
        <is>
          <t>Bloqueia até aceite; sequência conservadora dentro do sprint</t>
        </is>
      </c>
    </row>
    <row r="881" ht="28" customHeight="1">
      <c r="A881" s="3" t="inlineStr">
        <is>
          <t>SL-S42-04</t>
        </is>
      </c>
      <c r="B881" s="3" t="inlineStr">
        <is>
          <t>SL-S42-05</t>
        </is>
      </c>
      <c r="C881" s="3" t="inlineStr">
        <is>
          <t>S42</t>
        </is>
      </c>
      <c r="D881" s="3" t="inlineStr">
        <is>
          <t>S42</t>
        </is>
      </c>
      <c r="E881" s="3" t="inlineStr">
        <is>
          <t>Bloqueia até aceite; sequência conservadora dentro do sprint</t>
        </is>
      </c>
    </row>
    <row r="882" ht="28" customHeight="1">
      <c r="A882" s="3" t="inlineStr">
        <is>
          <t>SL-S42-05</t>
        </is>
      </c>
      <c r="B882" s="3" t="inlineStr">
        <is>
          <t>SL-S42-06</t>
        </is>
      </c>
      <c r="C882" s="3" t="inlineStr">
        <is>
          <t>S42</t>
        </is>
      </c>
      <c r="D882" s="3" t="inlineStr">
        <is>
          <t>S42</t>
        </is>
      </c>
      <c r="E882" s="3" t="inlineStr">
        <is>
          <t>Bloqueia até aceite; sequência conservadora dentro do sprint</t>
        </is>
      </c>
    </row>
    <row r="883" ht="28" customHeight="1">
      <c r="A883" s="3" t="inlineStr">
        <is>
          <t>SL-S42-06</t>
        </is>
      </c>
      <c r="B883" s="3" t="inlineStr">
        <is>
          <t>SL-S42-07</t>
        </is>
      </c>
      <c r="C883" s="3" t="inlineStr">
        <is>
          <t>S42</t>
        </is>
      </c>
      <c r="D883" s="3" t="inlineStr">
        <is>
          <t>S42</t>
        </is>
      </c>
      <c r="E883" s="3" t="inlineStr">
        <is>
          <t>Bloqueia até aceite; sequência conservadora dentro do sprint</t>
        </is>
      </c>
    </row>
    <row r="884" ht="28" customHeight="1">
      <c r="A884" s="3" t="inlineStr">
        <is>
          <t>SL-S42-07</t>
        </is>
      </c>
      <c r="B884" s="3" t="inlineStr">
        <is>
          <t>SL-S42-08</t>
        </is>
      </c>
      <c r="C884" s="3" t="inlineStr">
        <is>
          <t>S42</t>
        </is>
      </c>
      <c r="D884" s="3" t="inlineStr">
        <is>
          <t>S42</t>
        </is>
      </c>
      <c r="E884" s="3" t="inlineStr">
        <is>
          <t>Bloqueia até aceite; sequência conservadora dentro do sprint</t>
        </is>
      </c>
    </row>
    <row r="885" ht="28" customHeight="1">
      <c r="A885" s="3" t="inlineStr">
        <is>
          <t>SL-S42-08</t>
        </is>
      </c>
      <c r="B885" s="3" t="inlineStr">
        <is>
          <t>SL-S42-09</t>
        </is>
      </c>
      <c r="C885" s="3" t="inlineStr">
        <is>
          <t>S42</t>
        </is>
      </c>
      <c r="D885" s="3" t="inlineStr">
        <is>
          <t>S42</t>
        </is>
      </c>
      <c r="E885" s="3" t="inlineStr">
        <is>
          <t>Bloqueia até aceite; sequência conservadora dentro do sprint</t>
        </is>
      </c>
    </row>
    <row r="886" ht="28" customHeight="1">
      <c r="A886" s="3" t="inlineStr">
        <is>
          <t>SL-S42-09</t>
        </is>
      </c>
      <c r="B886" s="3" t="inlineStr">
        <is>
          <t>SL-S42-10</t>
        </is>
      </c>
      <c r="C886" s="3" t="inlineStr">
        <is>
          <t>S42</t>
        </is>
      </c>
      <c r="D886" s="3" t="inlineStr">
        <is>
          <t>S42</t>
        </is>
      </c>
      <c r="E886" s="3" t="inlineStr">
        <is>
          <t>Bloqueia até aceite; sequência conservadora dentro do sprint</t>
        </is>
      </c>
    </row>
    <row r="887" ht="28" customHeight="1">
      <c r="A887" s="3" t="inlineStr">
        <is>
          <t>SL-S42-01</t>
        </is>
      </c>
      <c r="B887" s="3" t="inlineStr">
        <is>
          <t>SL-S42-GATE</t>
        </is>
      </c>
      <c r="C887" s="3" t="inlineStr">
        <is>
          <t>S42</t>
        </is>
      </c>
      <c r="D887" s="3" t="inlineStr">
        <is>
          <t>S42</t>
        </is>
      </c>
      <c r="E887" s="3" t="inlineStr">
        <is>
          <t>Bloqueia até aceite; sequência conservadora dentro do sprint</t>
        </is>
      </c>
    </row>
    <row r="888" ht="28" customHeight="1">
      <c r="A888" s="3" t="inlineStr">
        <is>
          <t>SL-S42-02</t>
        </is>
      </c>
      <c r="B888" s="3" t="inlineStr">
        <is>
          <t>SL-S42-GATE</t>
        </is>
      </c>
      <c r="C888" s="3" t="inlineStr">
        <is>
          <t>S42</t>
        </is>
      </c>
      <c r="D888" s="3" t="inlineStr">
        <is>
          <t>S42</t>
        </is>
      </c>
      <c r="E888" s="3" t="inlineStr">
        <is>
          <t>Bloqueia até aceite; sequência conservadora dentro do sprint</t>
        </is>
      </c>
    </row>
    <row r="889" ht="28" customHeight="1">
      <c r="A889" s="3" t="inlineStr">
        <is>
          <t>SL-S42-03</t>
        </is>
      </c>
      <c r="B889" s="3" t="inlineStr">
        <is>
          <t>SL-S42-GATE</t>
        </is>
      </c>
      <c r="C889" s="3" t="inlineStr">
        <is>
          <t>S42</t>
        </is>
      </c>
      <c r="D889" s="3" t="inlineStr">
        <is>
          <t>S42</t>
        </is>
      </c>
      <c r="E889" s="3" t="inlineStr">
        <is>
          <t>Bloqueia até aceite; sequência conservadora dentro do sprint</t>
        </is>
      </c>
    </row>
    <row r="890" ht="28" customHeight="1">
      <c r="A890" s="3" t="inlineStr">
        <is>
          <t>SL-S42-04</t>
        </is>
      </c>
      <c r="B890" s="3" t="inlineStr">
        <is>
          <t>SL-S42-GATE</t>
        </is>
      </c>
      <c r="C890" s="3" t="inlineStr">
        <is>
          <t>S42</t>
        </is>
      </c>
      <c r="D890" s="3" t="inlineStr">
        <is>
          <t>S42</t>
        </is>
      </c>
      <c r="E890" s="3" t="inlineStr">
        <is>
          <t>Bloqueia até aceite; sequência conservadora dentro do sprint</t>
        </is>
      </c>
    </row>
    <row r="891" ht="28" customHeight="1">
      <c r="A891" s="3" t="inlineStr">
        <is>
          <t>SL-S42-05</t>
        </is>
      </c>
      <c r="B891" s="3" t="inlineStr">
        <is>
          <t>SL-S42-GATE</t>
        </is>
      </c>
      <c r="C891" s="3" t="inlineStr">
        <is>
          <t>S42</t>
        </is>
      </c>
      <c r="D891" s="3" t="inlineStr">
        <is>
          <t>S42</t>
        </is>
      </c>
      <c r="E891" s="3" t="inlineStr">
        <is>
          <t>Bloqueia até aceite; sequência conservadora dentro do sprint</t>
        </is>
      </c>
    </row>
    <row r="892" ht="28" customHeight="1">
      <c r="A892" s="3" t="inlineStr">
        <is>
          <t>SL-S42-06</t>
        </is>
      </c>
      <c r="B892" s="3" t="inlineStr">
        <is>
          <t>SL-S42-GATE</t>
        </is>
      </c>
      <c r="C892" s="3" t="inlineStr">
        <is>
          <t>S42</t>
        </is>
      </c>
      <c r="D892" s="3" t="inlineStr">
        <is>
          <t>S42</t>
        </is>
      </c>
      <c r="E892" s="3" t="inlineStr">
        <is>
          <t>Bloqueia até aceite; sequência conservadora dentro do sprint</t>
        </is>
      </c>
    </row>
    <row r="893" ht="28" customHeight="1">
      <c r="A893" s="3" t="inlineStr">
        <is>
          <t>SL-S42-07</t>
        </is>
      </c>
      <c r="B893" s="3" t="inlineStr">
        <is>
          <t>SL-S42-GATE</t>
        </is>
      </c>
      <c r="C893" s="3" t="inlineStr">
        <is>
          <t>S42</t>
        </is>
      </c>
      <c r="D893" s="3" t="inlineStr">
        <is>
          <t>S42</t>
        </is>
      </c>
      <c r="E893" s="3" t="inlineStr">
        <is>
          <t>Bloqueia até aceite; sequência conservadora dentro do sprint</t>
        </is>
      </c>
    </row>
    <row r="894" ht="28" customHeight="1">
      <c r="A894" s="3" t="inlineStr">
        <is>
          <t>SL-S42-08</t>
        </is>
      </c>
      <c r="B894" s="3" t="inlineStr">
        <is>
          <t>SL-S42-GATE</t>
        </is>
      </c>
      <c r="C894" s="3" t="inlineStr">
        <is>
          <t>S42</t>
        </is>
      </c>
      <c r="D894" s="3" t="inlineStr">
        <is>
          <t>S42</t>
        </is>
      </c>
      <c r="E894" s="3" t="inlineStr">
        <is>
          <t>Bloqueia até aceite; sequência conservadora dentro do sprint</t>
        </is>
      </c>
    </row>
    <row r="895" ht="28" customHeight="1">
      <c r="A895" s="3" t="inlineStr">
        <is>
          <t>SL-S42-09</t>
        </is>
      </c>
      <c r="B895" s="3" t="inlineStr">
        <is>
          <t>SL-S42-GATE</t>
        </is>
      </c>
      <c r="C895" s="3" t="inlineStr">
        <is>
          <t>S42</t>
        </is>
      </c>
      <c r="D895" s="3" t="inlineStr">
        <is>
          <t>S42</t>
        </is>
      </c>
      <c r="E895" s="3" t="inlineStr">
        <is>
          <t>Bloqueia até aceite; sequência conservadora dentro do sprint</t>
        </is>
      </c>
    </row>
    <row r="896" ht="28" customHeight="1">
      <c r="A896" s="3" t="inlineStr">
        <is>
          <t>SL-S42-10</t>
        </is>
      </c>
      <c r="B896" s="3" t="inlineStr">
        <is>
          <t>SL-S42-GATE</t>
        </is>
      </c>
      <c r="C896" s="3" t="inlineStr">
        <is>
          <t>S42</t>
        </is>
      </c>
      <c r="D896" s="3" t="inlineStr">
        <is>
          <t>S42</t>
        </is>
      </c>
      <c r="E896" s="3" t="inlineStr">
        <is>
          <t>Bloqueia até aceite; sequência conservadora dentro do sprint</t>
        </is>
      </c>
    </row>
    <row r="897" ht="28" customHeight="1">
      <c r="A897" s="3" t="inlineStr">
        <is>
          <t>SL-S17-GATE</t>
        </is>
      </c>
      <c r="B897" s="3" t="inlineStr">
        <is>
          <t>SL-S43-01</t>
        </is>
      </c>
      <c r="C897" s="3" t="inlineStr">
        <is>
          <t>S17</t>
        </is>
      </c>
      <c r="D897" s="3" t="inlineStr">
        <is>
          <t>S43</t>
        </is>
      </c>
      <c r="E897" s="3" t="inlineStr">
        <is>
          <t>Bloqueia até aceite; sequência conservadora dentro do sprint</t>
        </is>
      </c>
    </row>
    <row r="898" ht="28" customHeight="1">
      <c r="A898" s="3" t="inlineStr">
        <is>
          <t>SL-S42-GATE</t>
        </is>
      </c>
      <c r="B898" s="3" t="inlineStr">
        <is>
          <t>SL-S43-01</t>
        </is>
      </c>
      <c r="C898" s="3" t="inlineStr">
        <is>
          <t>S42</t>
        </is>
      </c>
      <c r="D898" s="3" t="inlineStr">
        <is>
          <t>S43</t>
        </is>
      </c>
      <c r="E898" s="3" t="inlineStr">
        <is>
          <t>Bloqueia até aceite; sequência conservadora dentro do sprint</t>
        </is>
      </c>
    </row>
    <row r="899" ht="28" customHeight="1">
      <c r="A899" s="3" t="inlineStr">
        <is>
          <t>SL-S43-01</t>
        </is>
      </c>
      <c r="B899" s="3" t="inlineStr">
        <is>
          <t>SL-S43-02</t>
        </is>
      </c>
      <c r="C899" s="3" t="inlineStr">
        <is>
          <t>S43</t>
        </is>
      </c>
      <c r="D899" s="3" t="inlineStr">
        <is>
          <t>S43</t>
        </is>
      </c>
      <c r="E899" s="3" t="inlineStr">
        <is>
          <t>Bloqueia até aceite; sequência conservadora dentro do sprint</t>
        </is>
      </c>
    </row>
    <row r="900" ht="28" customHeight="1">
      <c r="A900" s="3" t="inlineStr">
        <is>
          <t>SL-S43-02</t>
        </is>
      </c>
      <c r="B900" s="3" t="inlineStr">
        <is>
          <t>SL-S43-03</t>
        </is>
      </c>
      <c r="C900" s="3" t="inlineStr">
        <is>
          <t>S43</t>
        </is>
      </c>
      <c r="D900" s="3" t="inlineStr">
        <is>
          <t>S43</t>
        </is>
      </c>
      <c r="E900" s="3" t="inlineStr">
        <is>
          <t>Bloqueia até aceite; sequência conservadora dentro do sprint</t>
        </is>
      </c>
    </row>
    <row r="901" ht="28" customHeight="1">
      <c r="A901" s="3" t="inlineStr">
        <is>
          <t>SL-S43-03</t>
        </is>
      </c>
      <c r="B901" s="3" t="inlineStr">
        <is>
          <t>SL-S43-04</t>
        </is>
      </c>
      <c r="C901" s="3" t="inlineStr">
        <is>
          <t>S43</t>
        </is>
      </c>
      <c r="D901" s="3" t="inlineStr">
        <is>
          <t>S43</t>
        </is>
      </c>
      <c r="E901" s="3" t="inlineStr">
        <is>
          <t>Bloqueia até aceite; sequência conservadora dentro do sprint</t>
        </is>
      </c>
    </row>
    <row r="902" ht="28" customHeight="1">
      <c r="A902" s="3" t="inlineStr">
        <is>
          <t>SL-S43-04</t>
        </is>
      </c>
      <c r="B902" s="3" t="inlineStr">
        <is>
          <t>SL-S43-05</t>
        </is>
      </c>
      <c r="C902" s="3" t="inlineStr">
        <is>
          <t>S43</t>
        </is>
      </c>
      <c r="D902" s="3" t="inlineStr">
        <is>
          <t>S43</t>
        </is>
      </c>
      <c r="E902" s="3" t="inlineStr">
        <is>
          <t>Bloqueia até aceite; sequência conservadora dentro do sprint</t>
        </is>
      </c>
    </row>
    <row r="903" ht="28" customHeight="1">
      <c r="A903" s="3" t="inlineStr">
        <is>
          <t>SL-S43-05</t>
        </is>
      </c>
      <c r="B903" s="3" t="inlineStr">
        <is>
          <t>SL-S43-06</t>
        </is>
      </c>
      <c r="C903" s="3" t="inlineStr">
        <is>
          <t>S43</t>
        </is>
      </c>
      <c r="D903" s="3" t="inlineStr">
        <is>
          <t>S43</t>
        </is>
      </c>
      <c r="E903" s="3" t="inlineStr">
        <is>
          <t>Bloqueia até aceite; sequência conservadora dentro do sprint</t>
        </is>
      </c>
    </row>
    <row r="904" ht="28" customHeight="1">
      <c r="A904" s="3" t="inlineStr">
        <is>
          <t>SL-S43-06</t>
        </is>
      </c>
      <c r="B904" s="3" t="inlineStr">
        <is>
          <t>SL-S43-07</t>
        </is>
      </c>
      <c r="C904" s="3" t="inlineStr">
        <is>
          <t>S43</t>
        </is>
      </c>
      <c r="D904" s="3" t="inlineStr">
        <is>
          <t>S43</t>
        </is>
      </c>
      <c r="E904" s="3" t="inlineStr">
        <is>
          <t>Bloqueia até aceite; sequência conservadora dentro do sprint</t>
        </is>
      </c>
    </row>
    <row r="905" ht="28" customHeight="1">
      <c r="A905" s="3" t="inlineStr">
        <is>
          <t>SL-S43-07</t>
        </is>
      </c>
      <c r="B905" s="3" t="inlineStr">
        <is>
          <t>SL-S43-08</t>
        </is>
      </c>
      <c r="C905" s="3" t="inlineStr">
        <is>
          <t>S43</t>
        </is>
      </c>
      <c r="D905" s="3" t="inlineStr">
        <is>
          <t>S43</t>
        </is>
      </c>
      <c r="E905" s="3" t="inlineStr">
        <is>
          <t>Bloqueia até aceite; sequência conservadora dentro do sprint</t>
        </is>
      </c>
    </row>
    <row r="906" ht="28" customHeight="1">
      <c r="A906" s="3" t="inlineStr">
        <is>
          <t>SL-S43-08</t>
        </is>
      </c>
      <c r="B906" s="3" t="inlineStr">
        <is>
          <t>SL-S43-09</t>
        </is>
      </c>
      <c r="C906" s="3" t="inlineStr">
        <is>
          <t>S43</t>
        </is>
      </c>
      <c r="D906" s="3" t="inlineStr">
        <is>
          <t>S43</t>
        </is>
      </c>
      <c r="E906" s="3" t="inlineStr">
        <is>
          <t>Bloqueia até aceite; sequência conservadora dentro do sprint</t>
        </is>
      </c>
    </row>
    <row r="907" ht="28" customHeight="1">
      <c r="A907" s="3" t="inlineStr">
        <is>
          <t>SL-S43-09</t>
        </is>
      </c>
      <c r="B907" s="3" t="inlineStr">
        <is>
          <t>SL-S43-10</t>
        </is>
      </c>
      <c r="C907" s="3" t="inlineStr">
        <is>
          <t>S43</t>
        </is>
      </c>
      <c r="D907" s="3" t="inlineStr">
        <is>
          <t>S43</t>
        </is>
      </c>
      <c r="E907" s="3" t="inlineStr">
        <is>
          <t>Bloqueia até aceite; sequência conservadora dentro do sprint</t>
        </is>
      </c>
    </row>
    <row r="908" ht="28" customHeight="1">
      <c r="A908" s="3" t="inlineStr">
        <is>
          <t>SL-S43-01</t>
        </is>
      </c>
      <c r="B908" s="3" t="inlineStr">
        <is>
          <t>SL-S43-GATE</t>
        </is>
      </c>
      <c r="C908" s="3" t="inlineStr">
        <is>
          <t>S43</t>
        </is>
      </c>
      <c r="D908" s="3" t="inlineStr">
        <is>
          <t>S43</t>
        </is>
      </c>
      <c r="E908" s="3" t="inlineStr">
        <is>
          <t>Bloqueia até aceite; sequência conservadora dentro do sprint</t>
        </is>
      </c>
    </row>
    <row r="909" ht="28" customHeight="1">
      <c r="A909" s="3" t="inlineStr">
        <is>
          <t>SL-S43-02</t>
        </is>
      </c>
      <c r="B909" s="3" t="inlineStr">
        <is>
          <t>SL-S43-GATE</t>
        </is>
      </c>
      <c r="C909" s="3" t="inlineStr">
        <is>
          <t>S43</t>
        </is>
      </c>
      <c r="D909" s="3" t="inlineStr">
        <is>
          <t>S43</t>
        </is>
      </c>
      <c r="E909" s="3" t="inlineStr">
        <is>
          <t>Bloqueia até aceite; sequência conservadora dentro do sprint</t>
        </is>
      </c>
    </row>
    <row r="910" ht="28" customHeight="1">
      <c r="A910" s="3" t="inlineStr">
        <is>
          <t>SL-S43-03</t>
        </is>
      </c>
      <c r="B910" s="3" t="inlineStr">
        <is>
          <t>SL-S43-GATE</t>
        </is>
      </c>
      <c r="C910" s="3" t="inlineStr">
        <is>
          <t>S43</t>
        </is>
      </c>
      <c r="D910" s="3" t="inlineStr">
        <is>
          <t>S43</t>
        </is>
      </c>
      <c r="E910" s="3" t="inlineStr">
        <is>
          <t>Bloqueia até aceite; sequência conservadora dentro do sprint</t>
        </is>
      </c>
    </row>
    <row r="911" ht="28" customHeight="1">
      <c r="A911" s="3" t="inlineStr">
        <is>
          <t>SL-S43-04</t>
        </is>
      </c>
      <c r="B911" s="3" t="inlineStr">
        <is>
          <t>SL-S43-GATE</t>
        </is>
      </c>
      <c r="C911" s="3" t="inlineStr">
        <is>
          <t>S43</t>
        </is>
      </c>
      <c r="D911" s="3" t="inlineStr">
        <is>
          <t>S43</t>
        </is>
      </c>
      <c r="E911" s="3" t="inlineStr">
        <is>
          <t>Bloqueia até aceite; sequência conservadora dentro do sprint</t>
        </is>
      </c>
    </row>
    <row r="912" ht="28" customHeight="1">
      <c r="A912" s="3" t="inlineStr">
        <is>
          <t>SL-S43-05</t>
        </is>
      </c>
      <c r="B912" s="3" t="inlineStr">
        <is>
          <t>SL-S43-GATE</t>
        </is>
      </c>
      <c r="C912" s="3" t="inlineStr">
        <is>
          <t>S43</t>
        </is>
      </c>
      <c r="D912" s="3" t="inlineStr">
        <is>
          <t>S43</t>
        </is>
      </c>
      <c r="E912" s="3" t="inlineStr">
        <is>
          <t>Bloqueia até aceite; sequência conservadora dentro do sprint</t>
        </is>
      </c>
    </row>
    <row r="913" ht="28" customHeight="1">
      <c r="A913" s="3" t="inlineStr">
        <is>
          <t>SL-S43-06</t>
        </is>
      </c>
      <c r="B913" s="3" t="inlineStr">
        <is>
          <t>SL-S43-GATE</t>
        </is>
      </c>
      <c r="C913" s="3" t="inlineStr">
        <is>
          <t>S43</t>
        </is>
      </c>
      <c r="D913" s="3" t="inlineStr">
        <is>
          <t>S43</t>
        </is>
      </c>
      <c r="E913" s="3" t="inlineStr">
        <is>
          <t>Bloqueia até aceite; sequência conservadora dentro do sprint</t>
        </is>
      </c>
    </row>
    <row r="914" ht="28" customHeight="1">
      <c r="A914" s="3" t="inlineStr">
        <is>
          <t>SL-S43-07</t>
        </is>
      </c>
      <c r="B914" s="3" t="inlineStr">
        <is>
          <t>SL-S43-GATE</t>
        </is>
      </c>
      <c r="C914" s="3" t="inlineStr">
        <is>
          <t>S43</t>
        </is>
      </c>
      <c r="D914" s="3" t="inlineStr">
        <is>
          <t>S43</t>
        </is>
      </c>
      <c r="E914" s="3" t="inlineStr">
        <is>
          <t>Bloqueia até aceite; sequência conservadora dentro do sprint</t>
        </is>
      </c>
    </row>
    <row r="915" ht="28" customHeight="1">
      <c r="A915" s="3" t="inlineStr">
        <is>
          <t>SL-S43-08</t>
        </is>
      </c>
      <c r="B915" s="3" t="inlineStr">
        <is>
          <t>SL-S43-GATE</t>
        </is>
      </c>
      <c r="C915" s="3" t="inlineStr">
        <is>
          <t>S43</t>
        </is>
      </c>
      <c r="D915" s="3" t="inlineStr">
        <is>
          <t>S43</t>
        </is>
      </c>
      <c r="E915" s="3" t="inlineStr">
        <is>
          <t>Bloqueia até aceite; sequência conservadora dentro do sprint</t>
        </is>
      </c>
    </row>
    <row r="916" ht="28" customHeight="1">
      <c r="A916" s="3" t="inlineStr">
        <is>
          <t>SL-S43-09</t>
        </is>
      </c>
      <c r="B916" s="3" t="inlineStr">
        <is>
          <t>SL-S43-GATE</t>
        </is>
      </c>
      <c r="C916" s="3" t="inlineStr">
        <is>
          <t>S43</t>
        </is>
      </c>
      <c r="D916" s="3" t="inlineStr">
        <is>
          <t>S43</t>
        </is>
      </c>
      <c r="E916" s="3" t="inlineStr">
        <is>
          <t>Bloqueia até aceite; sequência conservadora dentro do sprint</t>
        </is>
      </c>
    </row>
    <row r="917" ht="28" customHeight="1">
      <c r="A917" s="3" t="inlineStr">
        <is>
          <t>SL-S43-10</t>
        </is>
      </c>
      <c r="B917" s="3" t="inlineStr">
        <is>
          <t>SL-S43-GATE</t>
        </is>
      </c>
      <c r="C917" s="3" t="inlineStr">
        <is>
          <t>S43</t>
        </is>
      </c>
      <c r="D917" s="3" t="inlineStr">
        <is>
          <t>S43</t>
        </is>
      </c>
      <c r="E917" s="3" t="inlineStr">
        <is>
          <t>Bloqueia até aceite; sequência conservadora dentro do sprint</t>
        </is>
      </c>
    </row>
    <row r="918" ht="28" customHeight="1">
      <c r="A918" s="3" t="inlineStr">
        <is>
          <t>SL-S09-GATE</t>
        </is>
      </c>
      <c r="B918" s="3" t="inlineStr">
        <is>
          <t>SL-S44-01</t>
        </is>
      </c>
      <c r="C918" s="3" t="inlineStr">
        <is>
          <t>S09</t>
        </is>
      </c>
      <c r="D918" s="3" t="inlineStr">
        <is>
          <t>S44</t>
        </is>
      </c>
      <c r="E918" s="3" t="inlineStr">
        <is>
          <t>Bloqueia até aceite; sequência conservadora dentro do sprint</t>
        </is>
      </c>
    </row>
    <row r="919" ht="28" customHeight="1">
      <c r="A919" s="3" t="inlineStr">
        <is>
          <t>SL-S26-GATE</t>
        </is>
      </c>
      <c r="B919" s="3" t="inlineStr">
        <is>
          <t>SL-S44-01</t>
        </is>
      </c>
      <c r="C919" s="3" t="inlineStr">
        <is>
          <t>S26</t>
        </is>
      </c>
      <c r="D919" s="3" t="inlineStr">
        <is>
          <t>S44</t>
        </is>
      </c>
      <c r="E919" s="3" t="inlineStr">
        <is>
          <t>Bloqueia até aceite; sequência conservadora dentro do sprint</t>
        </is>
      </c>
    </row>
    <row r="920" ht="28" customHeight="1">
      <c r="A920" s="3" t="inlineStr">
        <is>
          <t>SL-S43-GATE</t>
        </is>
      </c>
      <c r="B920" s="3" t="inlineStr">
        <is>
          <t>SL-S44-01</t>
        </is>
      </c>
      <c r="C920" s="3" t="inlineStr">
        <is>
          <t>S43</t>
        </is>
      </c>
      <c r="D920" s="3" t="inlineStr">
        <is>
          <t>S44</t>
        </is>
      </c>
      <c r="E920" s="3" t="inlineStr">
        <is>
          <t>Bloqueia até aceite; sequência conservadora dentro do sprint</t>
        </is>
      </c>
    </row>
    <row r="921" ht="28" customHeight="1">
      <c r="A921" s="3" t="inlineStr">
        <is>
          <t>SL-S44-01</t>
        </is>
      </c>
      <c r="B921" s="3" t="inlineStr">
        <is>
          <t>SL-S44-02</t>
        </is>
      </c>
      <c r="C921" s="3" t="inlineStr">
        <is>
          <t>S44</t>
        </is>
      </c>
      <c r="D921" s="3" t="inlineStr">
        <is>
          <t>S44</t>
        </is>
      </c>
      <c r="E921" s="3" t="inlineStr">
        <is>
          <t>Bloqueia até aceite; sequência conservadora dentro do sprint</t>
        </is>
      </c>
    </row>
    <row r="922" ht="28" customHeight="1">
      <c r="A922" s="3" t="inlineStr">
        <is>
          <t>SL-S44-02</t>
        </is>
      </c>
      <c r="B922" s="3" t="inlineStr">
        <is>
          <t>SL-S44-03</t>
        </is>
      </c>
      <c r="C922" s="3" t="inlineStr">
        <is>
          <t>S44</t>
        </is>
      </c>
      <c r="D922" s="3" t="inlineStr">
        <is>
          <t>S44</t>
        </is>
      </c>
      <c r="E922" s="3" t="inlineStr">
        <is>
          <t>Bloqueia até aceite; sequência conservadora dentro do sprint</t>
        </is>
      </c>
    </row>
    <row r="923" ht="28" customHeight="1">
      <c r="A923" s="3" t="inlineStr">
        <is>
          <t>SL-S44-03</t>
        </is>
      </c>
      <c r="B923" s="3" t="inlineStr">
        <is>
          <t>SL-S44-04</t>
        </is>
      </c>
      <c r="C923" s="3" t="inlineStr">
        <is>
          <t>S44</t>
        </is>
      </c>
      <c r="D923" s="3" t="inlineStr">
        <is>
          <t>S44</t>
        </is>
      </c>
      <c r="E923" s="3" t="inlineStr">
        <is>
          <t>Bloqueia até aceite; sequência conservadora dentro do sprint</t>
        </is>
      </c>
    </row>
    <row r="924" ht="28" customHeight="1">
      <c r="A924" s="3" t="inlineStr">
        <is>
          <t>SL-S44-04</t>
        </is>
      </c>
      <c r="B924" s="3" t="inlineStr">
        <is>
          <t>SL-S44-05</t>
        </is>
      </c>
      <c r="C924" s="3" t="inlineStr">
        <is>
          <t>S44</t>
        </is>
      </c>
      <c r="D924" s="3" t="inlineStr">
        <is>
          <t>S44</t>
        </is>
      </c>
      <c r="E924" s="3" t="inlineStr">
        <is>
          <t>Bloqueia até aceite; sequência conservadora dentro do sprint</t>
        </is>
      </c>
    </row>
    <row r="925" ht="28" customHeight="1">
      <c r="A925" s="3" t="inlineStr">
        <is>
          <t>SL-S44-05</t>
        </is>
      </c>
      <c r="B925" s="3" t="inlineStr">
        <is>
          <t>SL-S44-06</t>
        </is>
      </c>
      <c r="C925" s="3" t="inlineStr">
        <is>
          <t>S44</t>
        </is>
      </c>
      <c r="D925" s="3" t="inlineStr">
        <is>
          <t>S44</t>
        </is>
      </c>
      <c r="E925" s="3" t="inlineStr">
        <is>
          <t>Bloqueia até aceite; sequência conservadora dentro do sprint</t>
        </is>
      </c>
    </row>
    <row r="926" ht="28" customHeight="1">
      <c r="A926" s="3" t="inlineStr">
        <is>
          <t>SL-S44-06</t>
        </is>
      </c>
      <c r="B926" s="3" t="inlineStr">
        <is>
          <t>SL-S44-07</t>
        </is>
      </c>
      <c r="C926" s="3" t="inlineStr">
        <is>
          <t>S44</t>
        </is>
      </c>
      <c r="D926" s="3" t="inlineStr">
        <is>
          <t>S44</t>
        </is>
      </c>
      <c r="E926" s="3" t="inlineStr">
        <is>
          <t>Bloqueia até aceite; sequência conservadora dentro do sprint</t>
        </is>
      </c>
    </row>
    <row r="927" ht="28" customHeight="1">
      <c r="A927" s="3" t="inlineStr">
        <is>
          <t>SL-S44-07</t>
        </is>
      </c>
      <c r="B927" s="3" t="inlineStr">
        <is>
          <t>SL-S44-08</t>
        </is>
      </c>
      <c r="C927" s="3" t="inlineStr">
        <is>
          <t>S44</t>
        </is>
      </c>
      <c r="D927" s="3" t="inlineStr">
        <is>
          <t>S44</t>
        </is>
      </c>
      <c r="E927" s="3" t="inlineStr">
        <is>
          <t>Bloqueia até aceite; sequência conservadora dentro do sprint</t>
        </is>
      </c>
    </row>
    <row r="928" ht="28" customHeight="1">
      <c r="A928" s="3" t="inlineStr">
        <is>
          <t>SL-S44-08</t>
        </is>
      </c>
      <c r="B928" s="3" t="inlineStr">
        <is>
          <t>SL-S44-09</t>
        </is>
      </c>
      <c r="C928" s="3" t="inlineStr">
        <is>
          <t>S44</t>
        </is>
      </c>
      <c r="D928" s="3" t="inlineStr">
        <is>
          <t>S44</t>
        </is>
      </c>
      <c r="E928" s="3" t="inlineStr">
        <is>
          <t>Bloqueia até aceite; sequência conservadora dentro do sprint</t>
        </is>
      </c>
    </row>
    <row r="929" ht="28" customHeight="1">
      <c r="A929" s="3" t="inlineStr">
        <is>
          <t>SL-S44-09</t>
        </is>
      </c>
      <c r="B929" s="3" t="inlineStr">
        <is>
          <t>SL-S44-10</t>
        </is>
      </c>
      <c r="C929" s="3" t="inlineStr">
        <is>
          <t>S44</t>
        </is>
      </c>
      <c r="D929" s="3" t="inlineStr">
        <is>
          <t>S44</t>
        </is>
      </c>
      <c r="E929" s="3" t="inlineStr">
        <is>
          <t>Bloqueia até aceite; sequência conservadora dentro do sprint</t>
        </is>
      </c>
    </row>
    <row r="930" ht="28" customHeight="1">
      <c r="A930" s="3" t="inlineStr">
        <is>
          <t>SL-S44-01</t>
        </is>
      </c>
      <c r="B930" s="3" t="inlineStr">
        <is>
          <t>SL-S44-GATE</t>
        </is>
      </c>
      <c r="C930" s="3" t="inlineStr">
        <is>
          <t>S44</t>
        </is>
      </c>
      <c r="D930" s="3" t="inlineStr">
        <is>
          <t>S44</t>
        </is>
      </c>
      <c r="E930" s="3" t="inlineStr">
        <is>
          <t>Bloqueia até aceite; sequência conservadora dentro do sprint</t>
        </is>
      </c>
    </row>
    <row r="931" ht="28" customHeight="1">
      <c r="A931" s="3" t="inlineStr">
        <is>
          <t>SL-S44-02</t>
        </is>
      </c>
      <c r="B931" s="3" t="inlineStr">
        <is>
          <t>SL-S44-GATE</t>
        </is>
      </c>
      <c r="C931" s="3" t="inlineStr">
        <is>
          <t>S44</t>
        </is>
      </c>
      <c r="D931" s="3" t="inlineStr">
        <is>
          <t>S44</t>
        </is>
      </c>
      <c r="E931" s="3" t="inlineStr">
        <is>
          <t>Bloqueia até aceite; sequência conservadora dentro do sprint</t>
        </is>
      </c>
    </row>
    <row r="932" ht="28" customHeight="1">
      <c r="A932" s="3" t="inlineStr">
        <is>
          <t>SL-S44-03</t>
        </is>
      </c>
      <c r="B932" s="3" t="inlineStr">
        <is>
          <t>SL-S44-GATE</t>
        </is>
      </c>
      <c r="C932" s="3" t="inlineStr">
        <is>
          <t>S44</t>
        </is>
      </c>
      <c r="D932" s="3" t="inlineStr">
        <is>
          <t>S44</t>
        </is>
      </c>
      <c r="E932" s="3" t="inlineStr">
        <is>
          <t>Bloqueia até aceite; sequência conservadora dentro do sprint</t>
        </is>
      </c>
    </row>
    <row r="933" ht="28" customHeight="1">
      <c r="A933" s="3" t="inlineStr">
        <is>
          <t>SL-S44-04</t>
        </is>
      </c>
      <c r="B933" s="3" t="inlineStr">
        <is>
          <t>SL-S44-GATE</t>
        </is>
      </c>
      <c r="C933" s="3" t="inlineStr">
        <is>
          <t>S44</t>
        </is>
      </c>
      <c r="D933" s="3" t="inlineStr">
        <is>
          <t>S44</t>
        </is>
      </c>
      <c r="E933" s="3" t="inlineStr">
        <is>
          <t>Bloqueia até aceite; sequência conservadora dentro do sprint</t>
        </is>
      </c>
    </row>
    <row r="934" ht="28" customHeight="1">
      <c r="A934" s="3" t="inlineStr">
        <is>
          <t>SL-S44-05</t>
        </is>
      </c>
      <c r="B934" s="3" t="inlineStr">
        <is>
          <t>SL-S44-GATE</t>
        </is>
      </c>
      <c r="C934" s="3" t="inlineStr">
        <is>
          <t>S44</t>
        </is>
      </c>
      <c r="D934" s="3" t="inlineStr">
        <is>
          <t>S44</t>
        </is>
      </c>
      <c r="E934" s="3" t="inlineStr">
        <is>
          <t>Bloqueia até aceite; sequência conservadora dentro do sprint</t>
        </is>
      </c>
    </row>
    <row r="935" ht="28" customHeight="1">
      <c r="A935" s="3" t="inlineStr">
        <is>
          <t>SL-S44-06</t>
        </is>
      </c>
      <c r="B935" s="3" t="inlineStr">
        <is>
          <t>SL-S44-GATE</t>
        </is>
      </c>
      <c r="C935" s="3" t="inlineStr">
        <is>
          <t>S44</t>
        </is>
      </c>
      <c r="D935" s="3" t="inlineStr">
        <is>
          <t>S44</t>
        </is>
      </c>
      <c r="E935" s="3" t="inlineStr">
        <is>
          <t>Bloqueia até aceite; sequência conservadora dentro do sprint</t>
        </is>
      </c>
    </row>
    <row r="936" ht="28" customHeight="1">
      <c r="A936" s="3" t="inlineStr">
        <is>
          <t>SL-S44-07</t>
        </is>
      </c>
      <c r="B936" s="3" t="inlineStr">
        <is>
          <t>SL-S44-GATE</t>
        </is>
      </c>
      <c r="C936" s="3" t="inlineStr">
        <is>
          <t>S44</t>
        </is>
      </c>
      <c r="D936" s="3" t="inlineStr">
        <is>
          <t>S44</t>
        </is>
      </c>
      <c r="E936" s="3" t="inlineStr">
        <is>
          <t>Bloqueia até aceite; sequência conservadora dentro do sprint</t>
        </is>
      </c>
    </row>
    <row r="937" ht="28" customHeight="1">
      <c r="A937" s="3" t="inlineStr">
        <is>
          <t>SL-S44-08</t>
        </is>
      </c>
      <c r="B937" s="3" t="inlineStr">
        <is>
          <t>SL-S44-GATE</t>
        </is>
      </c>
      <c r="C937" s="3" t="inlineStr">
        <is>
          <t>S44</t>
        </is>
      </c>
      <c r="D937" s="3" t="inlineStr">
        <is>
          <t>S44</t>
        </is>
      </c>
      <c r="E937" s="3" t="inlineStr">
        <is>
          <t>Bloqueia até aceite; sequência conservadora dentro do sprint</t>
        </is>
      </c>
    </row>
    <row r="938" ht="28" customHeight="1">
      <c r="A938" s="3" t="inlineStr">
        <is>
          <t>SL-S44-09</t>
        </is>
      </c>
      <c r="B938" s="3" t="inlineStr">
        <is>
          <t>SL-S44-GATE</t>
        </is>
      </c>
      <c r="C938" s="3" t="inlineStr">
        <is>
          <t>S44</t>
        </is>
      </c>
      <c r="D938" s="3" t="inlineStr">
        <is>
          <t>S44</t>
        </is>
      </c>
      <c r="E938" s="3" t="inlineStr">
        <is>
          <t>Bloqueia até aceite; sequência conservadora dentro do sprint</t>
        </is>
      </c>
    </row>
    <row r="939" ht="28" customHeight="1">
      <c r="A939" s="3" t="inlineStr">
        <is>
          <t>SL-S44-10</t>
        </is>
      </c>
      <c r="B939" s="3" t="inlineStr">
        <is>
          <t>SL-S44-GATE</t>
        </is>
      </c>
      <c r="C939" s="3" t="inlineStr">
        <is>
          <t>S44</t>
        </is>
      </c>
      <c r="D939" s="3" t="inlineStr">
        <is>
          <t>S44</t>
        </is>
      </c>
      <c r="E939" s="3" t="inlineStr">
        <is>
          <t>Bloqueia até aceite; sequência conservadora dentro do sprint</t>
        </is>
      </c>
    </row>
    <row r="940" ht="28" customHeight="1">
      <c r="A940" s="3" t="inlineStr">
        <is>
          <t>SL-S33-GATE</t>
        </is>
      </c>
      <c r="B940" s="3" t="inlineStr">
        <is>
          <t>SL-S45-01</t>
        </is>
      </c>
      <c r="C940" s="3" t="inlineStr">
        <is>
          <t>S33</t>
        </is>
      </c>
      <c r="D940" s="3" t="inlineStr">
        <is>
          <t>S45</t>
        </is>
      </c>
      <c r="E940" s="3" t="inlineStr">
        <is>
          <t>Bloqueia até aceite; sequência conservadora dentro do sprint</t>
        </is>
      </c>
    </row>
    <row r="941" ht="28" customHeight="1">
      <c r="A941" s="3" t="inlineStr">
        <is>
          <t>SL-S43-GATE</t>
        </is>
      </c>
      <c r="B941" s="3" t="inlineStr">
        <is>
          <t>SL-S45-01</t>
        </is>
      </c>
      <c r="C941" s="3" t="inlineStr">
        <is>
          <t>S43</t>
        </is>
      </c>
      <c r="D941" s="3" t="inlineStr">
        <is>
          <t>S45</t>
        </is>
      </c>
      <c r="E941" s="3" t="inlineStr">
        <is>
          <t>Bloqueia até aceite; sequência conservadora dentro do sprint</t>
        </is>
      </c>
    </row>
    <row r="942" ht="28" customHeight="1">
      <c r="A942" s="3" t="inlineStr">
        <is>
          <t>SL-S44-GATE</t>
        </is>
      </c>
      <c r="B942" s="3" t="inlineStr">
        <is>
          <t>SL-S45-01</t>
        </is>
      </c>
      <c r="C942" s="3" t="inlineStr">
        <is>
          <t>S44</t>
        </is>
      </c>
      <c r="D942" s="3" t="inlineStr">
        <is>
          <t>S45</t>
        </is>
      </c>
      <c r="E942" s="3" t="inlineStr">
        <is>
          <t>Bloqueia até aceite; sequência conservadora dentro do sprint</t>
        </is>
      </c>
    </row>
    <row r="943" ht="28" customHeight="1">
      <c r="A943" s="3" t="inlineStr">
        <is>
          <t>SL-S45-01</t>
        </is>
      </c>
      <c r="B943" s="3" t="inlineStr">
        <is>
          <t>SL-S45-02</t>
        </is>
      </c>
      <c r="C943" s="3" t="inlineStr">
        <is>
          <t>S45</t>
        </is>
      </c>
      <c r="D943" s="3" t="inlineStr">
        <is>
          <t>S45</t>
        </is>
      </c>
      <c r="E943" s="3" t="inlineStr">
        <is>
          <t>Bloqueia até aceite; sequência conservadora dentro do sprint</t>
        </is>
      </c>
    </row>
    <row r="944" ht="28" customHeight="1">
      <c r="A944" s="3" t="inlineStr">
        <is>
          <t>SL-S45-02</t>
        </is>
      </c>
      <c r="B944" s="3" t="inlineStr">
        <is>
          <t>SL-S45-03</t>
        </is>
      </c>
      <c r="C944" s="3" t="inlineStr">
        <is>
          <t>S45</t>
        </is>
      </c>
      <c r="D944" s="3" t="inlineStr">
        <is>
          <t>S45</t>
        </is>
      </c>
      <c r="E944" s="3" t="inlineStr">
        <is>
          <t>Bloqueia até aceite; sequência conservadora dentro do sprint</t>
        </is>
      </c>
    </row>
    <row r="945" ht="28" customHeight="1">
      <c r="A945" s="3" t="inlineStr">
        <is>
          <t>SL-S45-03</t>
        </is>
      </c>
      <c r="B945" s="3" t="inlineStr">
        <is>
          <t>SL-S45-04</t>
        </is>
      </c>
      <c r="C945" s="3" t="inlineStr">
        <is>
          <t>S45</t>
        </is>
      </c>
      <c r="D945" s="3" t="inlineStr">
        <is>
          <t>S45</t>
        </is>
      </c>
      <c r="E945" s="3" t="inlineStr">
        <is>
          <t>Bloqueia até aceite; sequência conservadora dentro do sprint</t>
        </is>
      </c>
    </row>
    <row r="946" ht="28" customHeight="1">
      <c r="A946" s="3" t="inlineStr">
        <is>
          <t>SL-S45-04</t>
        </is>
      </c>
      <c r="B946" s="3" t="inlineStr">
        <is>
          <t>SL-S45-05</t>
        </is>
      </c>
      <c r="C946" s="3" t="inlineStr">
        <is>
          <t>S45</t>
        </is>
      </c>
      <c r="D946" s="3" t="inlineStr">
        <is>
          <t>S45</t>
        </is>
      </c>
      <c r="E946" s="3" t="inlineStr">
        <is>
          <t>Bloqueia até aceite; sequência conservadora dentro do sprint</t>
        </is>
      </c>
    </row>
    <row r="947" ht="28" customHeight="1">
      <c r="A947" s="3" t="inlineStr">
        <is>
          <t>SL-S45-05</t>
        </is>
      </c>
      <c r="B947" s="3" t="inlineStr">
        <is>
          <t>SL-S45-06</t>
        </is>
      </c>
      <c r="C947" s="3" t="inlineStr">
        <is>
          <t>S45</t>
        </is>
      </c>
      <c r="D947" s="3" t="inlineStr">
        <is>
          <t>S45</t>
        </is>
      </c>
      <c r="E947" s="3" t="inlineStr">
        <is>
          <t>Bloqueia até aceite; sequência conservadora dentro do sprint</t>
        </is>
      </c>
    </row>
    <row r="948" ht="28" customHeight="1">
      <c r="A948" s="3" t="inlineStr">
        <is>
          <t>SL-S45-06</t>
        </is>
      </c>
      <c r="B948" s="3" t="inlineStr">
        <is>
          <t>SL-S45-07</t>
        </is>
      </c>
      <c r="C948" s="3" t="inlineStr">
        <is>
          <t>S45</t>
        </is>
      </c>
      <c r="D948" s="3" t="inlineStr">
        <is>
          <t>S45</t>
        </is>
      </c>
      <c r="E948" s="3" t="inlineStr">
        <is>
          <t>Bloqueia até aceite; sequência conservadora dentro do sprint</t>
        </is>
      </c>
    </row>
    <row r="949" ht="28" customHeight="1">
      <c r="A949" s="3" t="inlineStr">
        <is>
          <t>SL-S45-07</t>
        </is>
      </c>
      <c r="B949" s="3" t="inlineStr">
        <is>
          <t>SL-S45-08</t>
        </is>
      </c>
      <c r="C949" s="3" t="inlineStr">
        <is>
          <t>S45</t>
        </is>
      </c>
      <c r="D949" s="3" t="inlineStr">
        <is>
          <t>S45</t>
        </is>
      </c>
      <c r="E949" s="3" t="inlineStr">
        <is>
          <t>Bloqueia até aceite; sequência conservadora dentro do sprint</t>
        </is>
      </c>
    </row>
    <row r="950" ht="28" customHeight="1">
      <c r="A950" s="3" t="inlineStr">
        <is>
          <t>SL-S45-08</t>
        </is>
      </c>
      <c r="B950" s="3" t="inlineStr">
        <is>
          <t>SL-S45-09</t>
        </is>
      </c>
      <c r="C950" s="3" t="inlineStr">
        <is>
          <t>S45</t>
        </is>
      </c>
      <c r="D950" s="3" t="inlineStr">
        <is>
          <t>S45</t>
        </is>
      </c>
      <c r="E950" s="3" t="inlineStr">
        <is>
          <t>Bloqueia até aceite; sequência conservadora dentro do sprint</t>
        </is>
      </c>
    </row>
    <row r="951" ht="28" customHeight="1">
      <c r="A951" s="3" t="inlineStr">
        <is>
          <t>SL-S45-09</t>
        </is>
      </c>
      <c r="B951" s="3" t="inlineStr">
        <is>
          <t>SL-S45-10</t>
        </is>
      </c>
      <c r="C951" s="3" t="inlineStr">
        <is>
          <t>S45</t>
        </is>
      </c>
      <c r="D951" s="3" t="inlineStr">
        <is>
          <t>S45</t>
        </is>
      </c>
      <c r="E951" s="3" t="inlineStr">
        <is>
          <t>Bloqueia até aceite; sequência conservadora dentro do sprint</t>
        </is>
      </c>
    </row>
    <row r="952" ht="28" customHeight="1">
      <c r="A952" s="3" t="inlineStr">
        <is>
          <t>SL-S45-01</t>
        </is>
      </c>
      <c r="B952" s="3" t="inlineStr">
        <is>
          <t>SL-S45-GATE</t>
        </is>
      </c>
      <c r="C952" s="3" t="inlineStr">
        <is>
          <t>S45</t>
        </is>
      </c>
      <c r="D952" s="3" t="inlineStr">
        <is>
          <t>S45</t>
        </is>
      </c>
      <c r="E952" s="3" t="inlineStr">
        <is>
          <t>Bloqueia até aceite; sequência conservadora dentro do sprint</t>
        </is>
      </c>
    </row>
    <row r="953" ht="28" customHeight="1">
      <c r="A953" s="3" t="inlineStr">
        <is>
          <t>SL-S45-02</t>
        </is>
      </c>
      <c r="B953" s="3" t="inlineStr">
        <is>
          <t>SL-S45-GATE</t>
        </is>
      </c>
      <c r="C953" s="3" t="inlineStr">
        <is>
          <t>S45</t>
        </is>
      </c>
      <c r="D953" s="3" t="inlineStr">
        <is>
          <t>S45</t>
        </is>
      </c>
      <c r="E953" s="3" t="inlineStr">
        <is>
          <t>Bloqueia até aceite; sequência conservadora dentro do sprint</t>
        </is>
      </c>
    </row>
    <row r="954" ht="28" customHeight="1">
      <c r="A954" s="3" t="inlineStr">
        <is>
          <t>SL-S45-03</t>
        </is>
      </c>
      <c r="B954" s="3" t="inlineStr">
        <is>
          <t>SL-S45-GATE</t>
        </is>
      </c>
      <c r="C954" s="3" t="inlineStr">
        <is>
          <t>S45</t>
        </is>
      </c>
      <c r="D954" s="3" t="inlineStr">
        <is>
          <t>S45</t>
        </is>
      </c>
      <c r="E954" s="3" t="inlineStr">
        <is>
          <t>Bloqueia até aceite; sequência conservadora dentro do sprint</t>
        </is>
      </c>
    </row>
    <row r="955" ht="28" customHeight="1">
      <c r="A955" s="3" t="inlineStr">
        <is>
          <t>SL-S45-04</t>
        </is>
      </c>
      <c r="B955" s="3" t="inlineStr">
        <is>
          <t>SL-S45-GATE</t>
        </is>
      </c>
      <c r="C955" s="3" t="inlineStr">
        <is>
          <t>S45</t>
        </is>
      </c>
      <c r="D955" s="3" t="inlineStr">
        <is>
          <t>S45</t>
        </is>
      </c>
      <c r="E955" s="3" t="inlineStr">
        <is>
          <t>Bloqueia até aceite; sequência conservadora dentro do sprint</t>
        </is>
      </c>
    </row>
    <row r="956" ht="28" customHeight="1">
      <c r="A956" s="3" t="inlineStr">
        <is>
          <t>SL-S45-05</t>
        </is>
      </c>
      <c r="B956" s="3" t="inlineStr">
        <is>
          <t>SL-S45-GATE</t>
        </is>
      </c>
      <c r="C956" s="3" t="inlineStr">
        <is>
          <t>S45</t>
        </is>
      </c>
      <c r="D956" s="3" t="inlineStr">
        <is>
          <t>S45</t>
        </is>
      </c>
      <c r="E956" s="3" t="inlineStr">
        <is>
          <t>Bloqueia até aceite; sequência conservadora dentro do sprint</t>
        </is>
      </c>
    </row>
    <row r="957" ht="28" customHeight="1">
      <c r="A957" s="3" t="inlineStr">
        <is>
          <t>SL-S45-06</t>
        </is>
      </c>
      <c r="B957" s="3" t="inlineStr">
        <is>
          <t>SL-S45-GATE</t>
        </is>
      </c>
      <c r="C957" s="3" t="inlineStr">
        <is>
          <t>S45</t>
        </is>
      </c>
      <c r="D957" s="3" t="inlineStr">
        <is>
          <t>S45</t>
        </is>
      </c>
      <c r="E957" s="3" t="inlineStr">
        <is>
          <t>Bloqueia até aceite; sequência conservadora dentro do sprint</t>
        </is>
      </c>
    </row>
    <row r="958" ht="28" customHeight="1">
      <c r="A958" s="3" t="inlineStr">
        <is>
          <t>SL-S45-07</t>
        </is>
      </c>
      <c r="B958" s="3" t="inlineStr">
        <is>
          <t>SL-S45-GATE</t>
        </is>
      </c>
      <c r="C958" s="3" t="inlineStr">
        <is>
          <t>S45</t>
        </is>
      </c>
      <c r="D958" s="3" t="inlineStr">
        <is>
          <t>S45</t>
        </is>
      </c>
      <c r="E958" s="3" t="inlineStr">
        <is>
          <t>Bloqueia até aceite; sequência conservadora dentro do sprint</t>
        </is>
      </c>
    </row>
    <row r="959" ht="28" customHeight="1">
      <c r="A959" s="3" t="inlineStr">
        <is>
          <t>SL-S45-08</t>
        </is>
      </c>
      <c r="B959" s="3" t="inlineStr">
        <is>
          <t>SL-S45-GATE</t>
        </is>
      </c>
      <c r="C959" s="3" t="inlineStr">
        <is>
          <t>S45</t>
        </is>
      </c>
      <c r="D959" s="3" t="inlineStr">
        <is>
          <t>S45</t>
        </is>
      </c>
      <c r="E959" s="3" t="inlineStr">
        <is>
          <t>Bloqueia até aceite; sequência conservadora dentro do sprint</t>
        </is>
      </c>
    </row>
    <row r="960" ht="28" customHeight="1">
      <c r="A960" s="3" t="inlineStr">
        <is>
          <t>SL-S45-09</t>
        </is>
      </c>
      <c r="B960" s="3" t="inlineStr">
        <is>
          <t>SL-S45-GATE</t>
        </is>
      </c>
      <c r="C960" s="3" t="inlineStr">
        <is>
          <t>S45</t>
        </is>
      </c>
      <c r="D960" s="3" t="inlineStr">
        <is>
          <t>S45</t>
        </is>
      </c>
      <c r="E960" s="3" t="inlineStr">
        <is>
          <t>Bloqueia até aceite; sequência conservadora dentro do sprint</t>
        </is>
      </c>
    </row>
    <row r="961" ht="28" customHeight="1">
      <c r="A961" s="3" t="inlineStr">
        <is>
          <t>SL-S45-10</t>
        </is>
      </c>
      <c r="B961" s="3" t="inlineStr">
        <is>
          <t>SL-S45-GATE</t>
        </is>
      </c>
      <c r="C961" s="3" t="inlineStr">
        <is>
          <t>S45</t>
        </is>
      </c>
      <c r="D961" s="3" t="inlineStr">
        <is>
          <t>S45</t>
        </is>
      </c>
      <c r="E961" s="3" t="inlineStr">
        <is>
          <t>Bloqueia até aceite; sequência conservadora dentro do sprint</t>
        </is>
      </c>
    </row>
    <row r="962" ht="28" customHeight="1">
      <c r="A962" s="3" t="inlineStr">
        <is>
          <t>SL-S44-GATE</t>
        </is>
      </c>
      <c r="B962" s="3" t="inlineStr">
        <is>
          <t>SL-S46-01</t>
        </is>
      </c>
      <c r="C962" s="3" t="inlineStr">
        <is>
          <t>S44</t>
        </is>
      </c>
      <c r="D962" s="3" t="inlineStr">
        <is>
          <t>S46</t>
        </is>
      </c>
      <c r="E962" s="3" t="inlineStr">
        <is>
          <t>Bloqueia até aceite; sequência conservadora dentro do sprint</t>
        </is>
      </c>
    </row>
    <row r="963" ht="28" customHeight="1">
      <c r="A963" s="3" t="inlineStr">
        <is>
          <t>SL-S45-GATE</t>
        </is>
      </c>
      <c r="B963" s="3" t="inlineStr">
        <is>
          <t>SL-S46-01</t>
        </is>
      </c>
      <c r="C963" s="3" t="inlineStr">
        <is>
          <t>S45</t>
        </is>
      </c>
      <c r="D963" s="3" t="inlineStr">
        <is>
          <t>S46</t>
        </is>
      </c>
      <c r="E963" s="3" t="inlineStr">
        <is>
          <t>Bloqueia até aceite; sequência conservadora dentro do sprint</t>
        </is>
      </c>
    </row>
    <row r="964" ht="28" customHeight="1">
      <c r="A964" s="3" t="inlineStr">
        <is>
          <t>SL-S46-01</t>
        </is>
      </c>
      <c r="B964" s="3" t="inlineStr">
        <is>
          <t>SL-S46-02</t>
        </is>
      </c>
      <c r="C964" s="3" t="inlineStr">
        <is>
          <t>S46</t>
        </is>
      </c>
      <c r="D964" s="3" t="inlineStr">
        <is>
          <t>S46</t>
        </is>
      </c>
      <c r="E964" s="3" t="inlineStr">
        <is>
          <t>Bloqueia até aceite; sequência conservadora dentro do sprint</t>
        </is>
      </c>
    </row>
    <row r="965" ht="28" customHeight="1">
      <c r="A965" s="3" t="inlineStr">
        <is>
          <t>SL-S46-02</t>
        </is>
      </c>
      <c r="B965" s="3" t="inlineStr">
        <is>
          <t>SL-S46-03</t>
        </is>
      </c>
      <c r="C965" s="3" t="inlineStr">
        <is>
          <t>S46</t>
        </is>
      </c>
      <c r="D965" s="3" t="inlineStr">
        <is>
          <t>S46</t>
        </is>
      </c>
      <c r="E965" s="3" t="inlineStr">
        <is>
          <t>Bloqueia até aceite; sequência conservadora dentro do sprint</t>
        </is>
      </c>
    </row>
    <row r="966" ht="28" customHeight="1">
      <c r="A966" s="3" t="inlineStr">
        <is>
          <t>SL-S46-03</t>
        </is>
      </c>
      <c r="B966" s="3" t="inlineStr">
        <is>
          <t>SL-S46-04</t>
        </is>
      </c>
      <c r="C966" s="3" t="inlineStr">
        <is>
          <t>S46</t>
        </is>
      </c>
      <c r="D966" s="3" t="inlineStr">
        <is>
          <t>S46</t>
        </is>
      </c>
      <c r="E966" s="3" t="inlineStr">
        <is>
          <t>Bloqueia até aceite; sequência conservadora dentro do sprint</t>
        </is>
      </c>
    </row>
    <row r="967" ht="28" customHeight="1">
      <c r="A967" s="3" t="inlineStr">
        <is>
          <t>SL-S46-04</t>
        </is>
      </c>
      <c r="B967" s="3" t="inlineStr">
        <is>
          <t>SL-S46-05</t>
        </is>
      </c>
      <c r="C967" s="3" t="inlineStr">
        <is>
          <t>S46</t>
        </is>
      </c>
      <c r="D967" s="3" t="inlineStr">
        <is>
          <t>S46</t>
        </is>
      </c>
      <c r="E967" s="3" t="inlineStr">
        <is>
          <t>Bloqueia até aceite; sequência conservadora dentro do sprint</t>
        </is>
      </c>
    </row>
    <row r="968" ht="28" customHeight="1">
      <c r="A968" s="3" t="inlineStr">
        <is>
          <t>SL-S46-05</t>
        </is>
      </c>
      <c r="B968" s="3" t="inlineStr">
        <is>
          <t>SL-S46-06</t>
        </is>
      </c>
      <c r="C968" s="3" t="inlineStr">
        <is>
          <t>S46</t>
        </is>
      </c>
      <c r="D968" s="3" t="inlineStr">
        <is>
          <t>S46</t>
        </is>
      </c>
      <c r="E968" s="3" t="inlineStr">
        <is>
          <t>Bloqueia até aceite; sequência conservadora dentro do sprint</t>
        </is>
      </c>
    </row>
    <row r="969" ht="28" customHeight="1">
      <c r="A969" s="3" t="inlineStr">
        <is>
          <t>SL-S46-06</t>
        </is>
      </c>
      <c r="B969" s="3" t="inlineStr">
        <is>
          <t>SL-S46-07</t>
        </is>
      </c>
      <c r="C969" s="3" t="inlineStr">
        <is>
          <t>S46</t>
        </is>
      </c>
      <c r="D969" s="3" t="inlineStr">
        <is>
          <t>S46</t>
        </is>
      </c>
      <c r="E969" s="3" t="inlineStr">
        <is>
          <t>Bloqueia até aceite; sequência conservadora dentro do sprint</t>
        </is>
      </c>
    </row>
    <row r="970" ht="28" customHeight="1">
      <c r="A970" s="3" t="inlineStr">
        <is>
          <t>SL-S46-07</t>
        </is>
      </c>
      <c r="B970" s="3" t="inlineStr">
        <is>
          <t>SL-S46-08</t>
        </is>
      </c>
      <c r="C970" s="3" t="inlineStr">
        <is>
          <t>S46</t>
        </is>
      </c>
      <c r="D970" s="3" t="inlineStr">
        <is>
          <t>S46</t>
        </is>
      </c>
      <c r="E970" s="3" t="inlineStr">
        <is>
          <t>Bloqueia até aceite; sequência conservadora dentro do sprint</t>
        </is>
      </c>
    </row>
    <row r="971" ht="28" customHeight="1">
      <c r="A971" s="3" t="inlineStr">
        <is>
          <t>SL-S46-08</t>
        </is>
      </c>
      <c r="B971" s="3" t="inlineStr">
        <is>
          <t>SL-S46-09</t>
        </is>
      </c>
      <c r="C971" s="3" t="inlineStr">
        <is>
          <t>S46</t>
        </is>
      </c>
      <c r="D971" s="3" t="inlineStr">
        <is>
          <t>S46</t>
        </is>
      </c>
      <c r="E971" s="3" t="inlineStr">
        <is>
          <t>Bloqueia até aceite; sequência conservadora dentro do sprint</t>
        </is>
      </c>
    </row>
    <row r="972" ht="28" customHeight="1">
      <c r="A972" s="3" t="inlineStr">
        <is>
          <t>SL-S46-09</t>
        </is>
      </c>
      <c r="B972" s="3" t="inlineStr">
        <is>
          <t>SL-S46-10</t>
        </is>
      </c>
      <c r="C972" s="3" t="inlineStr">
        <is>
          <t>S46</t>
        </is>
      </c>
      <c r="D972" s="3" t="inlineStr">
        <is>
          <t>S46</t>
        </is>
      </c>
      <c r="E972" s="3" t="inlineStr">
        <is>
          <t>Bloqueia até aceite; sequência conservadora dentro do sprint</t>
        </is>
      </c>
    </row>
    <row r="973" ht="28" customHeight="1">
      <c r="A973" s="3" t="inlineStr">
        <is>
          <t>SL-S46-01</t>
        </is>
      </c>
      <c r="B973" s="3" t="inlineStr">
        <is>
          <t>SL-S46-GATE</t>
        </is>
      </c>
      <c r="C973" s="3" t="inlineStr">
        <is>
          <t>S46</t>
        </is>
      </c>
      <c r="D973" s="3" t="inlineStr">
        <is>
          <t>S46</t>
        </is>
      </c>
      <c r="E973" s="3" t="inlineStr">
        <is>
          <t>Bloqueia até aceite; sequência conservadora dentro do sprint</t>
        </is>
      </c>
    </row>
    <row r="974" ht="28" customHeight="1">
      <c r="A974" s="3" t="inlineStr">
        <is>
          <t>SL-S46-02</t>
        </is>
      </c>
      <c r="B974" s="3" t="inlineStr">
        <is>
          <t>SL-S46-GATE</t>
        </is>
      </c>
      <c r="C974" s="3" t="inlineStr">
        <is>
          <t>S46</t>
        </is>
      </c>
      <c r="D974" s="3" t="inlineStr">
        <is>
          <t>S46</t>
        </is>
      </c>
      <c r="E974" s="3" t="inlineStr">
        <is>
          <t>Bloqueia até aceite; sequência conservadora dentro do sprint</t>
        </is>
      </c>
    </row>
    <row r="975" ht="28" customHeight="1">
      <c r="A975" s="3" t="inlineStr">
        <is>
          <t>SL-S46-03</t>
        </is>
      </c>
      <c r="B975" s="3" t="inlineStr">
        <is>
          <t>SL-S46-GATE</t>
        </is>
      </c>
      <c r="C975" s="3" t="inlineStr">
        <is>
          <t>S46</t>
        </is>
      </c>
      <c r="D975" s="3" t="inlineStr">
        <is>
          <t>S46</t>
        </is>
      </c>
      <c r="E975" s="3" t="inlineStr">
        <is>
          <t>Bloqueia até aceite; sequência conservadora dentro do sprint</t>
        </is>
      </c>
    </row>
    <row r="976" ht="28" customHeight="1">
      <c r="A976" s="3" t="inlineStr">
        <is>
          <t>SL-S46-04</t>
        </is>
      </c>
      <c r="B976" s="3" t="inlineStr">
        <is>
          <t>SL-S46-GATE</t>
        </is>
      </c>
      <c r="C976" s="3" t="inlineStr">
        <is>
          <t>S46</t>
        </is>
      </c>
      <c r="D976" s="3" t="inlineStr">
        <is>
          <t>S46</t>
        </is>
      </c>
      <c r="E976" s="3" t="inlineStr">
        <is>
          <t>Bloqueia até aceite; sequência conservadora dentro do sprint</t>
        </is>
      </c>
    </row>
    <row r="977" ht="28" customHeight="1">
      <c r="A977" s="3" t="inlineStr">
        <is>
          <t>SL-S46-05</t>
        </is>
      </c>
      <c r="B977" s="3" t="inlineStr">
        <is>
          <t>SL-S46-GATE</t>
        </is>
      </c>
      <c r="C977" s="3" t="inlineStr">
        <is>
          <t>S46</t>
        </is>
      </c>
      <c r="D977" s="3" t="inlineStr">
        <is>
          <t>S46</t>
        </is>
      </c>
      <c r="E977" s="3" t="inlineStr">
        <is>
          <t>Bloqueia até aceite; sequência conservadora dentro do sprint</t>
        </is>
      </c>
    </row>
    <row r="978" ht="28" customHeight="1">
      <c r="A978" s="3" t="inlineStr">
        <is>
          <t>SL-S46-06</t>
        </is>
      </c>
      <c r="B978" s="3" t="inlineStr">
        <is>
          <t>SL-S46-GATE</t>
        </is>
      </c>
      <c r="C978" s="3" t="inlineStr">
        <is>
          <t>S46</t>
        </is>
      </c>
      <c r="D978" s="3" t="inlineStr">
        <is>
          <t>S46</t>
        </is>
      </c>
      <c r="E978" s="3" t="inlineStr">
        <is>
          <t>Bloqueia até aceite; sequência conservadora dentro do sprint</t>
        </is>
      </c>
    </row>
    <row r="979" ht="28" customHeight="1">
      <c r="A979" s="3" t="inlineStr">
        <is>
          <t>SL-S46-07</t>
        </is>
      </c>
      <c r="B979" s="3" t="inlineStr">
        <is>
          <t>SL-S46-GATE</t>
        </is>
      </c>
      <c r="C979" s="3" t="inlineStr">
        <is>
          <t>S46</t>
        </is>
      </c>
      <c r="D979" s="3" t="inlineStr">
        <is>
          <t>S46</t>
        </is>
      </c>
      <c r="E979" s="3" t="inlineStr">
        <is>
          <t>Bloqueia até aceite; sequência conservadora dentro do sprint</t>
        </is>
      </c>
    </row>
    <row r="980" ht="28" customHeight="1">
      <c r="A980" s="3" t="inlineStr">
        <is>
          <t>SL-S46-08</t>
        </is>
      </c>
      <c r="B980" s="3" t="inlineStr">
        <is>
          <t>SL-S46-GATE</t>
        </is>
      </c>
      <c r="C980" s="3" t="inlineStr">
        <is>
          <t>S46</t>
        </is>
      </c>
      <c r="D980" s="3" t="inlineStr">
        <is>
          <t>S46</t>
        </is>
      </c>
      <c r="E980" s="3" t="inlineStr">
        <is>
          <t>Bloqueia até aceite; sequência conservadora dentro do sprint</t>
        </is>
      </c>
    </row>
    <row r="981" ht="28" customHeight="1">
      <c r="A981" s="3" t="inlineStr">
        <is>
          <t>SL-S46-09</t>
        </is>
      </c>
      <c r="B981" s="3" t="inlineStr">
        <is>
          <t>SL-S46-GATE</t>
        </is>
      </c>
      <c r="C981" s="3" t="inlineStr">
        <is>
          <t>S46</t>
        </is>
      </c>
      <c r="D981" s="3" t="inlineStr">
        <is>
          <t>S46</t>
        </is>
      </c>
      <c r="E981" s="3" t="inlineStr">
        <is>
          <t>Bloqueia até aceite; sequência conservadora dentro do sprint</t>
        </is>
      </c>
    </row>
    <row r="982" ht="28" customHeight="1">
      <c r="A982" s="3" t="inlineStr">
        <is>
          <t>SL-S46-10</t>
        </is>
      </c>
      <c r="B982" s="3" t="inlineStr">
        <is>
          <t>SL-S46-GATE</t>
        </is>
      </c>
      <c r="C982" s="3" t="inlineStr">
        <is>
          <t>S46</t>
        </is>
      </c>
      <c r="D982" s="3" t="inlineStr">
        <is>
          <t>S46</t>
        </is>
      </c>
      <c r="E982" s="3" t="inlineStr">
        <is>
          <t>Bloqueia até aceite; sequência conservadora dentro do sprint</t>
        </is>
      </c>
    </row>
    <row r="983" ht="28" customHeight="1">
      <c r="A983" s="3" t="inlineStr">
        <is>
          <t>SL-S23-GATE</t>
        </is>
      </c>
      <c r="B983" s="3" t="inlineStr">
        <is>
          <t>SL-S47-01</t>
        </is>
      </c>
      <c r="C983" s="3" t="inlineStr">
        <is>
          <t>S23</t>
        </is>
      </c>
      <c r="D983" s="3" t="inlineStr">
        <is>
          <t>S47</t>
        </is>
      </c>
      <c r="E983" s="3" t="inlineStr">
        <is>
          <t>Bloqueia até aceite; sequência conservadora dentro do sprint</t>
        </is>
      </c>
    </row>
    <row r="984" ht="28" customHeight="1">
      <c r="A984" s="3" t="inlineStr">
        <is>
          <t>SL-S26-GATE</t>
        </is>
      </c>
      <c r="B984" s="3" t="inlineStr">
        <is>
          <t>SL-S47-01</t>
        </is>
      </c>
      <c r="C984" s="3" t="inlineStr">
        <is>
          <t>S26</t>
        </is>
      </c>
      <c r="D984" s="3" t="inlineStr">
        <is>
          <t>S47</t>
        </is>
      </c>
      <c r="E984" s="3" t="inlineStr">
        <is>
          <t>Bloqueia até aceite; sequência conservadora dentro do sprint</t>
        </is>
      </c>
    </row>
    <row r="985" ht="28" customHeight="1">
      <c r="A985" s="3" t="inlineStr">
        <is>
          <t>SL-S34-GATE</t>
        </is>
      </c>
      <c r="B985" s="3" t="inlineStr">
        <is>
          <t>SL-S47-01</t>
        </is>
      </c>
      <c r="C985" s="3" t="inlineStr">
        <is>
          <t>S34</t>
        </is>
      </c>
      <c r="D985" s="3" t="inlineStr">
        <is>
          <t>S47</t>
        </is>
      </c>
      <c r="E985" s="3" t="inlineStr">
        <is>
          <t>Bloqueia até aceite; sequência conservadora dentro do sprint</t>
        </is>
      </c>
    </row>
    <row r="986" ht="28" customHeight="1">
      <c r="A986" s="3" t="inlineStr">
        <is>
          <t>SL-S46-GATE</t>
        </is>
      </c>
      <c r="B986" s="3" t="inlineStr">
        <is>
          <t>SL-S47-01</t>
        </is>
      </c>
      <c r="C986" s="3" t="inlineStr">
        <is>
          <t>S46</t>
        </is>
      </c>
      <c r="D986" s="3" t="inlineStr">
        <is>
          <t>S47</t>
        </is>
      </c>
      <c r="E986" s="3" t="inlineStr">
        <is>
          <t>Bloqueia até aceite; sequência conservadora dentro do sprint</t>
        </is>
      </c>
    </row>
    <row r="987" ht="28" customHeight="1">
      <c r="A987" s="3" t="inlineStr">
        <is>
          <t>SL-S47-01</t>
        </is>
      </c>
      <c r="B987" s="3" t="inlineStr">
        <is>
          <t>SL-S47-02</t>
        </is>
      </c>
      <c r="C987" s="3" t="inlineStr">
        <is>
          <t>S47</t>
        </is>
      </c>
      <c r="D987" s="3" t="inlineStr">
        <is>
          <t>S47</t>
        </is>
      </c>
      <c r="E987" s="3" t="inlineStr">
        <is>
          <t>Bloqueia até aceite; sequência conservadora dentro do sprint</t>
        </is>
      </c>
    </row>
    <row r="988" ht="28" customHeight="1">
      <c r="A988" s="3" t="inlineStr">
        <is>
          <t>SL-S47-02</t>
        </is>
      </c>
      <c r="B988" s="3" t="inlineStr">
        <is>
          <t>SL-S47-03</t>
        </is>
      </c>
      <c r="C988" s="3" t="inlineStr">
        <is>
          <t>S47</t>
        </is>
      </c>
      <c r="D988" s="3" t="inlineStr">
        <is>
          <t>S47</t>
        </is>
      </c>
      <c r="E988" s="3" t="inlineStr">
        <is>
          <t>Bloqueia até aceite; sequência conservadora dentro do sprint</t>
        </is>
      </c>
    </row>
    <row r="989" ht="28" customHeight="1">
      <c r="A989" s="3" t="inlineStr">
        <is>
          <t>SL-S47-03</t>
        </is>
      </c>
      <c r="B989" s="3" t="inlineStr">
        <is>
          <t>SL-S47-04</t>
        </is>
      </c>
      <c r="C989" s="3" t="inlineStr">
        <is>
          <t>S47</t>
        </is>
      </c>
      <c r="D989" s="3" t="inlineStr">
        <is>
          <t>S47</t>
        </is>
      </c>
      <c r="E989" s="3" t="inlineStr">
        <is>
          <t>Bloqueia até aceite; sequência conservadora dentro do sprint</t>
        </is>
      </c>
    </row>
    <row r="990" ht="28" customHeight="1">
      <c r="A990" s="3" t="inlineStr">
        <is>
          <t>SL-S47-04</t>
        </is>
      </c>
      <c r="B990" s="3" t="inlineStr">
        <is>
          <t>SL-S47-05</t>
        </is>
      </c>
      <c r="C990" s="3" t="inlineStr">
        <is>
          <t>S47</t>
        </is>
      </c>
      <c r="D990" s="3" t="inlineStr">
        <is>
          <t>S47</t>
        </is>
      </c>
      <c r="E990" s="3" t="inlineStr">
        <is>
          <t>Bloqueia até aceite; sequência conservadora dentro do sprint</t>
        </is>
      </c>
    </row>
    <row r="991" ht="28" customHeight="1">
      <c r="A991" s="3" t="inlineStr">
        <is>
          <t>SL-S47-05</t>
        </is>
      </c>
      <c r="B991" s="3" t="inlineStr">
        <is>
          <t>SL-S47-06</t>
        </is>
      </c>
      <c r="C991" s="3" t="inlineStr">
        <is>
          <t>S47</t>
        </is>
      </c>
      <c r="D991" s="3" t="inlineStr">
        <is>
          <t>S47</t>
        </is>
      </c>
      <c r="E991" s="3" t="inlineStr">
        <is>
          <t>Bloqueia até aceite; sequência conservadora dentro do sprint</t>
        </is>
      </c>
    </row>
    <row r="992" ht="28" customHeight="1">
      <c r="A992" s="3" t="inlineStr">
        <is>
          <t>SL-S47-06</t>
        </is>
      </c>
      <c r="B992" s="3" t="inlineStr">
        <is>
          <t>SL-S47-07</t>
        </is>
      </c>
      <c r="C992" s="3" t="inlineStr">
        <is>
          <t>S47</t>
        </is>
      </c>
      <c r="D992" s="3" t="inlineStr">
        <is>
          <t>S47</t>
        </is>
      </c>
      <c r="E992" s="3" t="inlineStr">
        <is>
          <t>Bloqueia até aceite; sequência conservadora dentro do sprint</t>
        </is>
      </c>
    </row>
    <row r="993" ht="28" customHeight="1">
      <c r="A993" s="3" t="inlineStr">
        <is>
          <t>SL-S47-07</t>
        </is>
      </c>
      <c r="B993" s="3" t="inlineStr">
        <is>
          <t>SL-S47-08</t>
        </is>
      </c>
      <c r="C993" s="3" t="inlineStr">
        <is>
          <t>S47</t>
        </is>
      </c>
      <c r="D993" s="3" t="inlineStr">
        <is>
          <t>S47</t>
        </is>
      </c>
      <c r="E993" s="3" t="inlineStr">
        <is>
          <t>Bloqueia até aceite; sequência conservadora dentro do sprint</t>
        </is>
      </c>
    </row>
    <row r="994" ht="28" customHeight="1">
      <c r="A994" s="3" t="inlineStr">
        <is>
          <t>SL-S47-08</t>
        </is>
      </c>
      <c r="B994" s="3" t="inlineStr">
        <is>
          <t>SL-S47-09</t>
        </is>
      </c>
      <c r="C994" s="3" t="inlineStr">
        <is>
          <t>S47</t>
        </is>
      </c>
      <c r="D994" s="3" t="inlineStr">
        <is>
          <t>S47</t>
        </is>
      </c>
      <c r="E994" s="3" t="inlineStr">
        <is>
          <t>Bloqueia até aceite; sequência conservadora dentro do sprint</t>
        </is>
      </c>
    </row>
    <row r="995" ht="28" customHeight="1">
      <c r="A995" s="3" t="inlineStr">
        <is>
          <t>SL-S47-09</t>
        </is>
      </c>
      <c r="B995" s="3" t="inlineStr">
        <is>
          <t>SL-S47-10</t>
        </is>
      </c>
      <c r="C995" s="3" t="inlineStr">
        <is>
          <t>S47</t>
        </is>
      </c>
      <c r="D995" s="3" t="inlineStr">
        <is>
          <t>S47</t>
        </is>
      </c>
      <c r="E995" s="3" t="inlineStr">
        <is>
          <t>Bloqueia até aceite; sequência conservadora dentro do sprint</t>
        </is>
      </c>
    </row>
    <row r="996" ht="28" customHeight="1">
      <c r="A996" s="3" t="inlineStr">
        <is>
          <t>SL-S47-01</t>
        </is>
      </c>
      <c r="B996" s="3" t="inlineStr">
        <is>
          <t>SL-S47-GATE</t>
        </is>
      </c>
      <c r="C996" s="3" t="inlineStr">
        <is>
          <t>S47</t>
        </is>
      </c>
      <c r="D996" s="3" t="inlineStr">
        <is>
          <t>S47</t>
        </is>
      </c>
      <c r="E996" s="3" t="inlineStr">
        <is>
          <t>Bloqueia até aceite; sequência conservadora dentro do sprint</t>
        </is>
      </c>
    </row>
    <row r="997" ht="28" customHeight="1">
      <c r="A997" s="3" t="inlineStr">
        <is>
          <t>SL-S47-02</t>
        </is>
      </c>
      <c r="B997" s="3" t="inlineStr">
        <is>
          <t>SL-S47-GATE</t>
        </is>
      </c>
      <c r="C997" s="3" t="inlineStr">
        <is>
          <t>S47</t>
        </is>
      </c>
      <c r="D997" s="3" t="inlineStr">
        <is>
          <t>S47</t>
        </is>
      </c>
      <c r="E997" s="3" t="inlineStr">
        <is>
          <t>Bloqueia até aceite; sequência conservadora dentro do sprint</t>
        </is>
      </c>
    </row>
    <row r="998" ht="28" customHeight="1">
      <c r="A998" s="3" t="inlineStr">
        <is>
          <t>SL-S47-03</t>
        </is>
      </c>
      <c r="B998" s="3" t="inlineStr">
        <is>
          <t>SL-S47-GATE</t>
        </is>
      </c>
      <c r="C998" s="3" t="inlineStr">
        <is>
          <t>S47</t>
        </is>
      </c>
      <c r="D998" s="3" t="inlineStr">
        <is>
          <t>S47</t>
        </is>
      </c>
      <c r="E998" s="3" t="inlineStr">
        <is>
          <t>Bloqueia até aceite; sequência conservadora dentro do sprint</t>
        </is>
      </c>
    </row>
    <row r="999" ht="28" customHeight="1">
      <c r="A999" s="3" t="inlineStr">
        <is>
          <t>SL-S47-04</t>
        </is>
      </c>
      <c r="B999" s="3" t="inlineStr">
        <is>
          <t>SL-S47-GATE</t>
        </is>
      </c>
      <c r="C999" s="3" t="inlineStr">
        <is>
          <t>S47</t>
        </is>
      </c>
      <c r="D999" s="3" t="inlineStr">
        <is>
          <t>S47</t>
        </is>
      </c>
      <c r="E999" s="3" t="inlineStr">
        <is>
          <t>Bloqueia até aceite; sequência conservadora dentro do sprint</t>
        </is>
      </c>
    </row>
    <row r="1000" ht="28" customHeight="1">
      <c r="A1000" s="3" t="inlineStr">
        <is>
          <t>SL-S47-05</t>
        </is>
      </c>
      <c r="B1000" s="3" t="inlineStr">
        <is>
          <t>SL-S47-GATE</t>
        </is>
      </c>
      <c r="C1000" s="3" t="inlineStr">
        <is>
          <t>S47</t>
        </is>
      </c>
      <c r="D1000" s="3" t="inlineStr">
        <is>
          <t>S47</t>
        </is>
      </c>
      <c r="E1000" s="3" t="inlineStr">
        <is>
          <t>Bloqueia até aceite; sequência conservadora dentro do sprint</t>
        </is>
      </c>
    </row>
    <row r="1001" ht="28" customHeight="1">
      <c r="A1001" s="3" t="inlineStr">
        <is>
          <t>SL-S47-06</t>
        </is>
      </c>
      <c r="B1001" s="3" t="inlineStr">
        <is>
          <t>SL-S47-GATE</t>
        </is>
      </c>
      <c r="C1001" s="3" t="inlineStr">
        <is>
          <t>S47</t>
        </is>
      </c>
      <c r="D1001" s="3" t="inlineStr">
        <is>
          <t>S47</t>
        </is>
      </c>
      <c r="E1001" s="3" t="inlineStr">
        <is>
          <t>Bloqueia até aceite; sequência conservadora dentro do sprint</t>
        </is>
      </c>
    </row>
    <row r="1002" ht="28" customHeight="1">
      <c r="A1002" s="3" t="inlineStr">
        <is>
          <t>SL-S47-07</t>
        </is>
      </c>
      <c r="B1002" s="3" t="inlineStr">
        <is>
          <t>SL-S47-GATE</t>
        </is>
      </c>
      <c r="C1002" s="3" t="inlineStr">
        <is>
          <t>S47</t>
        </is>
      </c>
      <c r="D1002" s="3" t="inlineStr">
        <is>
          <t>S47</t>
        </is>
      </c>
      <c r="E1002" s="3" t="inlineStr">
        <is>
          <t>Bloqueia até aceite; sequência conservadora dentro do sprint</t>
        </is>
      </c>
    </row>
    <row r="1003" ht="28" customHeight="1">
      <c r="A1003" s="3" t="inlineStr">
        <is>
          <t>SL-S47-08</t>
        </is>
      </c>
      <c r="B1003" s="3" t="inlineStr">
        <is>
          <t>SL-S47-GATE</t>
        </is>
      </c>
      <c r="C1003" s="3" t="inlineStr">
        <is>
          <t>S47</t>
        </is>
      </c>
      <c r="D1003" s="3" t="inlineStr">
        <is>
          <t>S47</t>
        </is>
      </c>
      <c r="E1003" s="3" t="inlineStr">
        <is>
          <t>Bloqueia até aceite; sequência conservadora dentro do sprint</t>
        </is>
      </c>
    </row>
    <row r="1004" ht="28" customHeight="1">
      <c r="A1004" s="3" t="inlineStr">
        <is>
          <t>SL-S47-09</t>
        </is>
      </c>
      <c r="B1004" s="3" t="inlineStr">
        <is>
          <t>SL-S47-GATE</t>
        </is>
      </c>
      <c r="C1004" s="3" t="inlineStr">
        <is>
          <t>S47</t>
        </is>
      </c>
      <c r="D1004" s="3" t="inlineStr">
        <is>
          <t>S47</t>
        </is>
      </c>
      <c r="E1004" s="3" t="inlineStr">
        <is>
          <t>Bloqueia até aceite; sequência conservadora dentro do sprint</t>
        </is>
      </c>
    </row>
    <row r="1005" ht="28" customHeight="1">
      <c r="A1005" s="3" t="inlineStr">
        <is>
          <t>SL-S47-10</t>
        </is>
      </c>
      <c r="B1005" s="3" t="inlineStr">
        <is>
          <t>SL-S47-GATE</t>
        </is>
      </c>
      <c r="C1005" s="3" t="inlineStr">
        <is>
          <t>S47</t>
        </is>
      </c>
      <c r="D1005" s="3" t="inlineStr">
        <is>
          <t>S47</t>
        </is>
      </c>
      <c r="E1005" s="3" t="inlineStr">
        <is>
          <t>Bloqueia até aceite; sequência conservadora dentro do sprint</t>
        </is>
      </c>
    </row>
    <row r="1006" ht="28" customHeight="1">
      <c r="A1006" s="3" t="inlineStr">
        <is>
          <t>SL-S23-GATE</t>
        </is>
      </c>
      <c r="B1006" s="3" t="inlineStr">
        <is>
          <t>SL-S48-01</t>
        </is>
      </c>
      <c r="C1006" s="3" t="inlineStr">
        <is>
          <t>S23</t>
        </is>
      </c>
      <c r="D1006" s="3" t="inlineStr">
        <is>
          <t>S48</t>
        </is>
      </c>
      <c r="E1006" s="3" t="inlineStr">
        <is>
          <t>Bloqueia até aceite; sequência conservadora dentro do sprint</t>
        </is>
      </c>
    </row>
    <row r="1007" ht="28" customHeight="1">
      <c r="A1007" s="3" t="inlineStr">
        <is>
          <t>SL-S26-GATE</t>
        </is>
      </c>
      <c r="B1007" s="3" t="inlineStr">
        <is>
          <t>SL-S48-01</t>
        </is>
      </c>
      <c r="C1007" s="3" t="inlineStr">
        <is>
          <t>S26</t>
        </is>
      </c>
      <c r="D1007" s="3" t="inlineStr">
        <is>
          <t>S48</t>
        </is>
      </c>
      <c r="E1007" s="3" t="inlineStr">
        <is>
          <t>Bloqueia até aceite; sequência conservadora dentro do sprint</t>
        </is>
      </c>
    </row>
    <row r="1008" ht="28" customHeight="1">
      <c r="A1008" s="3" t="inlineStr">
        <is>
          <t>SL-S29-GATE</t>
        </is>
      </c>
      <c r="B1008" s="3" t="inlineStr">
        <is>
          <t>SL-S48-01</t>
        </is>
      </c>
      <c r="C1008" s="3" t="inlineStr">
        <is>
          <t>S29</t>
        </is>
      </c>
      <c r="D1008" s="3" t="inlineStr">
        <is>
          <t>S48</t>
        </is>
      </c>
      <c r="E1008" s="3" t="inlineStr">
        <is>
          <t>Bloqueia até aceite; sequência conservadora dentro do sprint</t>
        </is>
      </c>
    </row>
    <row r="1009" ht="28" customHeight="1">
      <c r="A1009" s="3" t="inlineStr">
        <is>
          <t>SL-S47-GATE</t>
        </is>
      </c>
      <c r="B1009" s="3" t="inlineStr">
        <is>
          <t>SL-S48-01</t>
        </is>
      </c>
      <c r="C1009" s="3" t="inlineStr">
        <is>
          <t>S47</t>
        </is>
      </c>
      <c r="D1009" s="3" t="inlineStr">
        <is>
          <t>S48</t>
        </is>
      </c>
      <c r="E1009" s="3" t="inlineStr">
        <is>
          <t>Bloqueia até aceite; sequência conservadora dentro do sprint</t>
        </is>
      </c>
    </row>
    <row r="1010" ht="28" customHeight="1">
      <c r="A1010" s="3" t="inlineStr">
        <is>
          <t>SL-S48-01</t>
        </is>
      </c>
      <c r="B1010" s="3" t="inlineStr">
        <is>
          <t>SL-S48-02</t>
        </is>
      </c>
      <c r="C1010" s="3" t="inlineStr">
        <is>
          <t>S48</t>
        </is>
      </c>
      <c r="D1010" s="3" t="inlineStr">
        <is>
          <t>S48</t>
        </is>
      </c>
      <c r="E1010" s="3" t="inlineStr">
        <is>
          <t>Bloqueia até aceite; sequência conservadora dentro do sprint</t>
        </is>
      </c>
    </row>
    <row r="1011" ht="28" customHeight="1">
      <c r="A1011" s="3" t="inlineStr">
        <is>
          <t>SL-S48-02</t>
        </is>
      </c>
      <c r="B1011" s="3" t="inlineStr">
        <is>
          <t>SL-S48-03</t>
        </is>
      </c>
      <c r="C1011" s="3" t="inlineStr">
        <is>
          <t>S48</t>
        </is>
      </c>
      <c r="D1011" s="3" t="inlineStr">
        <is>
          <t>S48</t>
        </is>
      </c>
      <c r="E1011" s="3" t="inlineStr">
        <is>
          <t>Bloqueia até aceite; sequência conservadora dentro do sprint</t>
        </is>
      </c>
    </row>
    <row r="1012" ht="28" customHeight="1">
      <c r="A1012" s="3" t="inlineStr">
        <is>
          <t>SL-S48-03</t>
        </is>
      </c>
      <c r="B1012" s="3" t="inlineStr">
        <is>
          <t>SL-S48-04</t>
        </is>
      </c>
      <c r="C1012" s="3" t="inlineStr">
        <is>
          <t>S48</t>
        </is>
      </c>
      <c r="D1012" s="3" t="inlineStr">
        <is>
          <t>S48</t>
        </is>
      </c>
      <c r="E1012" s="3" t="inlineStr">
        <is>
          <t>Bloqueia até aceite; sequência conservadora dentro do sprint</t>
        </is>
      </c>
    </row>
    <row r="1013" ht="28" customHeight="1">
      <c r="A1013" s="3" t="inlineStr">
        <is>
          <t>SL-S48-04</t>
        </is>
      </c>
      <c r="B1013" s="3" t="inlineStr">
        <is>
          <t>SL-S48-05</t>
        </is>
      </c>
      <c r="C1013" s="3" t="inlineStr">
        <is>
          <t>S48</t>
        </is>
      </c>
      <c r="D1013" s="3" t="inlineStr">
        <is>
          <t>S48</t>
        </is>
      </c>
      <c r="E1013" s="3" t="inlineStr">
        <is>
          <t>Bloqueia até aceite; sequência conservadora dentro do sprint</t>
        </is>
      </c>
    </row>
    <row r="1014" ht="28" customHeight="1">
      <c r="A1014" s="3" t="inlineStr">
        <is>
          <t>SL-S48-05</t>
        </is>
      </c>
      <c r="B1014" s="3" t="inlineStr">
        <is>
          <t>SL-S48-06</t>
        </is>
      </c>
      <c r="C1014" s="3" t="inlineStr">
        <is>
          <t>S48</t>
        </is>
      </c>
      <c r="D1014" s="3" t="inlineStr">
        <is>
          <t>S48</t>
        </is>
      </c>
      <c r="E1014" s="3" t="inlineStr">
        <is>
          <t>Bloqueia até aceite; sequência conservadora dentro do sprint</t>
        </is>
      </c>
    </row>
    <row r="1015" ht="28" customHeight="1">
      <c r="A1015" s="3" t="inlineStr">
        <is>
          <t>SL-S48-06</t>
        </is>
      </c>
      <c r="B1015" s="3" t="inlineStr">
        <is>
          <t>SL-S48-07</t>
        </is>
      </c>
      <c r="C1015" s="3" t="inlineStr">
        <is>
          <t>S48</t>
        </is>
      </c>
      <c r="D1015" s="3" t="inlineStr">
        <is>
          <t>S48</t>
        </is>
      </c>
      <c r="E1015" s="3" t="inlineStr">
        <is>
          <t>Bloqueia até aceite; sequência conservadora dentro do sprint</t>
        </is>
      </c>
    </row>
    <row r="1016" ht="28" customHeight="1">
      <c r="A1016" s="3" t="inlineStr">
        <is>
          <t>SL-S48-07</t>
        </is>
      </c>
      <c r="B1016" s="3" t="inlineStr">
        <is>
          <t>SL-S48-08</t>
        </is>
      </c>
      <c r="C1016" s="3" t="inlineStr">
        <is>
          <t>S48</t>
        </is>
      </c>
      <c r="D1016" s="3" t="inlineStr">
        <is>
          <t>S48</t>
        </is>
      </c>
      <c r="E1016" s="3" t="inlineStr">
        <is>
          <t>Bloqueia até aceite; sequência conservadora dentro do sprint</t>
        </is>
      </c>
    </row>
    <row r="1017" ht="28" customHeight="1">
      <c r="A1017" s="3" t="inlineStr">
        <is>
          <t>SL-S48-08</t>
        </is>
      </c>
      <c r="B1017" s="3" t="inlineStr">
        <is>
          <t>SL-S48-09</t>
        </is>
      </c>
      <c r="C1017" s="3" t="inlineStr">
        <is>
          <t>S48</t>
        </is>
      </c>
      <c r="D1017" s="3" t="inlineStr">
        <is>
          <t>S48</t>
        </is>
      </c>
      <c r="E1017" s="3" t="inlineStr">
        <is>
          <t>Bloqueia até aceite; sequência conservadora dentro do sprint</t>
        </is>
      </c>
    </row>
    <row r="1018" ht="28" customHeight="1">
      <c r="A1018" s="3" t="inlineStr">
        <is>
          <t>SL-S48-09</t>
        </is>
      </c>
      <c r="B1018" s="3" t="inlineStr">
        <is>
          <t>SL-S48-10</t>
        </is>
      </c>
      <c r="C1018" s="3" t="inlineStr">
        <is>
          <t>S48</t>
        </is>
      </c>
      <c r="D1018" s="3" t="inlineStr">
        <is>
          <t>S48</t>
        </is>
      </c>
      <c r="E1018" s="3" t="inlineStr">
        <is>
          <t>Bloqueia até aceite; sequência conservadora dentro do sprint</t>
        </is>
      </c>
    </row>
    <row r="1019" ht="28" customHeight="1">
      <c r="A1019" s="3" t="inlineStr">
        <is>
          <t>SL-S48-01</t>
        </is>
      </c>
      <c r="B1019" s="3" t="inlineStr">
        <is>
          <t>SL-S48-GATE</t>
        </is>
      </c>
      <c r="C1019" s="3" t="inlineStr">
        <is>
          <t>S48</t>
        </is>
      </c>
      <c r="D1019" s="3" t="inlineStr">
        <is>
          <t>S48</t>
        </is>
      </c>
      <c r="E1019" s="3" t="inlineStr">
        <is>
          <t>Bloqueia até aceite; sequência conservadora dentro do sprint</t>
        </is>
      </c>
    </row>
    <row r="1020" ht="28" customHeight="1">
      <c r="A1020" s="3" t="inlineStr">
        <is>
          <t>SL-S48-02</t>
        </is>
      </c>
      <c r="B1020" s="3" t="inlineStr">
        <is>
          <t>SL-S48-GATE</t>
        </is>
      </c>
      <c r="C1020" s="3" t="inlineStr">
        <is>
          <t>S48</t>
        </is>
      </c>
      <c r="D1020" s="3" t="inlineStr">
        <is>
          <t>S48</t>
        </is>
      </c>
      <c r="E1020" s="3" t="inlineStr">
        <is>
          <t>Bloqueia até aceite; sequência conservadora dentro do sprint</t>
        </is>
      </c>
    </row>
    <row r="1021" ht="28" customHeight="1">
      <c r="A1021" s="3" t="inlineStr">
        <is>
          <t>SL-S48-03</t>
        </is>
      </c>
      <c r="B1021" s="3" t="inlineStr">
        <is>
          <t>SL-S48-GATE</t>
        </is>
      </c>
      <c r="C1021" s="3" t="inlineStr">
        <is>
          <t>S48</t>
        </is>
      </c>
      <c r="D1021" s="3" t="inlineStr">
        <is>
          <t>S48</t>
        </is>
      </c>
      <c r="E1021" s="3" t="inlineStr">
        <is>
          <t>Bloqueia até aceite; sequência conservadora dentro do sprint</t>
        </is>
      </c>
    </row>
    <row r="1022" ht="28" customHeight="1">
      <c r="A1022" s="3" t="inlineStr">
        <is>
          <t>SL-S48-04</t>
        </is>
      </c>
      <c r="B1022" s="3" t="inlineStr">
        <is>
          <t>SL-S48-GATE</t>
        </is>
      </c>
      <c r="C1022" s="3" t="inlineStr">
        <is>
          <t>S48</t>
        </is>
      </c>
      <c r="D1022" s="3" t="inlineStr">
        <is>
          <t>S48</t>
        </is>
      </c>
      <c r="E1022" s="3" t="inlineStr">
        <is>
          <t>Bloqueia até aceite; sequência conservadora dentro do sprint</t>
        </is>
      </c>
    </row>
    <row r="1023" ht="28" customHeight="1">
      <c r="A1023" s="3" t="inlineStr">
        <is>
          <t>SL-S48-05</t>
        </is>
      </c>
      <c r="B1023" s="3" t="inlineStr">
        <is>
          <t>SL-S48-GATE</t>
        </is>
      </c>
      <c r="C1023" s="3" t="inlineStr">
        <is>
          <t>S48</t>
        </is>
      </c>
      <c r="D1023" s="3" t="inlineStr">
        <is>
          <t>S48</t>
        </is>
      </c>
      <c r="E1023" s="3" t="inlineStr">
        <is>
          <t>Bloqueia até aceite; sequência conservadora dentro do sprint</t>
        </is>
      </c>
    </row>
    <row r="1024" ht="28" customHeight="1">
      <c r="A1024" s="3" t="inlineStr">
        <is>
          <t>SL-S48-06</t>
        </is>
      </c>
      <c r="B1024" s="3" t="inlineStr">
        <is>
          <t>SL-S48-GATE</t>
        </is>
      </c>
      <c r="C1024" s="3" t="inlineStr">
        <is>
          <t>S48</t>
        </is>
      </c>
      <c r="D1024" s="3" t="inlineStr">
        <is>
          <t>S48</t>
        </is>
      </c>
      <c r="E1024" s="3" t="inlineStr">
        <is>
          <t>Bloqueia até aceite; sequência conservadora dentro do sprint</t>
        </is>
      </c>
    </row>
    <row r="1025" ht="28" customHeight="1">
      <c r="A1025" s="3" t="inlineStr">
        <is>
          <t>SL-S48-07</t>
        </is>
      </c>
      <c r="B1025" s="3" t="inlineStr">
        <is>
          <t>SL-S48-GATE</t>
        </is>
      </c>
      <c r="C1025" s="3" t="inlineStr">
        <is>
          <t>S48</t>
        </is>
      </c>
      <c r="D1025" s="3" t="inlineStr">
        <is>
          <t>S48</t>
        </is>
      </c>
      <c r="E1025" s="3" t="inlineStr">
        <is>
          <t>Bloqueia até aceite; sequência conservadora dentro do sprint</t>
        </is>
      </c>
    </row>
    <row r="1026" ht="28" customHeight="1">
      <c r="A1026" s="3" t="inlineStr">
        <is>
          <t>SL-S48-08</t>
        </is>
      </c>
      <c r="B1026" s="3" t="inlineStr">
        <is>
          <t>SL-S48-GATE</t>
        </is>
      </c>
      <c r="C1026" s="3" t="inlineStr">
        <is>
          <t>S48</t>
        </is>
      </c>
      <c r="D1026" s="3" t="inlineStr">
        <is>
          <t>S48</t>
        </is>
      </c>
      <c r="E1026" s="3" t="inlineStr">
        <is>
          <t>Bloqueia até aceite; sequência conservadora dentro do sprint</t>
        </is>
      </c>
    </row>
    <row r="1027" ht="28" customHeight="1">
      <c r="A1027" s="3" t="inlineStr">
        <is>
          <t>SL-S48-09</t>
        </is>
      </c>
      <c r="B1027" s="3" t="inlineStr">
        <is>
          <t>SL-S48-GATE</t>
        </is>
      </c>
      <c r="C1027" s="3" t="inlineStr">
        <is>
          <t>S48</t>
        </is>
      </c>
      <c r="D1027" s="3" t="inlineStr">
        <is>
          <t>S48</t>
        </is>
      </c>
      <c r="E1027" s="3" t="inlineStr">
        <is>
          <t>Bloqueia até aceite; sequência conservadora dentro do sprint</t>
        </is>
      </c>
    </row>
    <row r="1028" ht="28" customHeight="1">
      <c r="A1028" s="3" t="inlineStr">
        <is>
          <t>SL-S48-10</t>
        </is>
      </c>
      <c r="B1028" s="3" t="inlineStr">
        <is>
          <t>SL-S48-GATE</t>
        </is>
      </c>
      <c r="C1028" s="3" t="inlineStr">
        <is>
          <t>S48</t>
        </is>
      </c>
      <c r="D1028" s="3" t="inlineStr">
        <is>
          <t>S48</t>
        </is>
      </c>
      <c r="E1028" s="3" t="inlineStr">
        <is>
          <t>Bloqueia até aceite; sequência conservadora dentro do sprint</t>
        </is>
      </c>
    </row>
    <row r="1029" ht="28" customHeight="1">
      <c r="A1029" s="3" t="inlineStr">
        <is>
          <t>SL-S24-GATE</t>
        </is>
      </c>
      <c r="B1029" s="3" t="inlineStr">
        <is>
          <t>SL-S49-01</t>
        </is>
      </c>
      <c r="C1029" s="3" t="inlineStr">
        <is>
          <t>S24</t>
        </is>
      </c>
      <c r="D1029" s="3" t="inlineStr">
        <is>
          <t>S49</t>
        </is>
      </c>
      <c r="E1029" s="3" t="inlineStr">
        <is>
          <t>Bloqueia até aceite; sequência conservadora dentro do sprint</t>
        </is>
      </c>
    </row>
    <row r="1030" ht="28" customHeight="1">
      <c r="A1030" s="3" t="inlineStr">
        <is>
          <t>SL-S25-GATE</t>
        </is>
      </c>
      <c r="B1030" s="3" t="inlineStr">
        <is>
          <t>SL-S49-01</t>
        </is>
      </c>
      <c r="C1030" s="3" t="inlineStr">
        <is>
          <t>S25</t>
        </is>
      </c>
      <c r="D1030" s="3" t="inlineStr">
        <is>
          <t>S49</t>
        </is>
      </c>
      <c r="E1030" s="3" t="inlineStr">
        <is>
          <t>Bloqueia até aceite; sequência conservadora dentro do sprint</t>
        </is>
      </c>
    </row>
    <row r="1031" ht="28" customHeight="1">
      <c r="A1031" s="3" t="inlineStr">
        <is>
          <t>SL-S26-GATE</t>
        </is>
      </c>
      <c r="B1031" s="3" t="inlineStr">
        <is>
          <t>SL-S49-01</t>
        </is>
      </c>
      <c r="C1031" s="3" t="inlineStr">
        <is>
          <t>S26</t>
        </is>
      </c>
      <c r="D1031" s="3" t="inlineStr">
        <is>
          <t>S49</t>
        </is>
      </c>
      <c r="E1031" s="3" t="inlineStr">
        <is>
          <t>Bloqueia até aceite; sequência conservadora dentro do sprint</t>
        </is>
      </c>
    </row>
    <row r="1032" ht="28" customHeight="1">
      <c r="A1032" s="3" t="inlineStr">
        <is>
          <t>SL-S48-GATE</t>
        </is>
      </c>
      <c r="B1032" s="3" t="inlineStr">
        <is>
          <t>SL-S49-01</t>
        </is>
      </c>
      <c r="C1032" s="3" t="inlineStr">
        <is>
          <t>S48</t>
        </is>
      </c>
      <c r="D1032" s="3" t="inlineStr">
        <is>
          <t>S49</t>
        </is>
      </c>
      <c r="E1032" s="3" t="inlineStr">
        <is>
          <t>Bloqueia até aceite; sequência conservadora dentro do sprint</t>
        </is>
      </c>
    </row>
    <row r="1033" ht="28" customHeight="1">
      <c r="A1033" s="3" t="inlineStr">
        <is>
          <t>SL-S49-01</t>
        </is>
      </c>
      <c r="B1033" s="3" t="inlineStr">
        <is>
          <t>SL-S49-02</t>
        </is>
      </c>
      <c r="C1033" s="3" t="inlineStr">
        <is>
          <t>S49</t>
        </is>
      </c>
      <c r="D1033" s="3" t="inlineStr">
        <is>
          <t>S49</t>
        </is>
      </c>
      <c r="E1033" s="3" t="inlineStr">
        <is>
          <t>Bloqueia até aceite; sequência conservadora dentro do sprint</t>
        </is>
      </c>
    </row>
    <row r="1034" ht="28" customHeight="1">
      <c r="A1034" s="3" t="inlineStr">
        <is>
          <t>SL-S49-02</t>
        </is>
      </c>
      <c r="B1034" s="3" t="inlineStr">
        <is>
          <t>SL-S49-03</t>
        </is>
      </c>
      <c r="C1034" s="3" t="inlineStr">
        <is>
          <t>S49</t>
        </is>
      </c>
      <c r="D1034" s="3" t="inlineStr">
        <is>
          <t>S49</t>
        </is>
      </c>
      <c r="E1034" s="3" t="inlineStr">
        <is>
          <t>Bloqueia até aceite; sequência conservadora dentro do sprint</t>
        </is>
      </c>
    </row>
    <row r="1035" ht="28" customHeight="1">
      <c r="A1035" s="3" t="inlineStr">
        <is>
          <t>SL-S49-03</t>
        </is>
      </c>
      <c r="B1035" s="3" t="inlineStr">
        <is>
          <t>SL-S49-04</t>
        </is>
      </c>
      <c r="C1035" s="3" t="inlineStr">
        <is>
          <t>S49</t>
        </is>
      </c>
      <c r="D1035" s="3" t="inlineStr">
        <is>
          <t>S49</t>
        </is>
      </c>
      <c r="E1035" s="3" t="inlineStr">
        <is>
          <t>Bloqueia até aceite; sequência conservadora dentro do sprint</t>
        </is>
      </c>
    </row>
    <row r="1036" ht="28" customHeight="1">
      <c r="A1036" s="3" t="inlineStr">
        <is>
          <t>SL-S49-04</t>
        </is>
      </c>
      <c r="B1036" s="3" t="inlineStr">
        <is>
          <t>SL-S49-05</t>
        </is>
      </c>
      <c r="C1036" s="3" t="inlineStr">
        <is>
          <t>S49</t>
        </is>
      </c>
      <c r="D1036" s="3" t="inlineStr">
        <is>
          <t>S49</t>
        </is>
      </c>
      <c r="E1036" s="3" t="inlineStr">
        <is>
          <t>Bloqueia até aceite; sequência conservadora dentro do sprint</t>
        </is>
      </c>
    </row>
    <row r="1037" ht="28" customHeight="1">
      <c r="A1037" s="3" t="inlineStr">
        <is>
          <t>SL-S49-05</t>
        </is>
      </c>
      <c r="B1037" s="3" t="inlineStr">
        <is>
          <t>SL-S49-06</t>
        </is>
      </c>
      <c r="C1037" s="3" t="inlineStr">
        <is>
          <t>S49</t>
        </is>
      </c>
      <c r="D1037" s="3" t="inlineStr">
        <is>
          <t>S49</t>
        </is>
      </c>
      <c r="E1037" s="3" t="inlineStr">
        <is>
          <t>Bloqueia até aceite; sequência conservadora dentro do sprint</t>
        </is>
      </c>
    </row>
    <row r="1038" ht="28" customHeight="1">
      <c r="A1038" s="3" t="inlineStr">
        <is>
          <t>SL-S49-06</t>
        </is>
      </c>
      <c r="B1038" s="3" t="inlineStr">
        <is>
          <t>SL-S49-07</t>
        </is>
      </c>
      <c r="C1038" s="3" t="inlineStr">
        <is>
          <t>S49</t>
        </is>
      </c>
      <c r="D1038" s="3" t="inlineStr">
        <is>
          <t>S49</t>
        </is>
      </c>
      <c r="E1038" s="3" t="inlineStr">
        <is>
          <t>Bloqueia até aceite; sequência conservadora dentro do sprint</t>
        </is>
      </c>
    </row>
    <row r="1039" ht="28" customHeight="1">
      <c r="A1039" s="3" t="inlineStr">
        <is>
          <t>SL-S49-07</t>
        </is>
      </c>
      <c r="B1039" s="3" t="inlineStr">
        <is>
          <t>SL-S49-08</t>
        </is>
      </c>
      <c r="C1039" s="3" t="inlineStr">
        <is>
          <t>S49</t>
        </is>
      </c>
      <c r="D1039" s="3" t="inlineStr">
        <is>
          <t>S49</t>
        </is>
      </c>
      <c r="E1039" s="3" t="inlineStr">
        <is>
          <t>Bloqueia até aceite; sequência conservadora dentro do sprint</t>
        </is>
      </c>
    </row>
    <row r="1040" ht="28" customHeight="1">
      <c r="A1040" s="3" t="inlineStr">
        <is>
          <t>SL-S49-08</t>
        </is>
      </c>
      <c r="B1040" s="3" t="inlineStr">
        <is>
          <t>SL-S49-09</t>
        </is>
      </c>
      <c r="C1040" s="3" t="inlineStr">
        <is>
          <t>S49</t>
        </is>
      </c>
      <c r="D1040" s="3" t="inlineStr">
        <is>
          <t>S49</t>
        </is>
      </c>
      <c r="E1040" s="3" t="inlineStr">
        <is>
          <t>Bloqueia até aceite; sequência conservadora dentro do sprint</t>
        </is>
      </c>
    </row>
    <row r="1041" ht="28" customHeight="1">
      <c r="A1041" s="3" t="inlineStr">
        <is>
          <t>SL-S49-09</t>
        </is>
      </c>
      <c r="B1041" s="3" t="inlineStr">
        <is>
          <t>SL-S49-10</t>
        </is>
      </c>
      <c r="C1041" s="3" t="inlineStr">
        <is>
          <t>S49</t>
        </is>
      </c>
      <c r="D1041" s="3" t="inlineStr">
        <is>
          <t>S49</t>
        </is>
      </c>
      <c r="E1041" s="3" t="inlineStr">
        <is>
          <t>Bloqueia até aceite; sequência conservadora dentro do sprint</t>
        </is>
      </c>
    </row>
    <row r="1042" ht="28" customHeight="1">
      <c r="A1042" s="3" t="inlineStr">
        <is>
          <t>SL-S49-01</t>
        </is>
      </c>
      <c r="B1042" s="3" t="inlineStr">
        <is>
          <t>SL-S49-GATE</t>
        </is>
      </c>
      <c r="C1042" s="3" t="inlineStr">
        <is>
          <t>S49</t>
        </is>
      </c>
      <c r="D1042" s="3" t="inlineStr">
        <is>
          <t>S49</t>
        </is>
      </c>
      <c r="E1042" s="3" t="inlineStr">
        <is>
          <t>Bloqueia até aceite; sequência conservadora dentro do sprint</t>
        </is>
      </c>
    </row>
    <row r="1043" ht="28" customHeight="1">
      <c r="A1043" s="3" t="inlineStr">
        <is>
          <t>SL-S49-02</t>
        </is>
      </c>
      <c r="B1043" s="3" t="inlineStr">
        <is>
          <t>SL-S49-GATE</t>
        </is>
      </c>
      <c r="C1043" s="3" t="inlineStr">
        <is>
          <t>S49</t>
        </is>
      </c>
      <c r="D1043" s="3" t="inlineStr">
        <is>
          <t>S49</t>
        </is>
      </c>
      <c r="E1043" s="3" t="inlineStr">
        <is>
          <t>Bloqueia até aceite; sequência conservadora dentro do sprint</t>
        </is>
      </c>
    </row>
    <row r="1044" ht="28" customHeight="1">
      <c r="A1044" s="3" t="inlineStr">
        <is>
          <t>SL-S49-03</t>
        </is>
      </c>
      <c r="B1044" s="3" t="inlineStr">
        <is>
          <t>SL-S49-GATE</t>
        </is>
      </c>
      <c r="C1044" s="3" t="inlineStr">
        <is>
          <t>S49</t>
        </is>
      </c>
      <c r="D1044" s="3" t="inlineStr">
        <is>
          <t>S49</t>
        </is>
      </c>
      <c r="E1044" s="3" t="inlineStr">
        <is>
          <t>Bloqueia até aceite; sequência conservadora dentro do sprint</t>
        </is>
      </c>
    </row>
    <row r="1045" ht="28" customHeight="1">
      <c r="A1045" s="3" t="inlineStr">
        <is>
          <t>SL-S49-04</t>
        </is>
      </c>
      <c r="B1045" s="3" t="inlineStr">
        <is>
          <t>SL-S49-GATE</t>
        </is>
      </c>
      <c r="C1045" s="3" t="inlineStr">
        <is>
          <t>S49</t>
        </is>
      </c>
      <c r="D1045" s="3" t="inlineStr">
        <is>
          <t>S49</t>
        </is>
      </c>
      <c r="E1045" s="3" t="inlineStr">
        <is>
          <t>Bloqueia até aceite; sequência conservadora dentro do sprint</t>
        </is>
      </c>
    </row>
    <row r="1046" ht="28" customHeight="1">
      <c r="A1046" s="3" t="inlineStr">
        <is>
          <t>SL-S49-05</t>
        </is>
      </c>
      <c r="B1046" s="3" t="inlineStr">
        <is>
          <t>SL-S49-GATE</t>
        </is>
      </c>
      <c r="C1046" s="3" t="inlineStr">
        <is>
          <t>S49</t>
        </is>
      </c>
      <c r="D1046" s="3" t="inlineStr">
        <is>
          <t>S49</t>
        </is>
      </c>
      <c r="E1046" s="3" t="inlineStr">
        <is>
          <t>Bloqueia até aceite; sequência conservadora dentro do sprint</t>
        </is>
      </c>
    </row>
    <row r="1047" ht="28" customHeight="1">
      <c r="A1047" s="3" t="inlineStr">
        <is>
          <t>SL-S49-06</t>
        </is>
      </c>
      <c r="B1047" s="3" t="inlineStr">
        <is>
          <t>SL-S49-GATE</t>
        </is>
      </c>
      <c r="C1047" s="3" t="inlineStr">
        <is>
          <t>S49</t>
        </is>
      </c>
      <c r="D1047" s="3" t="inlineStr">
        <is>
          <t>S49</t>
        </is>
      </c>
      <c r="E1047" s="3" t="inlineStr">
        <is>
          <t>Bloqueia até aceite; sequência conservadora dentro do sprint</t>
        </is>
      </c>
    </row>
    <row r="1048" ht="28" customHeight="1">
      <c r="A1048" s="3" t="inlineStr">
        <is>
          <t>SL-S49-07</t>
        </is>
      </c>
      <c r="B1048" s="3" t="inlineStr">
        <is>
          <t>SL-S49-GATE</t>
        </is>
      </c>
      <c r="C1048" s="3" t="inlineStr">
        <is>
          <t>S49</t>
        </is>
      </c>
      <c r="D1048" s="3" t="inlineStr">
        <is>
          <t>S49</t>
        </is>
      </c>
      <c r="E1048" s="3" t="inlineStr">
        <is>
          <t>Bloqueia até aceite; sequência conservadora dentro do sprint</t>
        </is>
      </c>
    </row>
    <row r="1049" ht="28" customHeight="1">
      <c r="A1049" s="3" t="inlineStr">
        <is>
          <t>SL-S49-08</t>
        </is>
      </c>
      <c r="B1049" s="3" t="inlineStr">
        <is>
          <t>SL-S49-GATE</t>
        </is>
      </c>
      <c r="C1049" s="3" t="inlineStr">
        <is>
          <t>S49</t>
        </is>
      </c>
      <c r="D1049" s="3" t="inlineStr">
        <is>
          <t>S49</t>
        </is>
      </c>
      <c r="E1049" s="3" t="inlineStr">
        <is>
          <t>Bloqueia até aceite; sequência conservadora dentro do sprint</t>
        </is>
      </c>
    </row>
    <row r="1050" ht="28" customHeight="1">
      <c r="A1050" s="3" t="inlineStr">
        <is>
          <t>SL-S49-09</t>
        </is>
      </c>
      <c r="B1050" s="3" t="inlineStr">
        <is>
          <t>SL-S49-GATE</t>
        </is>
      </c>
      <c r="C1050" s="3" t="inlineStr">
        <is>
          <t>S49</t>
        </is>
      </c>
      <c r="D1050" s="3" t="inlineStr">
        <is>
          <t>S49</t>
        </is>
      </c>
      <c r="E1050" s="3" t="inlineStr">
        <is>
          <t>Bloqueia até aceite; sequência conservadora dentro do sprint</t>
        </is>
      </c>
    </row>
    <row r="1051" ht="28" customHeight="1">
      <c r="A1051" s="3" t="inlineStr">
        <is>
          <t>SL-S49-10</t>
        </is>
      </c>
      <c r="B1051" s="3" t="inlineStr">
        <is>
          <t>SL-S49-GATE</t>
        </is>
      </c>
      <c r="C1051" s="3" t="inlineStr">
        <is>
          <t>S49</t>
        </is>
      </c>
      <c r="D1051" s="3" t="inlineStr">
        <is>
          <t>S49</t>
        </is>
      </c>
      <c r="E1051" s="3" t="inlineStr">
        <is>
          <t>Bloqueia até aceite; sequência conservadora dentro do sprint</t>
        </is>
      </c>
    </row>
    <row r="1052" ht="28" customHeight="1">
      <c r="A1052" s="3" t="inlineStr">
        <is>
          <t>SL-S19-GATE</t>
        </is>
      </c>
      <c r="B1052" s="3" t="inlineStr">
        <is>
          <t>SL-S50-01</t>
        </is>
      </c>
      <c r="C1052" s="3" t="inlineStr">
        <is>
          <t>S19</t>
        </is>
      </c>
      <c r="D1052" s="3" t="inlineStr">
        <is>
          <t>S50</t>
        </is>
      </c>
      <c r="E1052" s="3" t="inlineStr">
        <is>
          <t>Bloqueia até aceite; sequência conservadora dentro do sprint</t>
        </is>
      </c>
    </row>
    <row r="1053" ht="28" customHeight="1">
      <c r="A1053" s="3" t="inlineStr">
        <is>
          <t>SL-S30-GATE</t>
        </is>
      </c>
      <c r="B1053" s="3" t="inlineStr">
        <is>
          <t>SL-S50-01</t>
        </is>
      </c>
      <c r="C1053" s="3" t="inlineStr">
        <is>
          <t>S30</t>
        </is>
      </c>
      <c r="D1053" s="3" t="inlineStr">
        <is>
          <t>S50</t>
        </is>
      </c>
      <c r="E1053" s="3" t="inlineStr">
        <is>
          <t>Bloqueia até aceite; sequência conservadora dentro do sprint</t>
        </is>
      </c>
    </row>
    <row r="1054" ht="28" customHeight="1">
      <c r="A1054" s="3" t="inlineStr">
        <is>
          <t>SL-S47-GATE</t>
        </is>
      </c>
      <c r="B1054" s="3" t="inlineStr">
        <is>
          <t>SL-S50-01</t>
        </is>
      </c>
      <c r="C1054" s="3" t="inlineStr">
        <is>
          <t>S47</t>
        </is>
      </c>
      <c r="D1054" s="3" t="inlineStr">
        <is>
          <t>S50</t>
        </is>
      </c>
      <c r="E1054" s="3" t="inlineStr">
        <is>
          <t>Bloqueia até aceite; sequência conservadora dentro do sprint</t>
        </is>
      </c>
    </row>
    <row r="1055" ht="28" customHeight="1">
      <c r="A1055" s="3" t="inlineStr">
        <is>
          <t>SL-S48-GATE</t>
        </is>
      </c>
      <c r="B1055" s="3" t="inlineStr">
        <is>
          <t>SL-S50-01</t>
        </is>
      </c>
      <c r="C1055" s="3" t="inlineStr">
        <is>
          <t>S48</t>
        </is>
      </c>
      <c r="D1055" s="3" t="inlineStr">
        <is>
          <t>S50</t>
        </is>
      </c>
      <c r="E1055" s="3" t="inlineStr">
        <is>
          <t>Bloqueia até aceite; sequência conservadora dentro do sprint</t>
        </is>
      </c>
    </row>
    <row r="1056" ht="28" customHeight="1">
      <c r="A1056" s="3" t="inlineStr">
        <is>
          <t>SL-S49-GATE</t>
        </is>
      </c>
      <c r="B1056" s="3" t="inlineStr">
        <is>
          <t>SL-S50-01</t>
        </is>
      </c>
      <c r="C1056" s="3" t="inlineStr">
        <is>
          <t>S49</t>
        </is>
      </c>
      <c r="D1056" s="3" t="inlineStr">
        <is>
          <t>S50</t>
        </is>
      </c>
      <c r="E1056" s="3" t="inlineStr">
        <is>
          <t>Bloqueia até aceite; sequência conservadora dentro do sprint</t>
        </is>
      </c>
    </row>
    <row r="1057" ht="28" customHeight="1">
      <c r="A1057" s="3" t="inlineStr">
        <is>
          <t>SL-S50-01</t>
        </is>
      </c>
      <c r="B1057" s="3" t="inlineStr">
        <is>
          <t>SL-S50-02</t>
        </is>
      </c>
      <c r="C1057" s="3" t="inlineStr">
        <is>
          <t>S50</t>
        </is>
      </c>
      <c r="D1057" s="3" t="inlineStr">
        <is>
          <t>S50</t>
        </is>
      </c>
      <c r="E1057" s="3" t="inlineStr">
        <is>
          <t>Bloqueia até aceite; sequência conservadora dentro do sprint</t>
        </is>
      </c>
    </row>
    <row r="1058" ht="28" customHeight="1">
      <c r="A1058" s="3" t="inlineStr">
        <is>
          <t>SL-S50-02</t>
        </is>
      </c>
      <c r="B1058" s="3" t="inlineStr">
        <is>
          <t>SL-S50-03</t>
        </is>
      </c>
      <c r="C1058" s="3" t="inlineStr">
        <is>
          <t>S50</t>
        </is>
      </c>
      <c r="D1058" s="3" t="inlineStr">
        <is>
          <t>S50</t>
        </is>
      </c>
      <c r="E1058" s="3" t="inlineStr">
        <is>
          <t>Bloqueia até aceite; sequência conservadora dentro do sprint</t>
        </is>
      </c>
    </row>
    <row r="1059" ht="28" customHeight="1">
      <c r="A1059" s="3" t="inlineStr">
        <is>
          <t>SL-S50-03</t>
        </is>
      </c>
      <c r="B1059" s="3" t="inlineStr">
        <is>
          <t>SL-S50-04</t>
        </is>
      </c>
      <c r="C1059" s="3" t="inlineStr">
        <is>
          <t>S50</t>
        </is>
      </c>
      <c r="D1059" s="3" t="inlineStr">
        <is>
          <t>S50</t>
        </is>
      </c>
      <c r="E1059" s="3" t="inlineStr">
        <is>
          <t>Bloqueia até aceite; sequência conservadora dentro do sprint</t>
        </is>
      </c>
    </row>
    <row r="1060" ht="28" customHeight="1">
      <c r="A1060" s="3" t="inlineStr">
        <is>
          <t>SL-S50-04</t>
        </is>
      </c>
      <c r="B1060" s="3" t="inlineStr">
        <is>
          <t>SL-S50-05</t>
        </is>
      </c>
      <c r="C1060" s="3" t="inlineStr">
        <is>
          <t>S50</t>
        </is>
      </c>
      <c r="D1060" s="3" t="inlineStr">
        <is>
          <t>S50</t>
        </is>
      </c>
      <c r="E1060" s="3" t="inlineStr">
        <is>
          <t>Bloqueia até aceite; sequência conservadora dentro do sprint</t>
        </is>
      </c>
    </row>
    <row r="1061" ht="28" customHeight="1">
      <c r="A1061" s="3" t="inlineStr">
        <is>
          <t>SL-S50-05</t>
        </is>
      </c>
      <c r="B1061" s="3" t="inlineStr">
        <is>
          <t>SL-S50-06</t>
        </is>
      </c>
      <c r="C1061" s="3" t="inlineStr">
        <is>
          <t>S50</t>
        </is>
      </c>
      <c r="D1061" s="3" t="inlineStr">
        <is>
          <t>S50</t>
        </is>
      </c>
      <c r="E1061" s="3" t="inlineStr">
        <is>
          <t>Bloqueia até aceite; sequência conservadora dentro do sprint</t>
        </is>
      </c>
    </row>
    <row r="1062" ht="28" customHeight="1">
      <c r="A1062" s="3" t="inlineStr">
        <is>
          <t>SL-S50-06</t>
        </is>
      </c>
      <c r="B1062" s="3" t="inlineStr">
        <is>
          <t>SL-S50-07</t>
        </is>
      </c>
      <c r="C1062" s="3" t="inlineStr">
        <is>
          <t>S50</t>
        </is>
      </c>
      <c r="D1062" s="3" t="inlineStr">
        <is>
          <t>S50</t>
        </is>
      </c>
      <c r="E1062" s="3" t="inlineStr">
        <is>
          <t>Bloqueia até aceite; sequência conservadora dentro do sprint</t>
        </is>
      </c>
    </row>
    <row r="1063" ht="28" customHeight="1">
      <c r="A1063" s="3" t="inlineStr">
        <is>
          <t>SL-S50-07</t>
        </is>
      </c>
      <c r="B1063" s="3" t="inlineStr">
        <is>
          <t>SL-S50-08</t>
        </is>
      </c>
      <c r="C1063" s="3" t="inlineStr">
        <is>
          <t>S50</t>
        </is>
      </c>
      <c r="D1063" s="3" t="inlineStr">
        <is>
          <t>S50</t>
        </is>
      </c>
      <c r="E1063" s="3" t="inlineStr">
        <is>
          <t>Bloqueia até aceite; sequência conservadora dentro do sprint</t>
        </is>
      </c>
    </row>
    <row r="1064" ht="28" customHeight="1">
      <c r="A1064" s="3" t="inlineStr">
        <is>
          <t>SL-S50-08</t>
        </is>
      </c>
      <c r="B1064" s="3" t="inlineStr">
        <is>
          <t>SL-S50-09</t>
        </is>
      </c>
      <c r="C1064" s="3" t="inlineStr">
        <is>
          <t>S50</t>
        </is>
      </c>
      <c r="D1064" s="3" t="inlineStr">
        <is>
          <t>S50</t>
        </is>
      </c>
      <c r="E1064" s="3" t="inlineStr">
        <is>
          <t>Bloqueia até aceite; sequência conservadora dentro do sprint</t>
        </is>
      </c>
    </row>
    <row r="1065" ht="28" customHeight="1">
      <c r="A1065" s="3" t="inlineStr">
        <is>
          <t>SL-S50-09</t>
        </is>
      </c>
      <c r="B1065" s="3" t="inlineStr">
        <is>
          <t>SL-S50-10</t>
        </is>
      </c>
      <c r="C1065" s="3" t="inlineStr">
        <is>
          <t>S50</t>
        </is>
      </c>
      <c r="D1065" s="3" t="inlineStr">
        <is>
          <t>S50</t>
        </is>
      </c>
      <c r="E1065" s="3" t="inlineStr">
        <is>
          <t>Bloqueia até aceite; sequência conservadora dentro do sprint</t>
        </is>
      </c>
    </row>
    <row r="1066" ht="28" customHeight="1">
      <c r="A1066" s="3" t="inlineStr">
        <is>
          <t>SL-S50-01</t>
        </is>
      </c>
      <c r="B1066" s="3" t="inlineStr">
        <is>
          <t>SL-S50-GATE</t>
        </is>
      </c>
      <c r="C1066" s="3" t="inlineStr">
        <is>
          <t>S50</t>
        </is>
      </c>
      <c r="D1066" s="3" t="inlineStr">
        <is>
          <t>S50</t>
        </is>
      </c>
      <c r="E1066" s="3" t="inlineStr">
        <is>
          <t>Bloqueia até aceite; sequência conservadora dentro do sprint</t>
        </is>
      </c>
    </row>
    <row r="1067" ht="28" customHeight="1">
      <c r="A1067" s="3" t="inlineStr">
        <is>
          <t>SL-S50-02</t>
        </is>
      </c>
      <c r="B1067" s="3" t="inlineStr">
        <is>
          <t>SL-S50-GATE</t>
        </is>
      </c>
      <c r="C1067" s="3" t="inlineStr">
        <is>
          <t>S50</t>
        </is>
      </c>
      <c r="D1067" s="3" t="inlineStr">
        <is>
          <t>S50</t>
        </is>
      </c>
      <c r="E1067" s="3" t="inlineStr">
        <is>
          <t>Bloqueia até aceite; sequência conservadora dentro do sprint</t>
        </is>
      </c>
    </row>
    <row r="1068" ht="28" customHeight="1">
      <c r="A1068" s="3" t="inlineStr">
        <is>
          <t>SL-S50-03</t>
        </is>
      </c>
      <c r="B1068" s="3" t="inlineStr">
        <is>
          <t>SL-S50-GATE</t>
        </is>
      </c>
      <c r="C1068" s="3" t="inlineStr">
        <is>
          <t>S50</t>
        </is>
      </c>
      <c r="D1068" s="3" t="inlineStr">
        <is>
          <t>S50</t>
        </is>
      </c>
      <c r="E1068" s="3" t="inlineStr">
        <is>
          <t>Bloqueia até aceite; sequência conservadora dentro do sprint</t>
        </is>
      </c>
    </row>
    <row r="1069" ht="28" customHeight="1">
      <c r="A1069" s="3" t="inlineStr">
        <is>
          <t>SL-S50-04</t>
        </is>
      </c>
      <c r="B1069" s="3" t="inlineStr">
        <is>
          <t>SL-S50-GATE</t>
        </is>
      </c>
      <c r="C1069" s="3" t="inlineStr">
        <is>
          <t>S50</t>
        </is>
      </c>
      <c r="D1069" s="3" t="inlineStr">
        <is>
          <t>S50</t>
        </is>
      </c>
      <c r="E1069" s="3" t="inlineStr">
        <is>
          <t>Bloqueia até aceite; sequência conservadora dentro do sprint</t>
        </is>
      </c>
    </row>
    <row r="1070" ht="28" customHeight="1">
      <c r="A1070" s="3" t="inlineStr">
        <is>
          <t>SL-S50-05</t>
        </is>
      </c>
      <c r="B1070" s="3" t="inlineStr">
        <is>
          <t>SL-S50-GATE</t>
        </is>
      </c>
      <c r="C1070" s="3" t="inlineStr">
        <is>
          <t>S50</t>
        </is>
      </c>
      <c r="D1070" s="3" t="inlineStr">
        <is>
          <t>S50</t>
        </is>
      </c>
      <c r="E1070" s="3" t="inlineStr">
        <is>
          <t>Bloqueia até aceite; sequência conservadora dentro do sprint</t>
        </is>
      </c>
    </row>
    <row r="1071" ht="28" customHeight="1">
      <c r="A1071" s="3" t="inlineStr">
        <is>
          <t>SL-S50-06</t>
        </is>
      </c>
      <c r="B1071" s="3" t="inlineStr">
        <is>
          <t>SL-S50-GATE</t>
        </is>
      </c>
      <c r="C1071" s="3" t="inlineStr">
        <is>
          <t>S50</t>
        </is>
      </c>
      <c r="D1071" s="3" t="inlineStr">
        <is>
          <t>S50</t>
        </is>
      </c>
      <c r="E1071" s="3" t="inlineStr">
        <is>
          <t>Bloqueia até aceite; sequência conservadora dentro do sprint</t>
        </is>
      </c>
    </row>
    <row r="1072" ht="28" customHeight="1">
      <c r="A1072" s="3" t="inlineStr">
        <is>
          <t>SL-S50-07</t>
        </is>
      </c>
      <c r="B1072" s="3" t="inlineStr">
        <is>
          <t>SL-S50-GATE</t>
        </is>
      </c>
      <c r="C1072" s="3" t="inlineStr">
        <is>
          <t>S50</t>
        </is>
      </c>
      <c r="D1072" s="3" t="inlineStr">
        <is>
          <t>S50</t>
        </is>
      </c>
      <c r="E1072" s="3" t="inlineStr">
        <is>
          <t>Bloqueia até aceite; sequência conservadora dentro do sprint</t>
        </is>
      </c>
    </row>
    <row r="1073" ht="28" customHeight="1">
      <c r="A1073" s="3" t="inlineStr">
        <is>
          <t>SL-S50-08</t>
        </is>
      </c>
      <c r="B1073" s="3" t="inlineStr">
        <is>
          <t>SL-S50-GATE</t>
        </is>
      </c>
      <c r="C1073" s="3" t="inlineStr">
        <is>
          <t>S50</t>
        </is>
      </c>
      <c r="D1073" s="3" t="inlineStr">
        <is>
          <t>S50</t>
        </is>
      </c>
      <c r="E1073" s="3" t="inlineStr">
        <is>
          <t>Bloqueia até aceite; sequência conservadora dentro do sprint</t>
        </is>
      </c>
    </row>
    <row r="1074" ht="28" customHeight="1">
      <c r="A1074" s="3" t="inlineStr">
        <is>
          <t>SL-S50-09</t>
        </is>
      </c>
      <c r="B1074" s="3" t="inlineStr">
        <is>
          <t>SL-S50-GATE</t>
        </is>
      </c>
      <c r="C1074" s="3" t="inlineStr">
        <is>
          <t>S50</t>
        </is>
      </c>
      <c r="D1074" s="3" t="inlineStr">
        <is>
          <t>S50</t>
        </is>
      </c>
      <c r="E1074" s="3" t="inlineStr">
        <is>
          <t>Bloqueia até aceite; sequência conservadora dentro do sprint</t>
        </is>
      </c>
    </row>
    <row r="1075" ht="28" customHeight="1">
      <c r="A1075" s="3" t="inlineStr">
        <is>
          <t>SL-S50-10</t>
        </is>
      </c>
      <c r="B1075" s="3" t="inlineStr">
        <is>
          <t>SL-S50-GATE</t>
        </is>
      </c>
      <c r="C1075" s="3" t="inlineStr">
        <is>
          <t>S50</t>
        </is>
      </c>
      <c r="D1075" s="3" t="inlineStr">
        <is>
          <t>S50</t>
        </is>
      </c>
      <c r="E1075" s="3" t="inlineStr">
        <is>
          <t>Bloqueia até aceite; sequência conservadora dentro do sprint</t>
        </is>
      </c>
    </row>
    <row r="1076" ht="28" customHeight="1">
      <c r="A1076" s="3" t="inlineStr">
        <is>
          <t>SL-S21-GATE</t>
        </is>
      </c>
      <c r="B1076" s="3" t="inlineStr">
        <is>
          <t>SL-S51-01</t>
        </is>
      </c>
      <c r="C1076" s="3" t="inlineStr">
        <is>
          <t>S21</t>
        </is>
      </c>
      <c r="D1076" s="3" t="inlineStr">
        <is>
          <t>S51</t>
        </is>
      </c>
      <c r="E1076" s="3" t="inlineStr">
        <is>
          <t>Bloqueia até aceite; sequência conservadora dentro do sprint</t>
        </is>
      </c>
    </row>
    <row r="1077" ht="28" customHeight="1">
      <c r="A1077" s="3" t="inlineStr">
        <is>
          <t>SL-S32-GATE</t>
        </is>
      </c>
      <c r="B1077" s="3" t="inlineStr">
        <is>
          <t>SL-S51-01</t>
        </is>
      </c>
      <c r="C1077" s="3" t="inlineStr">
        <is>
          <t>S32</t>
        </is>
      </c>
      <c r="D1077" s="3" t="inlineStr">
        <is>
          <t>S51</t>
        </is>
      </c>
      <c r="E1077" s="3" t="inlineStr">
        <is>
          <t>Bloqueia até aceite; sequência conservadora dentro do sprint</t>
        </is>
      </c>
    </row>
    <row r="1078" ht="28" customHeight="1">
      <c r="A1078" s="3" t="inlineStr">
        <is>
          <t>SL-S46-GATE</t>
        </is>
      </c>
      <c r="B1078" s="3" t="inlineStr">
        <is>
          <t>SL-S51-01</t>
        </is>
      </c>
      <c r="C1078" s="3" t="inlineStr">
        <is>
          <t>S46</t>
        </is>
      </c>
      <c r="D1078" s="3" t="inlineStr">
        <is>
          <t>S51</t>
        </is>
      </c>
      <c r="E1078" s="3" t="inlineStr">
        <is>
          <t>Bloqueia até aceite; sequência conservadora dentro do sprint</t>
        </is>
      </c>
    </row>
    <row r="1079" ht="28" customHeight="1">
      <c r="A1079" s="3" t="inlineStr">
        <is>
          <t>SL-S50-GATE</t>
        </is>
      </c>
      <c r="B1079" s="3" t="inlineStr">
        <is>
          <t>SL-S51-01</t>
        </is>
      </c>
      <c r="C1079" s="3" t="inlineStr">
        <is>
          <t>S50</t>
        </is>
      </c>
      <c r="D1079" s="3" t="inlineStr">
        <is>
          <t>S51</t>
        </is>
      </c>
      <c r="E1079" s="3" t="inlineStr">
        <is>
          <t>Bloqueia até aceite; sequência conservadora dentro do sprint</t>
        </is>
      </c>
    </row>
    <row r="1080" ht="28" customHeight="1">
      <c r="A1080" s="3" t="inlineStr">
        <is>
          <t>SL-S51-01</t>
        </is>
      </c>
      <c r="B1080" s="3" t="inlineStr">
        <is>
          <t>SL-S51-02</t>
        </is>
      </c>
      <c r="C1080" s="3" t="inlineStr">
        <is>
          <t>S51</t>
        </is>
      </c>
      <c r="D1080" s="3" t="inlineStr">
        <is>
          <t>S51</t>
        </is>
      </c>
      <c r="E1080" s="3" t="inlineStr">
        <is>
          <t>Bloqueia até aceite; sequência conservadora dentro do sprint</t>
        </is>
      </c>
    </row>
    <row r="1081" ht="28" customHeight="1">
      <c r="A1081" s="3" t="inlineStr">
        <is>
          <t>SL-S51-02</t>
        </is>
      </c>
      <c r="B1081" s="3" t="inlineStr">
        <is>
          <t>SL-S51-03</t>
        </is>
      </c>
      <c r="C1081" s="3" t="inlineStr">
        <is>
          <t>S51</t>
        </is>
      </c>
      <c r="D1081" s="3" t="inlineStr">
        <is>
          <t>S51</t>
        </is>
      </c>
      <c r="E1081" s="3" t="inlineStr">
        <is>
          <t>Bloqueia até aceite; sequência conservadora dentro do sprint</t>
        </is>
      </c>
    </row>
    <row r="1082" ht="28" customHeight="1">
      <c r="A1082" s="3" t="inlineStr">
        <is>
          <t>SL-S51-03</t>
        </is>
      </c>
      <c r="B1082" s="3" t="inlineStr">
        <is>
          <t>SL-S51-04</t>
        </is>
      </c>
      <c r="C1082" s="3" t="inlineStr">
        <is>
          <t>S51</t>
        </is>
      </c>
      <c r="D1082" s="3" t="inlineStr">
        <is>
          <t>S51</t>
        </is>
      </c>
      <c r="E1082" s="3" t="inlineStr">
        <is>
          <t>Bloqueia até aceite; sequência conservadora dentro do sprint</t>
        </is>
      </c>
    </row>
    <row r="1083" ht="28" customHeight="1">
      <c r="A1083" s="3" t="inlineStr">
        <is>
          <t>SL-S51-04</t>
        </is>
      </c>
      <c r="B1083" s="3" t="inlineStr">
        <is>
          <t>SL-S51-05</t>
        </is>
      </c>
      <c r="C1083" s="3" t="inlineStr">
        <is>
          <t>S51</t>
        </is>
      </c>
      <c r="D1083" s="3" t="inlineStr">
        <is>
          <t>S51</t>
        </is>
      </c>
      <c r="E1083" s="3" t="inlineStr">
        <is>
          <t>Bloqueia até aceite; sequência conservadora dentro do sprint</t>
        </is>
      </c>
    </row>
    <row r="1084" ht="28" customHeight="1">
      <c r="A1084" s="3" t="inlineStr">
        <is>
          <t>SL-S51-05</t>
        </is>
      </c>
      <c r="B1084" s="3" t="inlineStr">
        <is>
          <t>SL-S51-06</t>
        </is>
      </c>
      <c r="C1084" s="3" t="inlineStr">
        <is>
          <t>S51</t>
        </is>
      </c>
      <c r="D1084" s="3" t="inlineStr">
        <is>
          <t>S51</t>
        </is>
      </c>
      <c r="E1084" s="3" t="inlineStr">
        <is>
          <t>Bloqueia até aceite; sequência conservadora dentro do sprint</t>
        </is>
      </c>
    </row>
    <row r="1085" ht="28" customHeight="1">
      <c r="A1085" s="3" t="inlineStr">
        <is>
          <t>SL-S51-06</t>
        </is>
      </c>
      <c r="B1085" s="3" t="inlineStr">
        <is>
          <t>SL-S51-07</t>
        </is>
      </c>
      <c r="C1085" s="3" t="inlineStr">
        <is>
          <t>S51</t>
        </is>
      </c>
      <c r="D1085" s="3" t="inlineStr">
        <is>
          <t>S51</t>
        </is>
      </c>
      <c r="E1085" s="3" t="inlineStr">
        <is>
          <t>Bloqueia até aceite; sequência conservadora dentro do sprint</t>
        </is>
      </c>
    </row>
    <row r="1086" ht="28" customHeight="1">
      <c r="A1086" s="3" t="inlineStr">
        <is>
          <t>SL-S51-07</t>
        </is>
      </c>
      <c r="B1086" s="3" t="inlineStr">
        <is>
          <t>SL-S51-08</t>
        </is>
      </c>
      <c r="C1086" s="3" t="inlineStr">
        <is>
          <t>S51</t>
        </is>
      </c>
      <c r="D1086" s="3" t="inlineStr">
        <is>
          <t>S51</t>
        </is>
      </c>
      <c r="E1086" s="3" t="inlineStr">
        <is>
          <t>Bloqueia até aceite; sequência conservadora dentro do sprint</t>
        </is>
      </c>
    </row>
    <row r="1087" ht="28" customHeight="1">
      <c r="A1087" s="3" t="inlineStr">
        <is>
          <t>SL-S51-08</t>
        </is>
      </c>
      <c r="B1087" s="3" t="inlineStr">
        <is>
          <t>SL-S51-09</t>
        </is>
      </c>
      <c r="C1087" s="3" t="inlineStr">
        <is>
          <t>S51</t>
        </is>
      </c>
      <c r="D1087" s="3" t="inlineStr">
        <is>
          <t>S51</t>
        </is>
      </c>
      <c r="E1087" s="3" t="inlineStr">
        <is>
          <t>Bloqueia até aceite; sequência conservadora dentro do sprint</t>
        </is>
      </c>
    </row>
    <row r="1088" ht="28" customHeight="1">
      <c r="A1088" s="3" t="inlineStr">
        <is>
          <t>SL-S51-09</t>
        </is>
      </c>
      <c r="B1088" s="3" t="inlineStr">
        <is>
          <t>SL-S51-10</t>
        </is>
      </c>
      <c r="C1088" s="3" t="inlineStr">
        <is>
          <t>S51</t>
        </is>
      </c>
      <c r="D1088" s="3" t="inlineStr">
        <is>
          <t>S51</t>
        </is>
      </c>
      <c r="E1088" s="3" t="inlineStr">
        <is>
          <t>Bloqueia até aceite; sequência conservadora dentro do sprint</t>
        </is>
      </c>
    </row>
    <row r="1089" ht="28" customHeight="1">
      <c r="A1089" s="3" t="inlineStr">
        <is>
          <t>SL-S51-01</t>
        </is>
      </c>
      <c r="B1089" s="3" t="inlineStr">
        <is>
          <t>SL-S51-GATE</t>
        </is>
      </c>
      <c r="C1089" s="3" t="inlineStr">
        <is>
          <t>S51</t>
        </is>
      </c>
      <c r="D1089" s="3" t="inlineStr">
        <is>
          <t>S51</t>
        </is>
      </c>
      <c r="E1089" s="3" t="inlineStr">
        <is>
          <t>Bloqueia até aceite; sequência conservadora dentro do sprint</t>
        </is>
      </c>
    </row>
    <row r="1090" ht="28" customHeight="1">
      <c r="A1090" s="3" t="inlineStr">
        <is>
          <t>SL-S51-02</t>
        </is>
      </c>
      <c r="B1090" s="3" t="inlineStr">
        <is>
          <t>SL-S51-GATE</t>
        </is>
      </c>
      <c r="C1090" s="3" t="inlineStr">
        <is>
          <t>S51</t>
        </is>
      </c>
      <c r="D1090" s="3" t="inlineStr">
        <is>
          <t>S51</t>
        </is>
      </c>
      <c r="E1090" s="3" t="inlineStr">
        <is>
          <t>Bloqueia até aceite; sequência conservadora dentro do sprint</t>
        </is>
      </c>
    </row>
    <row r="1091" ht="28" customHeight="1">
      <c r="A1091" s="3" t="inlineStr">
        <is>
          <t>SL-S51-03</t>
        </is>
      </c>
      <c r="B1091" s="3" t="inlineStr">
        <is>
          <t>SL-S51-GATE</t>
        </is>
      </c>
      <c r="C1091" s="3" t="inlineStr">
        <is>
          <t>S51</t>
        </is>
      </c>
      <c r="D1091" s="3" t="inlineStr">
        <is>
          <t>S51</t>
        </is>
      </c>
      <c r="E1091" s="3" t="inlineStr">
        <is>
          <t>Bloqueia até aceite; sequência conservadora dentro do sprint</t>
        </is>
      </c>
    </row>
    <row r="1092" ht="28" customHeight="1">
      <c r="A1092" s="3" t="inlineStr">
        <is>
          <t>SL-S51-04</t>
        </is>
      </c>
      <c r="B1092" s="3" t="inlineStr">
        <is>
          <t>SL-S51-GATE</t>
        </is>
      </c>
      <c r="C1092" s="3" t="inlineStr">
        <is>
          <t>S51</t>
        </is>
      </c>
      <c r="D1092" s="3" t="inlineStr">
        <is>
          <t>S51</t>
        </is>
      </c>
      <c r="E1092" s="3" t="inlineStr">
        <is>
          <t>Bloqueia até aceite; sequência conservadora dentro do sprint</t>
        </is>
      </c>
    </row>
    <row r="1093" ht="28" customHeight="1">
      <c r="A1093" s="3" t="inlineStr">
        <is>
          <t>SL-S51-05</t>
        </is>
      </c>
      <c r="B1093" s="3" t="inlineStr">
        <is>
          <t>SL-S51-GATE</t>
        </is>
      </c>
      <c r="C1093" s="3" t="inlineStr">
        <is>
          <t>S51</t>
        </is>
      </c>
      <c r="D1093" s="3" t="inlineStr">
        <is>
          <t>S51</t>
        </is>
      </c>
      <c r="E1093" s="3" t="inlineStr">
        <is>
          <t>Bloqueia até aceite; sequência conservadora dentro do sprint</t>
        </is>
      </c>
    </row>
    <row r="1094" ht="28" customHeight="1">
      <c r="A1094" s="3" t="inlineStr">
        <is>
          <t>SL-S51-06</t>
        </is>
      </c>
      <c r="B1094" s="3" t="inlineStr">
        <is>
          <t>SL-S51-GATE</t>
        </is>
      </c>
      <c r="C1094" s="3" t="inlineStr">
        <is>
          <t>S51</t>
        </is>
      </c>
      <c r="D1094" s="3" t="inlineStr">
        <is>
          <t>S51</t>
        </is>
      </c>
      <c r="E1094" s="3" t="inlineStr">
        <is>
          <t>Bloqueia até aceite; sequência conservadora dentro do sprint</t>
        </is>
      </c>
    </row>
    <row r="1095" ht="28" customHeight="1">
      <c r="A1095" s="3" t="inlineStr">
        <is>
          <t>SL-S51-07</t>
        </is>
      </c>
      <c r="B1095" s="3" t="inlineStr">
        <is>
          <t>SL-S51-GATE</t>
        </is>
      </c>
      <c r="C1095" s="3" t="inlineStr">
        <is>
          <t>S51</t>
        </is>
      </c>
      <c r="D1095" s="3" t="inlineStr">
        <is>
          <t>S51</t>
        </is>
      </c>
      <c r="E1095" s="3" t="inlineStr">
        <is>
          <t>Bloqueia até aceite; sequência conservadora dentro do sprint</t>
        </is>
      </c>
    </row>
    <row r="1096" ht="28" customHeight="1">
      <c r="A1096" s="3" t="inlineStr">
        <is>
          <t>SL-S51-08</t>
        </is>
      </c>
      <c r="B1096" s="3" t="inlineStr">
        <is>
          <t>SL-S51-GATE</t>
        </is>
      </c>
      <c r="C1096" s="3" t="inlineStr">
        <is>
          <t>S51</t>
        </is>
      </c>
      <c r="D1096" s="3" t="inlineStr">
        <is>
          <t>S51</t>
        </is>
      </c>
      <c r="E1096" s="3" t="inlineStr">
        <is>
          <t>Bloqueia até aceite; sequência conservadora dentro do sprint</t>
        </is>
      </c>
    </row>
    <row r="1097" ht="28" customHeight="1">
      <c r="A1097" s="3" t="inlineStr">
        <is>
          <t>SL-S51-09</t>
        </is>
      </c>
      <c r="B1097" s="3" t="inlineStr">
        <is>
          <t>SL-S51-GATE</t>
        </is>
      </c>
      <c r="C1097" s="3" t="inlineStr">
        <is>
          <t>S51</t>
        </is>
      </c>
      <c r="D1097" s="3" t="inlineStr">
        <is>
          <t>S51</t>
        </is>
      </c>
      <c r="E1097" s="3" t="inlineStr">
        <is>
          <t>Bloqueia até aceite; sequência conservadora dentro do sprint</t>
        </is>
      </c>
    </row>
    <row r="1098" ht="28" customHeight="1">
      <c r="A1098" s="3" t="inlineStr">
        <is>
          <t>SL-S51-10</t>
        </is>
      </c>
      <c r="B1098" s="3" t="inlineStr">
        <is>
          <t>SL-S51-GATE</t>
        </is>
      </c>
      <c r="C1098" s="3" t="inlineStr">
        <is>
          <t>S51</t>
        </is>
      </c>
      <c r="D1098" s="3" t="inlineStr">
        <is>
          <t>S51</t>
        </is>
      </c>
      <c r="E1098" s="3" t="inlineStr">
        <is>
          <t>Bloqueia até aceite; sequência conservadora dentro do sprint</t>
        </is>
      </c>
    </row>
    <row r="1099" ht="28" customHeight="1">
      <c r="A1099" s="3" t="inlineStr">
        <is>
          <t>SL-S35-GATE</t>
        </is>
      </c>
      <c r="B1099" s="3" t="inlineStr">
        <is>
          <t>SL-S52-01</t>
        </is>
      </c>
      <c r="C1099" s="3" t="inlineStr">
        <is>
          <t>S35</t>
        </is>
      </c>
      <c r="D1099" s="3" t="inlineStr">
        <is>
          <t>S52</t>
        </is>
      </c>
      <c r="E1099" s="3" t="inlineStr">
        <is>
          <t>Bloqueia até aceite; sequência conservadora dentro do sprint</t>
        </is>
      </c>
    </row>
    <row r="1100" ht="28" customHeight="1">
      <c r="A1100" s="3" t="inlineStr">
        <is>
          <t>SL-S41-GATE</t>
        </is>
      </c>
      <c r="B1100" s="3" t="inlineStr">
        <is>
          <t>SL-S52-01</t>
        </is>
      </c>
      <c r="C1100" s="3" t="inlineStr">
        <is>
          <t>S41</t>
        </is>
      </c>
      <c r="D1100" s="3" t="inlineStr">
        <is>
          <t>S52</t>
        </is>
      </c>
      <c r="E1100" s="3" t="inlineStr">
        <is>
          <t>Bloqueia até aceite; sequência conservadora dentro do sprint</t>
        </is>
      </c>
    </row>
    <row r="1101" ht="28" customHeight="1">
      <c r="A1101" s="3" t="inlineStr">
        <is>
          <t>SL-S46-GATE</t>
        </is>
      </c>
      <c r="B1101" s="3" t="inlineStr">
        <is>
          <t>SL-S52-01</t>
        </is>
      </c>
      <c r="C1101" s="3" t="inlineStr">
        <is>
          <t>S46</t>
        </is>
      </c>
      <c r="D1101" s="3" t="inlineStr">
        <is>
          <t>S52</t>
        </is>
      </c>
      <c r="E1101" s="3" t="inlineStr">
        <is>
          <t>Bloqueia até aceite; sequência conservadora dentro do sprint</t>
        </is>
      </c>
    </row>
    <row r="1102" ht="28" customHeight="1">
      <c r="A1102" s="3" t="inlineStr">
        <is>
          <t>SL-S51-GATE</t>
        </is>
      </c>
      <c r="B1102" s="3" t="inlineStr">
        <is>
          <t>SL-S52-01</t>
        </is>
      </c>
      <c r="C1102" s="3" t="inlineStr">
        <is>
          <t>S51</t>
        </is>
      </c>
      <c r="D1102" s="3" t="inlineStr">
        <is>
          <t>S52</t>
        </is>
      </c>
      <c r="E1102" s="3" t="inlineStr">
        <is>
          <t>Bloqueia até aceite; sequência conservadora dentro do sprint</t>
        </is>
      </c>
    </row>
    <row r="1103" ht="28" customHeight="1">
      <c r="A1103" s="3" t="inlineStr">
        <is>
          <t>SL-S52-01</t>
        </is>
      </c>
      <c r="B1103" s="3" t="inlineStr">
        <is>
          <t>SL-S52-02</t>
        </is>
      </c>
      <c r="C1103" s="3" t="inlineStr">
        <is>
          <t>S52</t>
        </is>
      </c>
      <c r="D1103" s="3" t="inlineStr">
        <is>
          <t>S52</t>
        </is>
      </c>
      <c r="E1103" s="3" t="inlineStr">
        <is>
          <t>Bloqueia até aceite; sequência conservadora dentro do sprint</t>
        </is>
      </c>
    </row>
    <row r="1104" ht="28" customHeight="1">
      <c r="A1104" s="3" t="inlineStr">
        <is>
          <t>SL-S52-02</t>
        </is>
      </c>
      <c r="B1104" s="3" t="inlineStr">
        <is>
          <t>SL-S52-03</t>
        </is>
      </c>
      <c r="C1104" s="3" t="inlineStr">
        <is>
          <t>S52</t>
        </is>
      </c>
      <c r="D1104" s="3" t="inlineStr">
        <is>
          <t>S52</t>
        </is>
      </c>
      <c r="E1104" s="3" t="inlineStr">
        <is>
          <t>Bloqueia até aceite; sequência conservadora dentro do sprint</t>
        </is>
      </c>
    </row>
    <row r="1105" ht="28" customHeight="1">
      <c r="A1105" s="3" t="inlineStr">
        <is>
          <t>SL-S52-03</t>
        </is>
      </c>
      <c r="B1105" s="3" t="inlineStr">
        <is>
          <t>SL-S52-04</t>
        </is>
      </c>
      <c r="C1105" s="3" t="inlineStr">
        <is>
          <t>S52</t>
        </is>
      </c>
      <c r="D1105" s="3" t="inlineStr">
        <is>
          <t>S52</t>
        </is>
      </c>
      <c r="E1105" s="3" t="inlineStr">
        <is>
          <t>Bloqueia até aceite; sequência conservadora dentro do sprint</t>
        </is>
      </c>
    </row>
    <row r="1106" ht="28" customHeight="1">
      <c r="A1106" s="3" t="inlineStr">
        <is>
          <t>SL-S52-04</t>
        </is>
      </c>
      <c r="B1106" s="3" t="inlineStr">
        <is>
          <t>SL-S52-05</t>
        </is>
      </c>
      <c r="C1106" s="3" t="inlineStr">
        <is>
          <t>S52</t>
        </is>
      </c>
      <c r="D1106" s="3" t="inlineStr">
        <is>
          <t>S52</t>
        </is>
      </c>
      <c r="E1106" s="3" t="inlineStr">
        <is>
          <t>Bloqueia até aceite; sequência conservadora dentro do sprint</t>
        </is>
      </c>
    </row>
    <row r="1107" ht="28" customHeight="1">
      <c r="A1107" s="3" t="inlineStr">
        <is>
          <t>SL-S52-05</t>
        </is>
      </c>
      <c r="B1107" s="3" t="inlineStr">
        <is>
          <t>SL-S52-06</t>
        </is>
      </c>
      <c r="C1107" s="3" t="inlineStr">
        <is>
          <t>S52</t>
        </is>
      </c>
      <c r="D1107" s="3" t="inlineStr">
        <is>
          <t>S52</t>
        </is>
      </c>
      <c r="E1107" s="3" t="inlineStr">
        <is>
          <t>Bloqueia até aceite; sequência conservadora dentro do sprint</t>
        </is>
      </c>
    </row>
    <row r="1108" ht="28" customHeight="1">
      <c r="A1108" s="3" t="inlineStr">
        <is>
          <t>SL-S52-06</t>
        </is>
      </c>
      <c r="B1108" s="3" t="inlineStr">
        <is>
          <t>SL-S52-07</t>
        </is>
      </c>
      <c r="C1108" s="3" t="inlineStr">
        <is>
          <t>S52</t>
        </is>
      </c>
      <c r="D1108" s="3" t="inlineStr">
        <is>
          <t>S52</t>
        </is>
      </c>
      <c r="E1108" s="3" t="inlineStr">
        <is>
          <t>Bloqueia até aceite; sequência conservadora dentro do sprint</t>
        </is>
      </c>
    </row>
    <row r="1109" ht="28" customHeight="1">
      <c r="A1109" s="3" t="inlineStr">
        <is>
          <t>SL-S52-07</t>
        </is>
      </c>
      <c r="B1109" s="3" t="inlineStr">
        <is>
          <t>SL-S52-08</t>
        </is>
      </c>
      <c r="C1109" s="3" t="inlineStr">
        <is>
          <t>S52</t>
        </is>
      </c>
      <c r="D1109" s="3" t="inlineStr">
        <is>
          <t>S52</t>
        </is>
      </c>
      <c r="E1109" s="3" t="inlineStr">
        <is>
          <t>Bloqueia até aceite; sequência conservadora dentro do sprint</t>
        </is>
      </c>
    </row>
    <row r="1110" ht="28" customHeight="1">
      <c r="A1110" s="3" t="inlineStr">
        <is>
          <t>SL-S52-08</t>
        </is>
      </c>
      <c r="B1110" s="3" t="inlineStr">
        <is>
          <t>SL-S52-09</t>
        </is>
      </c>
      <c r="C1110" s="3" t="inlineStr">
        <is>
          <t>S52</t>
        </is>
      </c>
      <c r="D1110" s="3" t="inlineStr">
        <is>
          <t>S52</t>
        </is>
      </c>
      <c r="E1110" s="3" t="inlineStr">
        <is>
          <t>Bloqueia até aceite; sequência conservadora dentro do sprint</t>
        </is>
      </c>
    </row>
    <row r="1111" ht="28" customHeight="1">
      <c r="A1111" s="3" t="inlineStr">
        <is>
          <t>SL-S52-09</t>
        </is>
      </c>
      <c r="B1111" s="3" t="inlineStr">
        <is>
          <t>SL-S52-10</t>
        </is>
      </c>
      <c r="C1111" s="3" t="inlineStr">
        <is>
          <t>S52</t>
        </is>
      </c>
      <c r="D1111" s="3" t="inlineStr">
        <is>
          <t>S52</t>
        </is>
      </c>
      <c r="E1111" s="3" t="inlineStr">
        <is>
          <t>Bloqueia até aceite; sequência conservadora dentro do sprint</t>
        </is>
      </c>
    </row>
    <row r="1112" ht="28" customHeight="1">
      <c r="A1112" s="3" t="inlineStr">
        <is>
          <t>SL-S52-01</t>
        </is>
      </c>
      <c r="B1112" s="3" t="inlineStr">
        <is>
          <t>SL-S52-GATE</t>
        </is>
      </c>
      <c r="C1112" s="3" t="inlineStr">
        <is>
          <t>S52</t>
        </is>
      </c>
      <c r="D1112" s="3" t="inlineStr">
        <is>
          <t>S52</t>
        </is>
      </c>
      <c r="E1112" s="3" t="inlineStr">
        <is>
          <t>Bloqueia até aceite; sequência conservadora dentro do sprint</t>
        </is>
      </c>
    </row>
    <row r="1113" ht="28" customHeight="1">
      <c r="A1113" s="3" t="inlineStr">
        <is>
          <t>SL-S52-02</t>
        </is>
      </c>
      <c r="B1113" s="3" t="inlineStr">
        <is>
          <t>SL-S52-GATE</t>
        </is>
      </c>
      <c r="C1113" s="3" t="inlineStr">
        <is>
          <t>S52</t>
        </is>
      </c>
      <c r="D1113" s="3" t="inlineStr">
        <is>
          <t>S52</t>
        </is>
      </c>
      <c r="E1113" s="3" t="inlineStr">
        <is>
          <t>Bloqueia até aceite; sequência conservadora dentro do sprint</t>
        </is>
      </c>
    </row>
    <row r="1114" ht="28" customHeight="1">
      <c r="A1114" s="3" t="inlineStr">
        <is>
          <t>SL-S52-03</t>
        </is>
      </c>
      <c r="B1114" s="3" t="inlineStr">
        <is>
          <t>SL-S52-GATE</t>
        </is>
      </c>
      <c r="C1114" s="3" t="inlineStr">
        <is>
          <t>S52</t>
        </is>
      </c>
      <c r="D1114" s="3" t="inlineStr">
        <is>
          <t>S52</t>
        </is>
      </c>
      <c r="E1114" s="3" t="inlineStr">
        <is>
          <t>Bloqueia até aceite; sequência conservadora dentro do sprint</t>
        </is>
      </c>
    </row>
    <row r="1115" ht="28" customHeight="1">
      <c r="A1115" s="3" t="inlineStr">
        <is>
          <t>SL-S52-04</t>
        </is>
      </c>
      <c r="B1115" s="3" t="inlineStr">
        <is>
          <t>SL-S52-GATE</t>
        </is>
      </c>
      <c r="C1115" s="3" t="inlineStr">
        <is>
          <t>S52</t>
        </is>
      </c>
      <c r="D1115" s="3" t="inlineStr">
        <is>
          <t>S52</t>
        </is>
      </c>
      <c r="E1115" s="3" t="inlineStr">
        <is>
          <t>Bloqueia até aceite; sequência conservadora dentro do sprint</t>
        </is>
      </c>
    </row>
    <row r="1116" ht="28" customHeight="1">
      <c r="A1116" s="3" t="inlineStr">
        <is>
          <t>SL-S52-05</t>
        </is>
      </c>
      <c r="B1116" s="3" t="inlineStr">
        <is>
          <t>SL-S52-GATE</t>
        </is>
      </c>
      <c r="C1116" s="3" t="inlineStr">
        <is>
          <t>S52</t>
        </is>
      </c>
      <c r="D1116" s="3" t="inlineStr">
        <is>
          <t>S52</t>
        </is>
      </c>
      <c r="E1116" s="3" t="inlineStr">
        <is>
          <t>Bloqueia até aceite; sequência conservadora dentro do sprint</t>
        </is>
      </c>
    </row>
    <row r="1117" ht="28" customHeight="1">
      <c r="A1117" s="3" t="inlineStr">
        <is>
          <t>SL-S52-06</t>
        </is>
      </c>
      <c r="B1117" s="3" t="inlineStr">
        <is>
          <t>SL-S52-GATE</t>
        </is>
      </c>
      <c r="C1117" s="3" t="inlineStr">
        <is>
          <t>S52</t>
        </is>
      </c>
      <c r="D1117" s="3" t="inlineStr">
        <is>
          <t>S52</t>
        </is>
      </c>
      <c r="E1117" s="3" t="inlineStr">
        <is>
          <t>Bloqueia até aceite; sequência conservadora dentro do sprint</t>
        </is>
      </c>
    </row>
    <row r="1118" ht="28" customHeight="1">
      <c r="A1118" s="3" t="inlineStr">
        <is>
          <t>SL-S52-07</t>
        </is>
      </c>
      <c r="B1118" s="3" t="inlineStr">
        <is>
          <t>SL-S52-GATE</t>
        </is>
      </c>
      <c r="C1118" s="3" t="inlineStr">
        <is>
          <t>S52</t>
        </is>
      </c>
      <c r="D1118" s="3" t="inlineStr">
        <is>
          <t>S52</t>
        </is>
      </c>
      <c r="E1118" s="3" t="inlineStr">
        <is>
          <t>Bloqueia até aceite; sequência conservadora dentro do sprint</t>
        </is>
      </c>
    </row>
    <row r="1119" ht="28" customHeight="1">
      <c r="A1119" s="3" t="inlineStr">
        <is>
          <t>SL-S52-08</t>
        </is>
      </c>
      <c r="B1119" s="3" t="inlineStr">
        <is>
          <t>SL-S52-GATE</t>
        </is>
      </c>
      <c r="C1119" s="3" t="inlineStr">
        <is>
          <t>S52</t>
        </is>
      </c>
      <c r="D1119" s="3" t="inlineStr">
        <is>
          <t>S52</t>
        </is>
      </c>
      <c r="E1119" s="3" t="inlineStr">
        <is>
          <t>Bloqueia até aceite; sequência conservadora dentro do sprint</t>
        </is>
      </c>
    </row>
    <row r="1120" ht="28" customHeight="1">
      <c r="A1120" s="3" t="inlineStr">
        <is>
          <t>SL-S52-09</t>
        </is>
      </c>
      <c r="B1120" s="3" t="inlineStr">
        <is>
          <t>SL-S52-GATE</t>
        </is>
      </c>
      <c r="C1120" s="3" t="inlineStr">
        <is>
          <t>S52</t>
        </is>
      </c>
      <c r="D1120" s="3" t="inlineStr">
        <is>
          <t>S52</t>
        </is>
      </c>
      <c r="E1120" s="3" t="inlineStr">
        <is>
          <t>Bloqueia até aceite; sequência conservadora dentro do sprint</t>
        </is>
      </c>
    </row>
    <row r="1121" ht="28" customHeight="1">
      <c r="A1121" s="3" t="inlineStr">
        <is>
          <t>SL-S52-10</t>
        </is>
      </c>
      <c r="B1121" s="3" t="inlineStr">
        <is>
          <t>SL-S52-GATE</t>
        </is>
      </c>
      <c r="C1121" s="3" t="inlineStr">
        <is>
          <t>S52</t>
        </is>
      </c>
      <c r="D1121" s="3" t="inlineStr">
        <is>
          <t>S52</t>
        </is>
      </c>
      <c r="E1121" s="3" t="inlineStr">
        <is>
          <t>Bloqueia até aceite; sequência conservadora dentro do sprint</t>
        </is>
      </c>
    </row>
    <row r="1122" ht="28" customHeight="1">
      <c r="A1122" s="3" t="inlineStr">
        <is>
          <t>SL-S30-GATE</t>
        </is>
      </c>
      <c r="B1122" s="3" t="inlineStr">
        <is>
          <t>SL-S53-01</t>
        </is>
      </c>
      <c r="C1122" s="3" t="inlineStr">
        <is>
          <t>S30</t>
        </is>
      </c>
      <c r="D1122" s="3" t="inlineStr">
        <is>
          <t>S53</t>
        </is>
      </c>
      <c r="E1122" s="3" t="inlineStr">
        <is>
          <t>Bloqueia até aceite; sequência conservadora dentro do sprint</t>
        </is>
      </c>
    </row>
    <row r="1123" ht="28" customHeight="1">
      <c r="A1123" s="3" t="inlineStr">
        <is>
          <t>SL-S36-GATE</t>
        </is>
      </c>
      <c r="B1123" s="3" t="inlineStr">
        <is>
          <t>SL-S53-01</t>
        </is>
      </c>
      <c r="C1123" s="3" t="inlineStr">
        <is>
          <t>S36</t>
        </is>
      </c>
      <c r="D1123" s="3" t="inlineStr">
        <is>
          <t>S53</t>
        </is>
      </c>
      <c r="E1123" s="3" t="inlineStr">
        <is>
          <t>Bloqueia até aceite; sequência conservadora dentro do sprint</t>
        </is>
      </c>
    </row>
    <row r="1124" ht="28" customHeight="1">
      <c r="A1124" s="3" t="inlineStr">
        <is>
          <t>SL-S41-GATE</t>
        </is>
      </c>
      <c r="B1124" s="3" t="inlineStr">
        <is>
          <t>SL-S53-01</t>
        </is>
      </c>
      <c r="C1124" s="3" t="inlineStr">
        <is>
          <t>S41</t>
        </is>
      </c>
      <c r="D1124" s="3" t="inlineStr">
        <is>
          <t>S53</t>
        </is>
      </c>
      <c r="E1124" s="3" t="inlineStr">
        <is>
          <t>Bloqueia até aceite; sequência conservadora dentro do sprint</t>
        </is>
      </c>
    </row>
    <row r="1125" ht="28" customHeight="1">
      <c r="A1125" s="3" t="inlineStr">
        <is>
          <t>SL-S46-GATE</t>
        </is>
      </c>
      <c r="B1125" s="3" t="inlineStr">
        <is>
          <t>SL-S53-01</t>
        </is>
      </c>
      <c r="C1125" s="3" t="inlineStr">
        <is>
          <t>S46</t>
        </is>
      </c>
      <c r="D1125" s="3" t="inlineStr">
        <is>
          <t>S53</t>
        </is>
      </c>
      <c r="E1125" s="3" t="inlineStr">
        <is>
          <t>Bloqueia até aceite; sequência conservadora dentro do sprint</t>
        </is>
      </c>
    </row>
    <row r="1126" ht="28" customHeight="1">
      <c r="A1126" s="3" t="inlineStr">
        <is>
          <t>SL-S50-GATE</t>
        </is>
      </c>
      <c r="B1126" s="3" t="inlineStr">
        <is>
          <t>SL-S53-01</t>
        </is>
      </c>
      <c r="C1126" s="3" t="inlineStr">
        <is>
          <t>S50</t>
        </is>
      </c>
      <c r="D1126" s="3" t="inlineStr">
        <is>
          <t>S53</t>
        </is>
      </c>
      <c r="E1126" s="3" t="inlineStr">
        <is>
          <t>Bloqueia até aceite; sequência conservadora dentro do sprint</t>
        </is>
      </c>
    </row>
    <row r="1127" ht="28" customHeight="1">
      <c r="A1127" s="3" t="inlineStr">
        <is>
          <t>SL-S51-GATE</t>
        </is>
      </c>
      <c r="B1127" s="3" t="inlineStr">
        <is>
          <t>SL-S53-01</t>
        </is>
      </c>
      <c r="C1127" s="3" t="inlineStr">
        <is>
          <t>S51</t>
        </is>
      </c>
      <c r="D1127" s="3" t="inlineStr">
        <is>
          <t>S53</t>
        </is>
      </c>
      <c r="E1127" s="3" t="inlineStr">
        <is>
          <t>Bloqueia até aceite; sequência conservadora dentro do sprint</t>
        </is>
      </c>
    </row>
    <row r="1128" ht="28" customHeight="1">
      <c r="A1128" s="3" t="inlineStr">
        <is>
          <t>SL-S52-GATE</t>
        </is>
      </c>
      <c r="B1128" s="3" t="inlineStr">
        <is>
          <t>SL-S53-01</t>
        </is>
      </c>
      <c r="C1128" s="3" t="inlineStr">
        <is>
          <t>S52</t>
        </is>
      </c>
      <c r="D1128" s="3" t="inlineStr">
        <is>
          <t>S53</t>
        </is>
      </c>
      <c r="E1128" s="3" t="inlineStr">
        <is>
          <t>Bloqueia até aceite; sequência conservadora dentro do sprint</t>
        </is>
      </c>
    </row>
    <row r="1129" ht="28" customHeight="1">
      <c r="A1129" s="3" t="inlineStr">
        <is>
          <t>SL-S53-01</t>
        </is>
      </c>
      <c r="B1129" s="3" t="inlineStr">
        <is>
          <t>SL-S53-02</t>
        </is>
      </c>
      <c r="C1129" s="3" t="inlineStr">
        <is>
          <t>S53</t>
        </is>
      </c>
      <c r="D1129" s="3" t="inlineStr">
        <is>
          <t>S53</t>
        </is>
      </c>
      <c r="E1129" s="3" t="inlineStr">
        <is>
          <t>Bloqueia até aceite; sequência conservadora dentro do sprint</t>
        </is>
      </c>
    </row>
    <row r="1130" ht="28" customHeight="1">
      <c r="A1130" s="3" t="inlineStr">
        <is>
          <t>SL-S53-02</t>
        </is>
      </c>
      <c r="B1130" s="3" t="inlineStr">
        <is>
          <t>SL-S53-03</t>
        </is>
      </c>
      <c r="C1130" s="3" t="inlineStr">
        <is>
          <t>S53</t>
        </is>
      </c>
      <c r="D1130" s="3" t="inlineStr">
        <is>
          <t>S53</t>
        </is>
      </c>
      <c r="E1130" s="3" t="inlineStr">
        <is>
          <t>Bloqueia até aceite; sequência conservadora dentro do sprint</t>
        </is>
      </c>
    </row>
    <row r="1131" ht="28" customHeight="1">
      <c r="A1131" s="3" t="inlineStr">
        <is>
          <t>SL-S53-03</t>
        </is>
      </c>
      <c r="B1131" s="3" t="inlineStr">
        <is>
          <t>SL-S53-04</t>
        </is>
      </c>
      <c r="C1131" s="3" t="inlineStr">
        <is>
          <t>S53</t>
        </is>
      </c>
      <c r="D1131" s="3" t="inlineStr">
        <is>
          <t>S53</t>
        </is>
      </c>
      <c r="E1131" s="3" t="inlineStr">
        <is>
          <t>Bloqueia até aceite; sequência conservadora dentro do sprint</t>
        </is>
      </c>
    </row>
    <row r="1132" ht="28" customHeight="1">
      <c r="A1132" s="3" t="inlineStr">
        <is>
          <t>SL-S53-04</t>
        </is>
      </c>
      <c r="B1132" s="3" t="inlineStr">
        <is>
          <t>SL-S53-05</t>
        </is>
      </c>
      <c r="C1132" s="3" t="inlineStr">
        <is>
          <t>S53</t>
        </is>
      </c>
      <c r="D1132" s="3" t="inlineStr">
        <is>
          <t>S53</t>
        </is>
      </c>
      <c r="E1132" s="3" t="inlineStr">
        <is>
          <t>Bloqueia até aceite; sequência conservadora dentro do sprint</t>
        </is>
      </c>
    </row>
    <row r="1133" ht="28" customHeight="1">
      <c r="A1133" s="3" t="inlineStr">
        <is>
          <t>SL-S53-05</t>
        </is>
      </c>
      <c r="B1133" s="3" t="inlineStr">
        <is>
          <t>SL-S53-06</t>
        </is>
      </c>
      <c r="C1133" s="3" t="inlineStr">
        <is>
          <t>S53</t>
        </is>
      </c>
      <c r="D1133" s="3" t="inlineStr">
        <is>
          <t>S53</t>
        </is>
      </c>
      <c r="E1133" s="3" t="inlineStr">
        <is>
          <t>Bloqueia até aceite; sequência conservadora dentro do sprint</t>
        </is>
      </c>
    </row>
    <row r="1134" ht="28" customHeight="1">
      <c r="A1134" s="3" t="inlineStr">
        <is>
          <t>SL-S53-06</t>
        </is>
      </c>
      <c r="B1134" s="3" t="inlineStr">
        <is>
          <t>SL-S53-07</t>
        </is>
      </c>
      <c r="C1134" s="3" t="inlineStr">
        <is>
          <t>S53</t>
        </is>
      </c>
      <c r="D1134" s="3" t="inlineStr">
        <is>
          <t>S53</t>
        </is>
      </c>
      <c r="E1134" s="3" t="inlineStr">
        <is>
          <t>Bloqueia até aceite; sequência conservadora dentro do sprint</t>
        </is>
      </c>
    </row>
    <row r="1135" ht="28" customHeight="1">
      <c r="A1135" s="3" t="inlineStr">
        <is>
          <t>SL-S53-07</t>
        </is>
      </c>
      <c r="B1135" s="3" t="inlineStr">
        <is>
          <t>SL-S53-08</t>
        </is>
      </c>
      <c r="C1135" s="3" t="inlineStr">
        <is>
          <t>S53</t>
        </is>
      </c>
      <c r="D1135" s="3" t="inlineStr">
        <is>
          <t>S53</t>
        </is>
      </c>
      <c r="E1135" s="3" t="inlineStr">
        <is>
          <t>Bloqueia até aceite; sequência conservadora dentro do sprint</t>
        </is>
      </c>
    </row>
    <row r="1136" ht="28" customHeight="1">
      <c r="A1136" s="3" t="inlineStr">
        <is>
          <t>SL-S53-08</t>
        </is>
      </c>
      <c r="B1136" s="3" t="inlineStr">
        <is>
          <t>SL-S53-09</t>
        </is>
      </c>
      <c r="C1136" s="3" t="inlineStr">
        <is>
          <t>S53</t>
        </is>
      </c>
      <c r="D1136" s="3" t="inlineStr">
        <is>
          <t>S53</t>
        </is>
      </c>
      <c r="E1136" s="3" t="inlineStr">
        <is>
          <t>Bloqueia até aceite; sequência conservadora dentro do sprint</t>
        </is>
      </c>
    </row>
    <row r="1137" ht="28" customHeight="1">
      <c r="A1137" s="3" t="inlineStr">
        <is>
          <t>SL-S53-09</t>
        </is>
      </c>
      <c r="B1137" s="3" t="inlineStr">
        <is>
          <t>SL-S53-10</t>
        </is>
      </c>
      <c r="C1137" s="3" t="inlineStr">
        <is>
          <t>S53</t>
        </is>
      </c>
      <c r="D1137" s="3" t="inlineStr">
        <is>
          <t>S53</t>
        </is>
      </c>
      <c r="E1137" s="3" t="inlineStr">
        <is>
          <t>Bloqueia até aceite; sequência conservadora dentro do sprint</t>
        </is>
      </c>
    </row>
    <row r="1138" ht="28" customHeight="1">
      <c r="A1138" s="3" t="inlineStr">
        <is>
          <t>SL-S53-01</t>
        </is>
      </c>
      <c r="B1138" s="3" t="inlineStr">
        <is>
          <t>SL-S53-GATE</t>
        </is>
      </c>
      <c r="C1138" s="3" t="inlineStr">
        <is>
          <t>S53</t>
        </is>
      </c>
      <c r="D1138" s="3" t="inlineStr">
        <is>
          <t>S53</t>
        </is>
      </c>
      <c r="E1138" s="3" t="inlineStr">
        <is>
          <t>Bloqueia até aceite; sequência conservadora dentro do sprint</t>
        </is>
      </c>
    </row>
    <row r="1139" ht="28" customHeight="1">
      <c r="A1139" s="3" t="inlineStr">
        <is>
          <t>SL-S53-02</t>
        </is>
      </c>
      <c r="B1139" s="3" t="inlineStr">
        <is>
          <t>SL-S53-GATE</t>
        </is>
      </c>
      <c r="C1139" s="3" t="inlineStr">
        <is>
          <t>S53</t>
        </is>
      </c>
      <c r="D1139" s="3" t="inlineStr">
        <is>
          <t>S53</t>
        </is>
      </c>
      <c r="E1139" s="3" t="inlineStr">
        <is>
          <t>Bloqueia até aceite; sequência conservadora dentro do sprint</t>
        </is>
      </c>
    </row>
    <row r="1140" ht="28" customHeight="1">
      <c r="A1140" s="3" t="inlineStr">
        <is>
          <t>SL-S53-03</t>
        </is>
      </c>
      <c r="B1140" s="3" t="inlineStr">
        <is>
          <t>SL-S53-GATE</t>
        </is>
      </c>
      <c r="C1140" s="3" t="inlineStr">
        <is>
          <t>S53</t>
        </is>
      </c>
      <c r="D1140" s="3" t="inlineStr">
        <is>
          <t>S53</t>
        </is>
      </c>
      <c r="E1140" s="3" t="inlineStr">
        <is>
          <t>Bloqueia até aceite; sequência conservadora dentro do sprint</t>
        </is>
      </c>
    </row>
    <row r="1141" ht="28" customHeight="1">
      <c r="A1141" s="3" t="inlineStr">
        <is>
          <t>SL-S53-04</t>
        </is>
      </c>
      <c r="B1141" s="3" t="inlineStr">
        <is>
          <t>SL-S53-GATE</t>
        </is>
      </c>
      <c r="C1141" s="3" t="inlineStr">
        <is>
          <t>S53</t>
        </is>
      </c>
      <c r="D1141" s="3" t="inlineStr">
        <is>
          <t>S53</t>
        </is>
      </c>
      <c r="E1141" s="3" t="inlineStr">
        <is>
          <t>Bloqueia até aceite; sequência conservadora dentro do sprint</t>
        </is>
      </c>
    </row>
    <row r="1142" ht="28" customHeight="1">
      <c r="A1142" s="3" t="inlineStr">
        <is>
          <t>SL-S53-05</t>
        </is>
      </c>
      <c r="B1142" s="3" t="inlineStr">
        <is>
          <t>SL-S53-GATE</t>
        </is>
      </c>
      <c r="C1142" s="3" t="inlineStr">
        <is>
          <t>S53</t>
        </is>
      </c>
      <c r="D1142" s="3" t="inlineStr">
        <is>
          <t>S53</t>
        </is>
      </c>
      <c r="E1142" s="3" t="inlineStr">
        <is>
          <t>Bloqueia até aceite; sequência conservadora dentro do sprint</t>
        </is>
      </c>
    </row>
    <row r="1143" ht="28" customHeight="1">
      <c r="A1143" s="3" t="inlineStr">
        <is>
          <t>SL-S53-06</t>
        </is>
      </c>
      <c r="B1143" s="3" t="inlineStr">
        <is>
          <t>SL-S53-GATE</t>
        </is>
      </c>
      <c r="C1143" s="3" t="inlineStr">
        <is>
          <t>S53</t>
        </is>
      </c>
      <c r="D1143" s="3" t="inlineStr">
        <is>
          <t>S53</t>
        </is>
      </c>
      <c r="E1143" s="3" t="inlineStr">
        <is>
          <t>Bloqueia até aceite; sequência conservadora dentro do sprint</t>
        </is>
      </c>
    </row>
    <row r="1144" ht="28" customHeight="1">
      <c r="A1144" s="3" t="inlineStr">
        <is>
          <t>SL-S53-07</t>
        </is>
      </c>
      <c r="B1144" s="3" t="inlineStr">
        <is>
          <t>SL-S53-GATE</t>
        </is>
      </c>
      <c r="C1144" s="3" t="inlineStr">
        <is>
          <t>S53</t>
        </is>
      </c>
      <c r="D1144" s="3" t="inlineStr">
        <is>
          <t>S53</t>
        </is>
      </c>
      <c r="E1144" s="3" t="inlineStr">
        <is>
          <t>Bloqueia até aceite; sequência conservadora dentro do sprint</t>
        </is>
      </c>
    </row>
    <row r="1145" ht="28" customHeight="1">
      <c r="A1145" s="3" t="inlineStr">
        <is>
          <t>SL-S53-08</t>
        </is>
      </c>
      <c r="B1145" s="3" t="inlineStr">
        <is>
          <t>SL-S53-GATE</t>
        </is>
      </c>
      <c r="C1145" s="3" t="inlineStr">
        <is>
          <t>S53</t>
        </is>
      </c>
      <c r="D1145" s="3" t="inlineStr">
        <is>
          <t>S53</t>
        </is>
      </c>
      <c r="E1145" s="3" t="inlineStr">
        <is>
          <t>Bloqueia até aceite; sequência conservadora dentro do sprint</t>
        </is>
      </c>
    </row>
    <row r="1146" ht="28" customHeight="1">
      <c r="A1146" s="3" t="inlineStr">
        <is>
          <t>SL-S53-09</t>
        </is>
      </c>
      <c r="B1146" s="3" t="inlineStr">
        <is>
          <t>SL-S53-GATE</t>
        </is>
      </c>
      <c r="C1146" s="3" t="inlineStr">
        <is>
          <t>S53</t>
        </is>
      </c>
      <c r="D1146" s="3" t="inlineStr">
        <is>
          <t>S53</t>
        </is>
      </c>
      <c r="E1146" s="3" t="inlineStr">
        <is>
          <t>Bloqueia até aceite; sequência conservadora dentro do sprint</t>
        </is>
      </c>
    </row>
    <row r="1147" ht="28" customHeight="1">
      <c r="A1147" s="3" t="inlineStr">
        <is>
          <t>SL-S53-10</t>
        </is>
      </c>
      <c r="B1147" s="3" t="inlineStr">
        <is>
          <t>SL-S53-GATE</t>
        </is>
      </c>
      <c r="C1147" s="3" t="inlineStr">
        <is>
          <t>S53</t>
        </is>
      </c>
      <c r="D1147" s="3" t="inlineStr">
        <is>
          <t>S53</t>
        </is>
      </c>
      <c r="E1147" s="3" t="inlineStr">
        <is>
          <t>Bloqueia até aceite; sequência conservadora dentro do sprint</t>
        </is>
      </c>
    </row>
    <row r="1148" ht="28" customHeight="1">
      <c r="A1148" s="3" t="inlineStr">
        <is>
          <t>SL-S53-GATE</t>
        </is>
      </c>
      <c r="B1148" s="3" t="inlineStr">
        <is>
          <t>SL-S54-01</t>
        </is>
      </c>
      <c r="C1148" s="3" t="inlineStr">
        <is>
          <t>S53</t>
        </is>
      </c>
      <c r="D1148" s="3" t="inlineStr">
        <is>
          <t>S54</t>
        </is>
      </c>
      <c r="E1148" s="3" t="inlineStr">
        <is>
          <t>Bloqueia até aceite; sequência conservadora dentro do sprint</t>
        </is>
      </c>
    </row>
    <row r="1149" ht="28" customHeight="1">
      <c r="A1149" s="3" t="inlineStr">
        <is>
          <t>SL-S54-01</t>
        </is>
      </c>
      <c r="B1149" s="3" t="inlineStr">
        <is>
          <t>SL-S54-02</t>
        </is>
      </c>
      <c r="C1149" s="3" t="inlineStr">
        <is>
          <t>S54</t>
        </is>
      </c>
      <c r="D1149" s="3" t="inlineStr">
        <is>
          <t>S54</t>
        </is>
      </c>
      <c r="E1149" s="3" t="inlineStr">
        <is>
          <t>Bloqueia até aceite; sequência conservadora dentro do sprint</t>
        </is>
      </c>
    </row>
    <row r="1150" ht="28" customHeight="1">
      <c r="A1150" s="3" t="inlineStr">
        <is>
          <t>SL-S54-02</t>
        </is>
      </c>
      <c r="B1150" s="3" t="inlineStr">
        <is>
          <t>SL-S54-03</t>
        </is>
      </c>
      <c r="C1150" s="3" t="inlineStr">
        <is>
          <t>S54</t>
        </is>
      </c>
      <c r="D1150" s="3" t="inlineStr">
        <is>
          <t>S54</t>
        </is>
      </c>
      <c r="E1150" s="3" t="inlineStr">
        <is>
          <t>Bloqueia até aceite; sequência conservadora dentro do sprint</t>
        </is>
      </c>
    </row>
    <row r="1151" ht="28" customHeight="1">
      <c r="A1151" s="3" t="inlineStr">
        <is>
          <t>SL-S54-03</t>
        </is>
      </c>
      <c r="B1151" s="3" t="inlineStr">
        <is>
          <t>SL-S54-04</t>
        </is>
      </c>
      <c r="C1151" s="3" t="inlineStr">
        <is>
          <t>S54</t>
        </is>
      </c>
      <c r="D1151" s="3" t="inlineStr">
        <is>
          <t>S54</t>
        </is>
      </c>
      <c r="E1151" s="3" t="inlineStr">
        <is>
          <t>Bloqueia até aceite; sequência conservadora dentro do sprint</t>
        </is>
      </c>
    </row>
    <row r="1152" ht="28" customHeight="1">
      <c r="A1152" s="3" t="inlineStr">
        <is>
          <t>SL-S54-04</t>
        </is>
      </c>
      <c r="B1152" s="3" t="inlineStr">
        <is>
          <t>SL-S54-05</t>
        </is>
      </c>
      <c r="C1152" s="3" t="inlineStr">
        <is>
          <t>S54</t>
        </is>
      </c>
      <c r="D1152" s="3" t="inlineStr">
        <is>
          <t>S54</t>
        </is>
      </c>
      <c r="E1152" s="3" t="inlineStr">
        <is>
          <t>Bloqueia até aceite; sequência conservadora dentro do sprint</t>
        </is>
      </c>
    </row>
    <row r="1153" ht="28" customHeight="1">
      <c r="A1153" s="3" t="inlineStr">
        <is>
          <t>SL-S54-05</t>
        </is>
      </c>
      <c r="B1153" s="3" t="inlineStr">
        <is>
          <t>SL-S54-06</t>
        </is>
      </c>
      <c r="C1153" s="3" t="inlineStr">
        <is>
          <t>S54</t>
        </is>
      </c>
      <c r="D1153" s="3" t="inlineStr">
        <is>
          <t>S54</t>
        </is>
      </c>
      <c r="E1153" s="3" t="inlineStr">
        <is>
          <t>Bloqueia até aceite; sequência conservadora dentro do sprint</t>
        </is>
      </c>
    </row>
    <row r="1154" ht="28" customHeight="1">
      <c r="A1154" s="3" t="inlineStr">
        <is>
          <t>SL-S54-06</t>
        </is>
      </c>
      <c r="B1154" s="3" t="inlineStr">
        <is>
          <t>SL-S54-07</t>
        </is>
      </c>
      <c r="C1154" s="3" t="inlineStr">
        <is>
          <t>S54</t>
        </is>
      </c>
      <c r="D1154" s="3" t="inlineStr">
        <is>
          <t>S54</t>
        </is>
      </c>
      <c r="E1154" s="3" t="inlineStr">
        <is>
          <t>Bloqueia até aceite; sequência conservadora dentro do sprint</t>
        </is>
      </c>
    </row>
    <row r="1155" ht="28" customHeight="1">
      <c r="A1155" s="3" t="inlineStr">
        <is>
          <t>SL-S54-07</t>
        </is>
      </c>
      <c r="B1155" s="3" t="inlineStr">
        <is>
          <t>SL-S54-08</t>
        </is>
      </c>
      <c r="C1155" s="3" t="inlineStr">
        <is>
          <t>S54</t>
        </is>
      </c>
      <c r="D1155" s="3" t="inlineStr">
        <is>
          <t>S54</t>
        </is>
      </c>
      <c r="E1155" s="3" t="inlineStr">
        <is>
          <t>Bloqueia até aceite; sequência conservadora dentro do sprint</t>
        </is>
      </c>
    </row>
    <row r="1156" ht="28" customHeight="1">
      <c r="A1156" s="3" t="inlineStr">
        <is>
          <t>SL-S54-08</t>
        </is>
      </c>
      <c r="B1156" s="3" t="inlineStr">
        <is>
          <t>SL-S54-09</t>
        </is>
      </c>
      <c r="C1156" s="3" t="inlineStr">
        <is>
          <t>S54</t>
        </is>
      </c>
      <c r="D1156" s="3" t="inlineStr">
        <is>
          <t>S54</t>
        </is>
      </c>
      <c r="E1156" s="3" t="inlineStr">
        <is>
          <t>Bloqueia até aceite; sequência conservadora dentro do sprint</t>
        </is>
      </c>
    </row>
    <row r="1157" ht="28" customHeight="1">
      <c r="A1157" s="3" t="inlineStr">
        <is>
          <t>SL-S54-09</t>
        </is>
      </c>
      <c r="B1157" s="3" t="inlineStr">
        <is>
          <t>SL-S54-10</t>
        </is>
      </c>
      <c r="C1157" s="3" t="inlineStr">
        <is>
          <t>S54</t>
        </is>
      </c>
      <c r="D1157" s="3" t="inlineStr">
        <is>
          <t>S54</t>
        </is>
      </c>
      <c r="E1157" s="3" t="inlineStr">
        <is>
          <t>Bloqueia até aceite; sequência conservadora dentro do sprint</t>
        </is>
      </c>
    </row>
    <row r="1158" ht="28" customHeight="1">
      <c r="A1158" s="3" t="inlineStr">
        <is>
          <t>SL-S54-01</t>
        </is>
      </c>
      <c r="B1158" s="3" t="inlineStr">
        <is>
          <t>SL-S54-GATE</t>
        </is>
      </c>
      <c r="C1158" s="3" t="inlineStr">
        <is>
          <t>S54</t>
        </is>
      </c>
      <c r="D1158" s="3" t="inlineStr">
        <is>
          <t>S54</t>
        </is>
      </c>
      <c r="E1158" s="3" t="inlineStr">
        <is>
          <t>Bloqueia até aceite; sequência conservadora dentro do sprint</t>
        </is>
      </c>
    </row>
    <row r="1159" ht="28" customHeight="1">
      <c r="A1159" s="3" t="inlineStr">
        <is>
          <t>SL-S54-02</t>
        </is>
      </c>
      <c r="B1159" s="3" t="inlineStr">
        <is>
          <t>SL-S54-GATE</t>
        </is>
      </c>
      <c r="C1159" s="3" t="inlineStr">
        <is>
          <t>S54</t>
        </is>
      </c>
      <c r="D1159" s="3" t="inlineStr">
        <is>
          <t>S54</t>
        </is>
      </c>
      <c r="E1159" s="3" t="inlineStr">
        <is>
          <t>Bloqueia até aceite; sequência conservadora dentro do sprint</t>
        </is>
      </c>
    </row>
    <row r="1160" ht="28" customHeight="1">
      <c r="A1160" s="3" t="inlineStr">
        <is>
          <t>SL-S54-03</t>
        </is>
      </c>
      <c r="B1160" s="3" t="inlineStr">
        <is>
          <t>SL-S54-GATE</t>
        </is>
      </c>
      <c r="C1160" s="3" t="inlineStr">
        <is>
          <t>S54</t>
        </is>
      </c>
      <c r="D1160" s="3" t="inlineStr">
        <is>
          <t>S54</t>
        </is>
      </c>
      <c r="E1160" s="3" t="inlineStr">
        <is>
          <t>Bloqueia até aceite; sequência conservadora dentro do sprint</t>
        </is>
      </c>
    </row>
    <row r="1161" ht="28" customHeight="1">
      <c r="A1161" s="3" t="inlineStr">
        <is>
          <t>SL-S54-04</t>
        </is>
      </c>
      <c r="B1161" s="3" t="inlineStr">
        <is>
          <t>SL-S54-GATE</t>
        </is>
      </c>
      <c r="C1161" s="3" t="inlineStr">
        <is>
          <t>S54</t>
        </is>
      </c>
      <c r="D1161" s="3" t="inlineStr">
        <is>
          <t>S54</t>
        </is>
      </c>
      <c r="E1161" s="3" t="inlineStr">
        <is>
          <t>Bloqueia até aceite; sequência conservadora dentro do sprint</t>
        </is>
      </c>
    </row>
    <row r="1162" ht="28" customHeight="1">
      <c r="A1162" s="3" t="inlineStr">
        <is>
          <t>SL-S54-05</t>
        </is>
      </c>
      <c r="B1162" s="3" t="inlineStr">
        <is>
          <t>SL-S54-GATE</t>
        </is>
      </c>
      <c r="C1162" s="3" t="inlineStr">
        <is>
          <t>S54</t>
        </is>
      </c>
      <c r="D1162" s="3" t="inlineStr">
        <is>
          <t>S54</t>
        </is>
      </c>
      <c r="E1162" s="3" t="inlineStr">
        <is>
          <t>Bloqueia até aceite; sequência conservadora dentro do sprint</t>
        </is>
      </c>
    </row>
    <row r="1163" ht="28" customHeight="1">
      <c r="A1163" s="3" t="inlineStr">
        <is>
          <t>SL-S54-06</t>
        </is>
      </c>
      <c r="B1163" s="3" t="inlineStr">
        <is>
          <t>SL-S54-GATE</t>
        </is>
      </c>
      <c r="C1163" s="3" t="inlineStr">
        <is>
          <t>S54</t>
        </is>
      </c>
      <c r="D1163" s="3" t="inlineStr">
        <is>
          <t>S54</t>
        </is>
      </c>
      <c r="E1163" s="3" t="inlineStr">
        <is>
          <t>Bloqueia até aceite; sequência conservadora dentro do sprint</t>
        </is>
      </c>
    </row>
    <row r="1164" ht="28" customHeight="1">
      <c r="A1164" s="3" t="inlineStr">
        <is>
          <t>SL-S54-07</t>
        </is>
      </c>
      <c r="B1164" s="3" t="inlineStr">
        <is>
          <t>SL-S54-GATE</t>
        </is>
      </c>
      <c r="C1164" s="3" t="inlineStr">
        <is>
          <t>S54</t>
        </is>
      </c>
      <c r="D1164" s="3" t="inlineStr">
        <is>
          <t>S54</t>
        </is>
      </c>
      <c r="E1164" s="3" t="inlineStr">
        <is>
          <t>Bloqueia até aceite; sequência conservadora dentro do sprint</t>
        </is>
      </c>
    </row>
    <row r="1165" ht="28" customHeight="1">
      <c r="A1165" s="3" t="inlineStr">
        <is>
          <t>SL-S54-08</t>
        </is>
      </c>
      <c r="B1165" s="3" t="inlineStr">
        <is>
          <t>SL-S54-GATE</t>
        </is>
      </c>
      <c r="C1165" s="3" t="inlineStr">
        <is>
          <t>S54</t>
        </is>
      </c>
      <c r="D1165" s="3" t="inlineStr">
        <is>
          <t>S54</t>
        </is>
      </c>
      <c r="E1165" s="3" t="inlineStr">
        <is>
          <t>Bloqueia até aceite; sequência conservadora dentro do sprint</t>
        </is>
      </c>
    </row>
    <row r="1166" ht="28" customHeight="1">
      <c r="A1166" s="3" t="inlineStr">
        <is>
          <t>SL-S54-09</t>
        </is>
      </c>
      <c r="B1166" s="3" t="inlineStr">
        <is>
          <t>SL-S54-GATE</t>
        </is>
      </c>
      <c r="C1166" s="3" t="inlineStr">
        <is>
          <t>S54</t>
        </is>
      </c>
      <c r="D1166" s="3" t="inlineStr">
        <is>
          <t>S54</t>
        </is>
      </c>
      <c r="E1166" s="3" t="inlineStr">
        <is>
          <t>Bloqueia até aceite; sequência conservadora dentro do sprint</t>
        </is>
      </c>
    </row>
    <row r="1167" ht="28" customHeight="1">
      <c r="A1167" s="3" t="inlineStr">
        <is>
          <t>SL-S54-10</t>
        </is>
      </c>
      <c r="B1167" s="3" t="inlineStr">
        <is>
          <t>SL-S54-GATE</t>
        </is>
      </c>
      <c r="C1167" s="3" t="inlineStr">
        <is>
          <t>S54</t>
        </is>
      </c>
      <c r="D1167" s="3" t="inlineStr">
        <is>
          <t>S54</t>
        </is>
      </c>
      <c r="E1167" s="3" t="inlineStr">
        <is>
          <t>Bloqueia até aceite; sequência conservadora dentro do sprint</t>
        </is>
      </c>
    </row>
    <row r="1168" ht="28" customHeight="1">
      <c r="A1168" s="3" t="inlineStr">
        <is>
          <t>SL-S54-GATE</t>
        </is>
      </c>
      <c r="B1168" s="3" t="inlineStr">
        <is>
          <t>SL-S55-01</t>
        </is>
      </c>
      <c r="C1168" s="3" t="inlineStr">
        <is>
          <t>S54</t>
        </is>
      </c>
      <c r="D1168" s="3" t="inlineStr">
        <is>
          <t>S55</t>
        </is>
      </c>
      <c r="E1168" s="3" t="inlineStr">
        <is>
          <t>Bloqueia até aceite; sequência conservadora dentro do sprint</t>
        </is>
      </c>
    </row>
    <row r="1169" ht="28" customHeight="1">
      <c r="A1169" s="3" t="inlineStr">
        <is>
          <t>SL-S55-01</t>
        </is>
      </c>
      <c r="B1169" s="3" t="inlineStr">
        <is>
          <t>SL-S55-02</t>
        </is>
      </c>
      <c r="C1169" s="3" t="inlineStr">
        <is>
          <t>S55</t>
        </is>
      </c>
      <c r="D1169" s="3" t="inlineStr">
        <is>
          <t>S55</t>
        </is>
      </c>
      <c r="E1169" s="3" t="inlineStr">
        <is>
          <t>Bloqueia até aceite; sequência conservadora dentro do sprint</t>
        </is>
      </c>
    </row>
    <row r="1170" ht="28" customHeight="1">
      <c r="A1170" s="3" t="inlineStr">
        <is>
          <t>SL-S55-02</t>
        </is>
      </c>
      <c r="B1170" s="3" t="inlineStr">
        <is>
          <t>SL-S55-03</t>
        </is>
      </c>
      <c r="C1170" s="3" t="inlineStr">
        <is>
          <t>S55</t>
        </is>
      </c>
      <c r="D1170" s="3" t="inlineStr">
        <is>
          <t>S55</t>
        </is>
      </c>
      <c r="E1170" s="3" t="inlineStr">
        <is>
          <t>Bloqueia até aceite; sequência conservadora dentro do sprint</t>
        </is>
      </c>
    </row>
    <row r="1171" ht="28" customHeight="1">
      <c r="A1171" s="3" t="inlineStr">
        <is>
          <t>SL-S55-03</t>
        </is>
      </c>
      <c r="B1171" s="3" t="inlineStr">
        <is>
          <t>SL-S55-04</t>
        </is>
      </c>
      <c r="C1171" s="3" t="inlineStr">
        <is>
          <t>S55</t>
        </is>
      </c>
      <c r="D1171" s="3" t="inlineStr">
        <is>
          <t>S55</t>
        </is>
      </c>
      <c r="E1171" s="3" t="inlineStr">
        <is>
          <t>Bloqueia até aceite; sequência conservadora dentro do sprint</t>
        </is>
      </c>
    </row>
    <row r="1172" ht="28" customHeight="1">
      <c r="A1172" s="3" t="inlineStr">
        <is>
          <t>SL-S55-04</t>
        </is>
      </c>
      <c r="B1172" s="3" t="inlineStr">
        <is>
          <t>SL-S55-05</t>
        </is>
      </c>
      <c r="C1172" s="3" t="inlineStr">
        <is>
          <t>S55</t>
        </is>
      </c>
      <c r="D1172" s="3" t="inlineStr">
        <is>
          <t>S55</t>
        </is>
      </c>
      <c r="E1172" s="3" t="inlineStr">
        <is>
          <t>Bloqueia até aceite; sequência conservadora dentro do sprint</t>
        </is>
      </c>
    </row>
    <row r="1173" ht="28" customHeight="1">
      <c r="A1173" s="3" t="inlineStr">
        <is>
          <t>SL-S55-05</t>
        </is>
      </c>
      <c r="B1173" s="3" t="inlineStr">
        <is>
          <t>SL-S55-06</t>
        </is>
      </c>
      <c r="C1173" s="3" t="inlineStr">
        <is>
          <t>S55</t>
        </is>
      </c>
      <c r="D1173" s="3" t="inlineStr">
        <is>
          <t>S55</t>
        </is>
      </c>
      <c r="E1173" s="3" t="inlineStr">
        <is>
          <t>Bloqueia até aceite; sequência conservadora dentro do sprint</t>
        </is>
      </c>
    </row>
    <row r="1174" ht="28" customHeight="1">
      <c r="A1174" s="3" t="inlineStr">
        <is>
          <t>SL-S55-06</t>
        </is>
      </c>
      <c r="B1174" s="3" t="inlineStr">
        <is>
          <t>SL-S55-07</t>
        </is>
      </c>
      <c r="C1174" s="3" t="inlineStr">
        <is>
          <t>S55</t>
        </is>
      </c>
      <c r="D1174" s="3" t="inlineStr">
        <is>
          <t>S55</t>
        </is>
      </c>
      <c r="E1174" s="3" t="inlineStr">
        <is>
          <t>Bloqueia até aceite; sequência conservadora dentro do sprint</t>
        </is>
      </c>
    </row>
    <row r="1175" ht="28" customHeight="1">
      <c r="A1175" s="3" t="inlineStr">
        <is>
          <t>SL-S55-07</t>
        </is>
      </c>
      <c r="B1175" s="3" t="inlineStr">
        <is>
          <t>SL-S55-08</t>
        </is>
      </c>
      <c r="C1175" s="3" t="inlineStr">
        <is>
          <t>S55</t>
        </is>
      </c>
      <c r="D1175" s="3" t="inlineStr">
        <is>
          <t>S55</t>
        </is>
      </c>
      <c r="E1175" s="3" t="inlineStr">
        <is>
          <t>Bloqueia até aceite; sequência conservadora dentro do sprint</t>
        </is>
      </c>
    </row>
    <row r="1176" ht="28" customHeight="1">
      <c r="A1176" s="3" t="inlineStr">
        <is>
          <t>SL-S55-08</t>
        </is>
      </c>
      <c r="B1176" s="3" t="inlineStr">
        <is>
          <t>SL-S55-09</t>
        </is>
      </c>
      <c r="C1176" s="3" t="inlineStr">
        <is>
          <t>S55</t>
        </is>
      </c>
      <c r="D1176" s="3" t="inlineStr">
        <is>
          <t>S55</t>
        </is>
      </c>
      <c r="E1176" s="3" t="inlineStr">
        <is>
          <t>Bloqueia até aceite; sequência conservadora dentro do sprint</t>
        </is>
      </c>
    </row>
    <row r="1177" ht="28" customHeight="1">
      <c r="A1177" s="3" t="inlineStr">
        <is>
          <t>SL-S55-09</t>
        </is>
      </c>
      <c r="B1177" s="3" t="inlineStr">
        <is>
          <t>SL-S55-10</t>
        </is>
      </c>
      <c r="C1177" s="3" t="inlineStr">
        <is>
          <t>S55</t>
        </is>
      </c>
      <c r="D1177" s="3" t="inlineStr">
        <is>
          <t>S55</t>
        </is>
      </c>
      <c r="E1177" s="3" t="inlineStr">
        <is>
          <t>Bloqueia até aceite; sequência conservadora dentro do sprint</t>
        </is>
      </c>
    </row>
    <row r="1178" ht="28" customHeight="1">
      <c r="A1178" s="3" t="inlineStr">
        <is>
          <t>SL-S55-01</t>
        </is>
      </c>
      <c r="B1178" s="3" t="inlineStr">
        <is>
          <t>SL-S55-GATE</t>
        </is>
      </c>
      <c r="C1178" s="3" t="inlineStr">
        <is>
          <t>S55</t>
        </is>
      </c>
      <c r="D1178" s="3" t="inlineStr">
        <is>
          <t>S55</t>
        </is>
      </c>
      <c r="E1178" s="3" t="inlineStr">
        <is>
          <t>Bloqueia até aceite; sequência conservadora dentro do sprint</t>
        </is>
      </c>
    </row>
    <row r="1179" ht="28" customHeight="1">
      <c r="A1179" s="3" t="inlineStr">
        <is>
          <t>SL-S55-02</t>
        </is>
      </c>
      <c r="B1179" s="3" t="inlineStr">
        <is>
          <t>SL-S55-GATE</t>
        </is>
      </c>
      <c r="C1179" s="3" t="inlineStr">
        <is>
          <t>S55</t>
        </is>
      </c>
      <c r="D1179" s="3" t="inlineStr">
        <is>
          <t>S55</t>
        </is>
      </c>
      <c r="E1179" s="3" t="inlineStr">
        <is>
          <t>Bloqueia até aceite; sequência conservadora dentro do sprint</t>
        </is>
      </c>
    </row>
    <row r="1180" ht="28" customHeight="1">
      <c r="A1180" s="3" t="inlineStr">
        <is>
          <t>SL-S55-03</t>
        </is>
      </c>
      <c r="B1180" s="3" t="inlineStr">
        <is>
          <t>SL-S55-GATE</t>
        </is>
      </c>
      <c r="C1180" s="3" t="inlineStr">
        <is>
          <t>S55</t>
        </is>
      </c>
      <c r="D1180" s="3" t="inlineStr">
        <is>
          <t>S55</t>
        </is>
      </c>
      <c r="E1180" s="3" t="inlineStr">
        <is>
          <t>Bloqueia até aceite; sequência conservadora dentro do sprint</t>
        </is>
      </c>
    </row>
    <row r="1181" ht="28" customHeight="1">
      <c r="A1181" s="3" t="inlineStr">
        <is>
          <t>SL-S55-04</t>
        </is>
      </c>
      <c r="B1181" s="3" t="inlineStr">
        <is>
          <t>SL-S55-GATE</t>
        </is>
      </c>
      <c r="C1181" s="3" t="inlineStr">
        <is>
          <t>S55</t>
        </is>
      </c>
      <c r="D1181" s="3" t="inlineStr">
        <is>
          <t>S55</t>
        </is>
      </c>
      <c r="E1181" s="3" t="inlineStr">
        <is>
          <t>Bloqueia até aceite; sequência conservadora dentro do sprint</t>
        </is>
      </c>
    </row>
    <row r="1182" ht="28" customHeight="1">
      <c r="A1182" s="3" t="inlineStr">
        <is>
          <t>SL-S55-05</t>
        </is>
      </c>
      <c r="B1182" s="3" t="inlineStr">
        <is>
          <t>SL-S55-GATE</t>
        </is>
      </c>
      <c r="C1182" s="3" t="inlineStr">
        <is>
          <t>S55</t>
        </is>
      </c>
      <c r="D1182" s="3" t="inlineStr">
        <is>
          <t>S55</t>
        </is>
      </c>
      <c r="E1182" s="3" t="inlineStr">
        <is>
          <t>Bloqueia até aceite; sequência conservadora dentro do sprint</t>
        </is>
      </c>
    </row>
    <row r="1183" ht="28" customHeight="1">
      <c r="A1183" s="3" t="inlineStr">
        <is>
          <t>SL-S55-06</t>
        </is>
      </c>
      <c r="B1183" s="3" t="inlineStr">
        <is>
          <t>SL-S55-GATE</t>
        </is>
      </c>
      <c r="C1183" s="3" t="inlineStr">
        <is>
          <t>S55</t>
        </is>
      </c>
      <c r="D1183" s="3" t="inlineStr">
        <is>
          <t>S55</t>
        </is>
      </c>
      <c r="E1183" s="3" t="inlineStr">
        <is>
          <t>Bloqueia até aceite; sequência conservadora dentro do sprint</t>
        </is>
      </c>
    </row>
    <row r="1184" ht="28" customHeight="1">
      <c r="A1184" s="3" t="inlineStr">
        <is>
          <t>SL-S55-07</t>
        </is>
      </c>
      <c r="B1184" s="3" t="inlineStr">
        <is>
          <t>SL-S55-GATE</t>
        </is>
      </c>
      <c r="C1184" s="3" t="inlineStr">
        <is>
          <t>S55</t>
        </is>
      </c>
      <c r="D1184" s="3" t="inlineStr">
        <is>
          <t>S55</t>
        </is>
      </c>
      <c r="E1184" s="3" t="inlineStr">
        <is>
          <t>Bloqueia até aceite; sequência conservadora dentro do sprint</t>
        </is>
      </c>
    </row>
    <row r="1185" ht="28" customHeight="1">
      <c r="A1185" s="3" t="inlineStr">
        <is>
          <t>SL-S55-08</t>
        </is>
      </c>
      <c r="B1185" s="3" t="inlineStr">
        <is>
          <t>SL-S55-GATE</t>
        </is>
      </c>
      <c r="C1185" s="3" t="inlineStr">
        <is>
          <t>S55</t>
        </is>
      </c>
      <c r="D1185" s="3" t="inlineStr">
        <is>
          <t>S55</t>
        </is>
      </c>
      <c r="E1185" s="3" t="inlineStr">
        <is>
          <t>Bloqueia até aceite; sequência conservadora dentro do sprint</t>
        </is>
      </c>
    </row>
    <row r="1186" ht="28" customHeight="1">
      <c r="A1186" s="3" t="inlineStr">
        <is>
          <t>SL-S55-09</t>
        </is>
      </c>
      <c r="B1186" s="3" t="inlineStr">
        <is>
          <t>SL-S55-GATE</t>
        </is>
      </c>
      <c r="C1186" s="3" t="inlineStr">
        <is>
          <t>S55</t>
        </is>
      </c>
      <c r="D1186" s="3" t="inlineStr">
        <is>
          <t>S55</t>
        </is>
      </c>
      <c r="E1186" s="3" t="inlineStr">
        <is>
          <t>Bloqueia até aceite; sequência conservadora dentro do sprint</t>
        </is>
      </c>
    </row>
    <row r="1187" ht="28" customHeight="1">
      <c r="A1187" s="3" t="inlineStr">
        <is>
          <t>SL-S55-10</t>
        </is>
      </c>
      <c r="B1187" s="3" t="inlineStr">
        <is>
          <t>SL-S55-GATE</t>
        </is>
      </c>
      <c r="C1187" s="3" t="inlineStr">
        <is>
          <t>S55</t>
        </is>
      </c>
      <c r="D1187" s="3" t="inlineStr">
        <is>
          <t>S55</t>
        </is>
      </c>
      <c r="E1187" s="3" t="inlineStr">
        <is>
          <t>Bloqueia até aceite; sequência conservadora dentro do sprint</t>
        </is>
      </c>
    </row>
    <row r="1188" ht="28" customHeight="1">
      <c r="A1188" s="3" t="inlineStr">
        <is>
          <t>SL-S54-GATE</t>
        </is>
      </c>
      <c r="B1188" s="3" t="inlineStr">
        <is>
          <t>SL-S56-01</t>
        </is>
      </c>
      <c r="C1188" s="3" t="inlineStr">
        <is>
          <t>S54</t>
        </is>
      </c>
      <c r="D1188" s="3" t="inlineStr">
        <is>
          <t>S56</t>
        </is>
      </c>
      <c r="E1188" s="3" t="inlineStr">
        <is>
          <t>Bloqueia até aceite; sequência conservadora dentro do sprint</t>
        </is>
      </c>
    </row>
    <row r="1189" ht="28" customHeight="1">
      <c r="A1189" s="3" t="inlineStr">
        <is>
          <t>SL-S55-GATE</t>
        </is>
      </c>
      <c r="B1189" s="3" t="inlineStr">
        <is>
          <t>SL-S56-01</t>
        </is>
      </c>
      <c r="C1189" s="3" t="inlineStr">
        <is>
          <t>S55</t>
        </is>
      </c>
      <c r="D1189" s="3" t="inlineStr">
        <is>
          <t>S56</t>
        </is>
      </c>
      <c r="E1189" s="3" t="inlineStr">
        <is>
          <t>Bloqueia até aceite; sequência conservadora dentro do sprint</t>
        </is>
      </c>
    </row>
    <row r="1190" ht="28" customHeight="1">
      <c r="A1190" s="3" t="inlineStr">
        <is>
          <t>SL-S56-01</t>
        </is>
      </c>
      <c r="B1190" s="3" t="inlineStr">
        <is>
          <t>SL-S56-02</t>
        </is>
      </c>
      <c r="C1190" s="3" t="inlineStr">
        <is>
          <t>S56</t>
        </is>
      </c>
      <c r="D1190" s="3" t="inlineStr">
        <is>
          <t>S56</t>
        </is>
      </c>
      <c r="E1190" s="3" t="inlineStr">
        <is>
          <t>Bloqueia até aceite; sequência conservadora dentro do sprint</t>
        </is>
      </c>
    </row>
    <row r="1191" ht="28" customHeight="1">
      <c r="A1191" s="3" t="inlineStr">
        <is>
          <t>SL-S56-02</t>
        </is>
      </c>
      <c r="B1191" s="3" t="inlineStr">
        <is>
          <t>SL-S56-03</t>
        </is>
      </c>
      <c r="C1191" s="3" t="inlineStr">
        <is>
          <t>S56</t>
        </is>
      </c>
      <c r="D1191" s="3" t="inlineStr">
        <is>
          <t>S56</t>
        </is>
      </c>
      <c r="E1191" s="3" t="inlineStr">
        <is>
          <t>Bloqueia até aceite; sequência conservadora dentro do sprint</t>
        </is>
      </c>
    </row>
    <row r="1192" ht="28" customHeight="1">
      <c r="A1192" s="3" t="inlineStr">
        <is>
          <t>SL-S56-03</t>
        </is>
      </c>
      <c r="B1192" s="3" t="inlineStr">
        <is>
          <t>SL-S56-04</t>
        </is>
      </c>
      <c r="C1192" s="3" t="inlineStr">
        <is>
          <t>S56</t>
        </is>
      </c>
      <c r="D1192" s="3" t="inlineStr">
        <is>
          <t>S56</t>
        </is>
      </c>
      <c r="E1192" s="3" t="inlineStr">
        <is>
          <t>Bloqueia até aceite; sequência conservadora dentro do sprint</t>
        </is>
      </c>
    </row>
    <row r="1193" ht="28" customHeight="1">
      <c r="A1193" s="3" t="inlineStr">
        <is>
          <t>SL-S56-04</t>
        </is>
      </c>
      <c r="B1193" s="3" t="inlineStr">
        <is>
          <t>SL-S56-05</t>
        </is>
      </c>
      <c r="C1193" s="3" t="inlineStr">
        <is>
          <t>S56</t>
        </is>
      </c>
      <c r="D1193" s="3" t="inlineStr">
        <is>
          <t>S56</t>
        </is>
      </c>
      <c r="E1193" s="3" t="inlineStr">
        <is>
          <t>Bloqueia até aceite; sequência conservadora dentro do sprint</t>
        </is>
      </c>
    </row>
    <row r="1194" ht="28" customHeight="1">
      <c r="A1194" s="3" t="inlineStr">
        <is>
          <t>SL-S56-05</t>
        </is>
      </c>
      <c r="B1194" s="3" t="inlineStr">
        <is>
          <t>SL-S56-06</t>
        </is>
      </c>
      <c r="C1194" s="3" t="inlineStr">
        <is>
          <t>S56</t>
        </is>
      </c>
      <c r="D1194" s="3" t="inlineStr">
        <is>
          <t>S56</t>
        </is>
      </c>
      <c r="E1194" s="3" t="inlineStr">
        <is>
          <t>Bloqueia até aceite; sequência conservadora dentro do sprint</t>
        </is>
      </c>
    </row>
    <row r="1195" ht="28" customHeight="1">
      <c r="A1195" s="3" t="inlineStr">
        <is>
          <t>SL-S56-06</t>
        </is>
      </c>
      <c r="B1195" s="3" t="inlineStr">
        <is>
          <t>SL-S56-07</t>
        </is>
      </c>
      <c r="C1195" s="3" t="inlineStr">
        <is>
          <t>S56</t>
        </is>
      </c>
      <c r="D1195" s="3" t="inlineStr">
        <is>
          <t>S56</t>
        </is>
      </c>
      <c r="E1195" s="3" t="inlineStr">
        <is>
          <t>Bloqueia até aceite; sequência conservadora dentro do sprint</t>
        </is>
      </c>
    </row>
    <row r="1196" ht="28" customHeight="1">
      <c r="A1196" s="3" t="inlineStr">
        <is>
          <t>SL-S56-07</t>
        </is>
      </c>
      <c r="B1196" s="3" t="inlineStr">
        <is>
          <t>SL-S56-08</t>
        </is>
      </c>
      <c r="C1196" s="3" t="inlineStr">
        <is>
          <t>S56</t>
        </is>
      </c>
      <c r="D1196" s="3" t="inlineStr">
        <is>
          <t>S56</t>
        </is>
      </c>
      <c r="E1196" s="3" t="inlineStr">
        <is>
          <t>Bloqueia até aceite; sequência conservadora dentro do sprint</t>
        </is>
      </c>
    </row>
    <row r="1197" ht="28" customHeight="1">
      <c r="A1197" s="3" t="inlineStr">
        <is>
          <t>SL-S56-08</t>
        </is>
      </c>
      <c r="B1197" s="3" t="inlineStr">
        <is>
          <t>SL-S56-09</t>
        </is>
      </c>
      <c r="C1197" s="3" t="inlineStr">
        <is>
          <t>S56</t>
        </is>
      </c>
      <c r="D1197" s="3" t="inlineStr">
        <is>
          <t>S56</t>
        </is>
      </c>
      <c r="E1197" s="3" t="inlineStr">
        <is>
          <t>Bloqueia até aceite; sequência conservadora dentro do sprint</t>
        </is>
      </c>
    </row>
    <row r="1198" ht="28" customHeight="1">
      <c r="A1198" s="3" t="inlineStr">
        <is>
          <t>SL-S56-09</t>
        </is>
      </c>
      <c r="B1198" s="3" t="inlineStr">
        <is>
          <t>SL-S56-10</t>
        </is>
      </c>
      <c r="C1198" s="3" t="inlineStr">
        <is>
          <t>S56</t>
        </is>
      </c>
      <c r="D1198" s="3" t="inlineStr">
        <is>
          <t>S56</t>
        </is>
      </c>
      <c r="E1198" s="3" t="inlineStr">
        <is>
          <t>Bloqueia até aceite; sequência conservadora dentro do sprint</t>
        </is>
      </c>
    </row>
    <row r="1199" ht="28" customHeight="1">
      <c r="A1199" s="3" t="inlineStr">
        <is>
          <t>SL-S56-01</t>
        </is>
      </c>
      <c r="B1199" s="3" t="inlineStr">
        <is>
          <t>SL-S56-GATE</t>
        </is>
      </c>
      <c r="C1199" s="3" t="inlineStr">
        <is>
          <t>S56</t>
        </is>
      </c>
      <c r="D1199" s="3" t="inlineStr">
        <is>
          <t>S56</t>
        </is>
      </c>
      <c r="E1199" s="3" t="inlineStr">
        <is>
          <t>Bloqueia até aceite; sequência conservadora dentro do sprint</t>
        </is>
      </c>
    </row>
    <row r="1200" ht="28" customHeight="1">
      <c r="A1200" s="3" t="inlineStr">
        <is>
          <t>SL-S56-02</t>
        </is>
      </c>
      <c r="B1200" s="3" t="inlineStr">
        <is>
          <t>SL-S56-GATE</t>
        </is>
      </c>
      <c r="C1200" s="3" t="inlineStr">
        <is>
          <t>S56</t>
        </is>
      </c>
      <c r="D1200" s="3" t="inlineStr">
        <is>
          <t>S56</t>
        </is>
      </c>
      <c r="E1200" s="3" t="inlineStr">
        <is>
          <t>Bloqueia até aceite; sequência conservadora dentro do sprint</t>
        </is>
      </c>
    </row>
    <row r="1201" ht="28" customHeight="1">
      <c r="A1201" s="3" t="inlineStr">
        <is>
          <t>SL-S56-03</t>
        </is>
      </c>
      <c r="B1201" s="3" t="inlineStr">
        <is>
          <t>SL-S56-GATE</t>
        </is>
      </c>
      <c r="C1201" s="3" t="inlineStr">
        <is>
          <t>S56</t>
        </is>
      </c>
      <c r="D1201" s="3" t="inlineStr">
        <is>
          <t>S56</t>
        </is>
      </c>
      <c r="E1201" s="3" t="inlineStr">
        <is>
          <t>Bloqueia até aceite; sequência conservadora dentro do sprint</t>
        </is>
      </c>
    </row>
    <row r="1202" ht="28" customHeight="1">
      <c r="A1202" s="3" t="inlineStr">
        <is>
          <t>SL-S56-04</t>
        </is>
      </c>
      <c r="B1202" s="3" t="inlineStr">
        <is>
          <t>SL-S56-GATE</t>
        </is>
      </c>
      <c r="C1202" s="3" t="inlineStr">
        <is>
          <t>S56</t>
        </is>
      </c>
      <c r="D1202" s="3" t="inlineStr">
        <is>
          <t>S56</t>
        </is>
      </c>
      <c r="E1202" s="3" t="inlineStr">
        <is>
          <t>Bloqueia até aceite; sequência conservadora dentro do sprint</t>
        </is>
      </c>
    </row>
    <row r="1203" ht="28" customHeight="1">
      <c r="A1203" s="3" t="inlineStr">
        <is>
          <t>SL-S56-05</t>
        </is>
      </c>
      <c r="B1203" s="3" t="inlineStr">
        <is>
          <t>SL-S56-GATE</t>
        </is>
      </c>
      <c r="C1203" s="3" t="inlineStr">
        <is>
          <t>S56</t>
        </is>
      </c>
      <c r="D1203" s="3" t="inlineStr">
        <is>
          <t>S56</t>
        </is>
      </c>
      <c r="E1203" s="3" t="inlineStr">
        <is>
          <t>Bloqueia até aceite; sequência conservadora dentro do sprint</t>
        </is>
      </c>
    </row>
    <row r="1204" ht="28" customHeight="1">
      <c r="A1204" s="3" t="inlineStr">
        <is>
          <t>SL-S56-06</t>
        </is>
      </c>
      <c r="B1204" s="3" t="inlineStr">
        <is>
          <t>SL-S56-GATE</t>
        </is>
      </c>
      <c r="C1204" s="3" t="inlineStr">
        <is>
          <t>S56</t>
        </is>
      </c>
      <c r="D1204" s="3" t="inlineStr">
        <is>
          <t>S56</t>
        </is>
      </c>
      <c r="E1204" s="3" t="inlineStr">
        <is>
          <t>Bloqueia até aceite; sequência conservadora dentro do sprint</t>
        </is>
      </c>
    </row>
    <row r="1205" ht="28" customHeight="1">
      <c r="A1205" s="3" t="inlineStr">
        <is>
          <t>SL-S56-07</t>
        </is>
      </c>
      <c r="B1205" s="3" t="inlineStr">
        <is>
          <t>SL-S56-GATE</t>
        </is>
      </c>
      <c r="C1205" s="3" t="inlineStr">
        <is>
          <t>S56</t>
        </is>
      </c>
      <c r="D1205" s="3" t="inlineStr">
        <is>
          <t>S56</t>
        </is>
      </c>
      <c r="E1205" s="3" t="inlineStr">
        <is>
          <t>Bloqueia até aceite; sequência conservadora dentro do sprint</t>
        </is>
      </c>
    </row>
    <row r="1206" ht="28" customHeight="1">
      <c r="A1206" s="3" t="inlineStr">
        <is>
          <t>SL-S56-08</t>
        </is>
      </c>
      <c r="B1206" s="3" t="inlineStr">
        <is>
          <t>SL-S56-GATE</t>
        </is>
      </c>
      <c r="C1206" s="3" t="inlineStr">
        <is>
          <t>S56</t>
        </is>
      </c>
      <c r="D1206" s="3" t="inlineStr">
        <is>
          <t>S56</t>
        </is>
      </c>
      <c r="E1206" s="3" t="inlineStr">
        <is>
          <t>Bloqueia até aceite; sequência conservadora dentro do sprint</t>
        </is>
      </c>
    </row>
    <row r="1207" ht="28" customHeight="1">
      <c r="A1207" s="3" t="inlineStr">
        <is>
          <t>SL-S56-09</t>
        </is>
      </c>
      <c r="B1207" s="3" t="inlineStr">
        <is>
          <t>SL-S56-GATE</t>
        </is>
      </c>
      <c r="C1207" s="3" t="inlineStr">
        <is>
          <t>S56</t>
        </is>
      </c>
      <c r="D1207" s="3" t="inlineStr">
        <is>
          <t>S56</t>
        </is>
      </c>
      <c r="E1207" s="3" t="inlineStr">
        <is>
          <t>Bloqueia até aceite; sequência conservadora dentro do sprint</t>
        </is>
      </c>
    </row>
    <row r="1208" ht="28" customHeight="1">
      <c r="A1208" s="3" t="inlineStr">
        <is>
          <t>SL-S56-10</t>
        </is>
      </c>
      <c r="B1208" s="3" t="inlineStr">
        <is>
          <t>SL-S56-GATE</t>
        </is>
      </c>
      <c r="C1208" s="3" t="inlineStr">
        <is>
          <t>S56</t>
        </is>
      </c>
      <c r="D1208" s="3" t="inlineStr">
        <is>
          <t>S56</t>
        </is>
      </c>
      <c r="E1208" s="3" t="inlineStr">
        <is>
          <t>Bloqueia até aceite; sequência conservadora dentro do sprint</t>
        </is>
      </c>
    </row>
    <row r="1209" ht="28" customHeight="1">
      <c r="A1209" s="3" t="inlineStr">
        <is>
          <t>SL-S54-GATE</t>
        </is>
      </c>
      <c r="B1209" s="3" t="inlineStr">
        <is>
          <t>SL-S57-01</t>
        </is>
      </c>
      <c r="C1209" s="3" t="inlineStr">
        <is>
          <t>S54</t>
        </is>
      </c>
      <c r="D1209" s="3" t="inlineStr">
        <is>
          <t>S57</t>
        </is>
      </c>
      <c r="E1209" s="3" t="inlineStr">
        <is>
          <t>Bloqueia até aceite; sequência conservadora dentro do sprint</t>
        </is>
      </c>
    </row>
    <row r="1210" ht="28" customHeight="1">
      <c r="A1210" s="3" t="inlineStr">
        <is>
          <t>SL-S55-GATE</t>
        </is>
      </c>
      <c r="B1210" s="3" t="inlineStr">
        <is>
          <t>SL-S57-01</t>
        </is>
      </c>
      <c r="C1210" s="3" t="inlineStr">
        <is>
          <t>S55</t>
        </is>
      </c>
      <c r="D1210" s="3" t="inlineStr">
        <is>
          <t>S57</t>
        </is>
      </c>
      <c r="E1210" s="3" t="inlineStr">
        <is>
          <t>Bloqueia até aceite; sequência conservadora dentro do sprint</t>
        </is>
      </c>
    </row>
    <row r="1211" ht="28" customHeight="1">
      <c r="A1211" s="3" t="inlineStr">
        <is>
          <t>SL-S56-GATE</t>
        </is>
      </c>
      <c r="B1211" s="3" t="inlineStr">
        <is>
          <t>SL-S57-01</t>
        </is>
      </c>
      <c r="C1211" s="3" t="inlineStr">
        <is>
          <t>S56</t>
        </is>
      </c>
      <c r="D1211" s="3" t="inlineStr">
        <is>
          <t>S57</t>
        </is>
      </c>
      <c r="E1211" s="3" t="inlineStr">
        <is>
          <t>Bloqueia até aceite; sequência conservadora dentro do sprint</t>
        </is>
      </c>
    </row>
    <row r="1212" ht="28" customHeight="1">
      <c r="A1212" s="3" t="inlineStr">
        <is>
          <t>SL-S57-01</t>
        </is>
      </c>
      <c r="B1212" s="3" t="inlineStr">
        <is>
          <t>SL-S57-02</t>
        </is>
      </c>
      <c r="C1212" s="3" t="inlineStr">
        <is>
          <t>S57</t>
        </is>
      </c>
      <c r="D1212" s="3" t="inlineStr">
        <is>
          <t>S57</t>
        </is>
      </c>
      <c r="E1212" s="3" t="inlineStr">
        <is>
          <t>Bloqueia até aceite; sequência conservadora dentro do sprint</t>
        </is>
      </c>
    </row>
    <row r="1213" ht="28" customHeight="1">
      <c r="A1213" s="3" t="inlineStr">
        <is>
          <t>SL-S57-02</t>
        </is>
      </c>
      <c r="B1213" s="3" t="inlineStr">
        <is>
          <t>SL-S57-03</t>
        </is>
      </c>
      <c r="C1213" s="3" t="inlineStr">
        <is>
          <t>S57</t>
        </is>
      </c>
      <c r="D1213" s="3" t="inlineStr">
        <is>
          <t>S57</t>
        </is>
      </c>
      <c r="E1213" s="3" t="inlineStr">
        <is>
          <t>Bloqueia até aceite; sequência conservadora dentro do sprint</t>
        </is>
      </c>
    </row>
    <row r="1214" ht="28" customHeight="1">
      <c r="A1214" s="3" t="inlineStr">
        <is>
          <t>SL-S57-03</t>
        </is>
      </c>
      <c r="B1214" s="3" t="inlineStr">
        <is>
          <t>SL-S57-04</t>
        </is>
      </c>
      <c r="C1214" s="3" t="inlineStr">
        <is>
          <t>S57</t>
        </is>
      </c>
      <c r="D1214" s="3" t="inlineStr">
        <is>
          <t>S57</t>
        </is>
      </c>
      <c r="E1214" s="3" t="inlineStr">
        <is>
          <t>Bloqueia até aceite; sequência conservadora dentro do sprint</t>
        </is>
      </c>
    </row>
    <row r="1215" ht="28" customHeight="1">
      <c r="A1215" s="3" t="inlineStr">
        <is>
          <t>SL-S57-04</t>
        </is>
      </c>
      <c r="B1215" s="3" t="inlineStr">
        <is>
          <t>SL-S57-05</t>
        </is>
      </c>
      <c r="C1215" s="3" t="inlineStr">
        <is>
          <t>S57</t>
        </is>
      </c>
      <c r="D1215" s="3" t="inlineStr">
        <is>
          <t>S57</t>
        </is>
      </c>
      <c r="E1215" s="3" t="inlineStr">
        <is>
          <t>Bloqueia até aceite; sequência conservadora dentro do sprint</t>
        </is>
      </c>
    </row>
    <row r="1216" ht="28" customHeight="1">
      <c r="A1216" s="3" t="inlineStr">
        <is>
          <t>SL-S57-05</t>
        </is>
      </c>
      <c r="B1216" s="3" t="inlineStr">
        <is>
          <t>SL-S57-06</t>
        </is>
      </c>
      <c r="C1216" s="3" t="inlineStr">
        <is>
          <t>S57</t>
        </is>
      </c>
      <c r="D1216" s="3" t="inlineStr">
        <is>
          <t>S57</t>
        </is>
      </c>
      <c r="E1216" s="3" t="inlineStr">
        <is>
          <t>Bloqueia até aceite; sequência conservadora dentro do sprint</t>
        </is>
      </c>
    </row>
    <row r="1217" ht="28" customHeight="1">
      <c r="A1217" s="3" t="inlineStr">
        <is>
          <t>SL-S57-06</t>
        </is>
      </c>
      <c r="B1217" s="3" t="inlineStr">
        <is>
          <t>SL-S57-07</t>
        </is>
      </c>
      <c r="C1217" s="3" t="inlineStr">
        <is>
          <t>S57</t>
        </is>
      </c>
      <c r="D1217" s="3" t="inlineStr">
        <is>
          <t>S57</t>
        </is>
      </c>
      <c r="E1217" s="3" t="inlineStr">
        <is>
          <t>Bloqueia até aceite; sequência conservadora dentro do sprint</t>
        </is>
      </c>
    </row>
    <row r="1218" ht="28" customHeight="1">
      <c r="A1218" s="3" t="inlineStr">
        <is>
          <t>SL-S57-07</t>
        </is>
      </c>
      <c r="B1218" s="3" t="inlineStr">
        <is>
          <t>SL-S57-08</t>
        </is>
      </c>
      <c r="C1218" s="3" t="inlineStr">
        <is>
          <t>S57</t>
        </is>
      </c>
      <c r="D1218" s="3" t="inlineStr">
        <is>
          <t>S57</t>
        </is>
      </c>
      <c r="E1218" s="3" t="inlineStr">
        <is>
          <t>Bloqueia até aceite; sequência conservadora dentro do sprint</t>
        </is>
      </c>
    </row>
    <row r="1219" ht="28" customHeight="1">
      <c r="A1219" s="3" t="inlineStr">
        <is>
          <t>SL-S57-08</t>
        </is>
      </c>
      <c r="B1219" s="3" t="inlineStr">
        <is>
          <t>SL-S57-09</t>
        </is>
      </c>
      <c r="C1219" s="3" t="inlineStr">
        <is>
          <t>S57</t>
        </is>
      </c>
      <c r="D1219" s="3" t="inlineStr">
        <is>
          <t>S57</t>
        </is>
      </c>
      <c r="E1219" s="3" t="inlineStr">
        <is>
          <t>Bloqueia até aceite; sequência conservadora dentro do sprint</t>
        </is>
      </c>
    </row>
    <row r="1220" ht="28" customHeight="1">
      <c r="A1220" s="3" t="inlineStr">
        <is>
          <t>SL-S57-09</t>
        </is>
      </c>
      <c r="B1220" s="3" t="inlineStr">
        <is>
          <t>SL-S57-10</t>
        </is>
      </c>
      <c r="C1220" s="3" t="inlineStr">
        <is>
          <t>S57</t>
        </is>
      </c>
      <c r="D1220" s="3" t="inlineStr">
        <is>
          <t>S57</t>
        </is>
      </c>
      <c r="E1220" s="3" t="inlineStr">
        <is>
          <t>Bloqueia até aceite; sequência conservadora dentro do sprint</t>
        </is>
      </c>
    </row>
    <row r="1221" ht="28" customHeight="1">
      <c r="A1221" s="3" t="inlineStr">
        <is>
          <t>SL-S57-01</t>
        </is>
      </c>
      <c r="B1221" s="3" t="inlineStr">
        <is>
          <t>SL-S57-GATE</t>
        </is>
      </c>
      <c r="C1221" s="3" t="inlineStr">
        <is>
          <t>S57</t>
        </is>
      </c>
      <c r="D1221" s="3" t="inlineStr">
        <is>
          <t>S57</t>
        </is>
      </c>
      <c r="E1221" s="3" t="inlineStr">
        <is>
          <t>Bloqueia até aceite; sequência conservadora dentro do sprint</t>
        </is>
      </c>
    </row>
    <row r="1222" ht="28" customHeight="1">
      <c r="A1222" s="3" t="inlineStr">
        <is>
          <t>SL-S57-02</t>
        </is>
      </c>
      <c r="B1222" s="3" t="inlineStr">
        <is>
          <t>SL-S57-GATE</t>
        </is>
      </c>
      <c r="C1222" s="3" t="inlineStr">
        <is>
          <t>S57</t>
        </is>
      </c>
      <c r="D1222" s="3" t="inlineStr">
        <is>
          <t>S57</t>
        </is>
      </c>
      <c r="E1222" s="3" t="inlineStr">
        <is>
          <t>Bloqueia até aceite; sequência conservadora dentro do sprint</t>
        </is>
      </c>
    </row>
    <row r="1223" ht="28" customHeight="1">
      <c r="A1223" s="3" t="inlineStr">
        <is>
          <t>SL-S57-03</t>
        </is>
      </c>
      <c r="B1223" s="3" t="inlineStr">
        <is>
          <t>SL-S57-GATE</t>
        </is>
      </c>
      <c r="C1223" s="3" t="inlineStr">
        <is>
          <t>S57</t>
        </is>
      </c>
      <c r="D1223" s="3" t="inlineStr">
        <is>
          <t>S57</t>
        </is>
      </c>
      <c r="E1223" s="3" t="inlineStr">
        <is>
          <t>Bloqueia até aceite; sequência conservadora dentro do sprint</t>
        </is>
      </c>
    </row>
    <row r="1224" ht="28" customHeight="1">
      <c r="A1224" s="3" t="inlineStr">
        <is>
          <t>SL-S57-04</t>
        </is>
      </c>
      <c r="B1224" s="3" t="inlineStr">
        <is>
          <t>SL-S57-GATE</t>
        </is>
      </c>
      <c r="C1224" s="3" t="inlineStr">
        <is>
          <t>S57</t>
        </is>
      </c>
      <c r="D1224" s="3" t="inlineStr">
        <is>
          <t>S57</t>
        </is>
      </c>
      <c r="E1224" s="3" t="inlineStr">
        <is>
          <t>Bloqueia até aceite; sequência conservadora dentro do sprint</t>
        </is>
      </c>
    </row>
    <row r="1225" ht="28" customHeight="1">
      <c r="A1225" s="3" t="inlineStr">
        <is>
          <t>SL-S57-05</t>
        </is>
      </c>
      <c r="B1225" s="3" t="inlineStr">
        <is>
          <t>SL-S57-GATE</t>
        </is>
      </c>
      <c r="C1225" s="3" t="inlineStr">
        <is>
          <t>S57</t>
        </is>
      </c>
      <c r="D1225" s="3" t="inlineStr">
        <is>
          <t>S57</t>
        </is>
      </c>
      <c r="E1225" s="3" t="inlineStr">
        <is>
          <t>Bloqueia até aceite; sequência conservadora dentro do sprint</t>
        </is>
      </c>
    </row>
    <row r="1226" ht="28" customHeight="1">
      <c r="A1226" s="3" t="inlineStr">
        <is>
          <t>SL-S57-06</t>
        </is>
      </c>
      <c r="B1226" s="3" t="inlineStr">
        <is>
          <t>SL-S57-GATE</t>
        </is>
      </c>
      <c r="C1226" s="3" t="inlineStr">
        <is>
          <t>S57</t>
        </is>
      </c>
      <c r="D1226" s="3" t="inlineStr">
        <is>
          <t>S57</t>
        </is>
      </c>
      <c r="E1226" s="3" t="inlineStr">
        <is>
          <t>Bloqueia até aceite; sequência conservadora dentro do sprint</t>
        </is>
      </c>
    </row>
    <row r="1227" ht="28" customHeight="1">
      <c r="A1227" s="3" t="inlineStr">
        <is>
          <t>SL-S57-07</t>
        </is>
      </c>
      <c r="B1227" s="3" t="inlineStr">
        <is>
          <t>SL-S57-GATE</t>
        </is>
      </c>
      <c r="C1227" s="3" t="inlineStr">
        <is>
          <t>S57</t>
        </is>
      </c>
      <c r="D1227" s="3" t="inlineStr">
        <is>
          <t>S57</t>
        </is>
      </c>
      <c r="E1227" s="3" t="inlineStr">
        <is>
          <t>Bloqueia até aceite; sequência conservadora dentro do sprint</t>
        </is>
      </c>
    </row>
    <row r="1228" ht="28" customHeight="1">
      <c r="A1228" s="3" t="inlineStr">
        <is>
          <t>SL-S57-08</t>
        </is>
      </c>
      <c r="B1228" s="3" t="inlineStr">
        <is>
          <t>SL-S57-GATE</t>
        </is>
      </c>
      <c r="C1228" s="3" t="inlineStr">
        <is>
          <t>S57</t>
        </is>
      </c>
      <c r="D1228" s="3" t="inlineStr">
        <is>
          <t>S57</t>
        </is>
      </c>
      <c r="E1228" s="3" t="inlineStr">
        <is>
          <t>Bloqueia até aceite; sequência conservadora dentro do sprint</t>
        </is>
      </c>
    </row>
    <row r="1229" ht="28" customHeight="1">
      <c r="A1229" s="3" t="inlineStr">
        <is>
          <t>SL-S57-09</t>
        </is>
      </c>
      <c r="B1229" s="3" t="inlineStr">
        <is>
          <t>SL-S57-GATE</t>
        </is>
      </c>
      <c r="C1229" s="3" t="inlineStr">
        <is>
          <t>S57</t>
        </is>
      </c>
      <c r="D1229" s="3" t="inlineStr">
        <is>
          <t>S57</t>
        </is>
      </c>
      <c r="E1229" s="3" t="inlineStr">
        <is>
          <t>Bloqueia até aceite; sequência conservadora dentro do sprint</t>
        </is>
      </c>
    </row>
    <row r="1230" ht="28" customHeight="1">
      <c r="A1230" s="3" t="inlineStr">
        <is>
          <t>SL-S57-10</t>
        </is>
      </c>
      <c r="B1230" s="3" t="inlineStr">
        <is>
          <t>SL-S57-GATE</t>
        </is>
      </c>
      <c r="C1230" s="3" t="inlineStr">
        <is>
          <t>S57</t>
        </is>
      </c>
      <c r="D1230" s="3" t="inlineStr">
        <is>
          <t>S57</t>
        </is>
      </c>
      <c r="E1230" s="3" t="inlineStr">
        <is>
          <t>Bloqueia até aceite; sequência conservadora dentro do sprint</t>
        </is>
      </c>
    </row>
    <row r="1231" ht="28" customHeight="1">
      <c r="A1231" s="3" t="inlineStr">
        <is>
          <t>SL-S22-GATE</t>
        </is>
      </c>
      <c r="B1231" s="3" t="inlineStr">
        <is>
          <t>SL-S58-01</t>
        </is>
      </c>
      <c r="C1231" s="3" t="inlineStr">
        <is>
          <t>S22</t>
        </is>
      </c>
      <c r="D1231" s="3" t="inlineStr">
        <is>
          <t>S58</t>
        </is>
      </c>
      <c r="E1231" s="3" t="inlineStr">
        <is>
          <t>Bloqueia até aceite; sequência conservadora dentro do sprint</t>
        </is>
      </c>
    </row>
    <row r="1232" ht="28" customHeight="1">
      <c r="A1232" s="3" t="inlineStr">
        <is>
          <t>SL-S57-GATE</t>
        </is>
      </c>
      <c r="B1232" s="3" t="inlineStr">
        <is>
          <t>SL-S58-01</t>
        </is>
      </c>
      <c r="C1232" s="3" t="inlineStr">
        <is>
          <t>S57</t>
        </is>
      </c>
      <c r="D1232" s="3" t="inlineStr">
        <is>
          <t>S58</t>
        </is>
      </c>
      <c r="E1232" s="3" t="inlineStr">
        <is>
          <t>Bloqueia até aceite; sequência conservadora dentro do sprint</t>
        </is>
      </c>
    </row>
    <row r="1233" ht="28" customHeight="1">
      <c r="A1233" s="3" t="inlineStr">
        <is>
          <t>SL-S58-01</t>
        </is>
      </c>
      <c r="B1233" s="3" t="inlineStr">
        <is>
          <t>SL-S58-02</t>
        </is>
      </c>
      <c r="C1233" s="3" t="inlineStr">
        <is>
          <t>S58</t>
        </is>
      </c>
      <c r="D1233" s="3" t="inlineStr">
        <is>
          <t>S58</t>
        </is>
      </c>
      <c r="E1233" s="3" t="inlineStr">
        <is>
          <t>Bloqueia até aceite; sequência conservadora dentro do sprint</t>
        </is>
      </c>
    </row>
    <row r="1234" ht="28" customHeight="1">
      <c r="A1234" s="3" t="inlineStr">
        <is>
          <t>SL-S58-02</t>
        </is>
      </c>
      <c r="B1234" s="3" t="inlineStr">
        <is>
          <t>SL-S58-03</t>
        </is>
      </c>
      <c r="C1234" s="3" t="inlineStr">
        <is>
          <t>S58</t>
        </is>
      </c>
      <c r="D1234" s="3" t="inlineStr">
        <is>
          <t>S58</t>
        </is>
      </c>
      <c r="E1234" s="3" t="inlineStr">
        <is>
          <t>Bloqueia até aceite; sequência conservadora dentro do sprint</t>
        </is>
      </c>
    </row>
    <row r="1235" ht="28" customHeight="1">
      <c r="A1235" s="3" t="inlineStr">
        <is>
          <t>SL-S58-03</t>
        </is>
      </c>
      <c r="B1235" s="3" t="inlineStr">
        <is>
          <t>SL-S58-04</t>
        </is>
      </c>
      <c r="C1235" s="3" t="inlineStr">
        <is>
          <t>S58</t>
        </is>
      </c>
      <c r="D1235" s="3" t="inlineStr">
        <is>
          <t>S58</t>
        </is>
      </c>
      <c r="E1235" s="3" t="inlineStr">
        <is>
          <t>Bloqueia até aceite; sequência conservadora dentro do sprint</t>
        </is>
      </c>
    </row>
    <row r="1236" ht="28" customHeight="1">
      <c r="A1236" s="3" t="inlineStr">
        <is>
          <t>SL-S58-04</t>
        </is>
      </c>
      <c r="B1236" s="3" t="inlineStr">
        <is>
          <t>SL-S58-05</t>
        </is>
      </c>
      <c r="C1236" s="3" t="inlineStr">
        <is>
          <t>S58</t>
        </is>
      </c>
      <c r="D1236" s="3" t="inlineStr">
        <is>
          <t>S58</t>
        </is>
      </c>
      <c r="E1236" s="3" t="inlineStr">
        <is>
          <t>Bloqueia até aceite; sequência conservadora dentro do sprint</t>
        </is>
      </c>
    </row>
    <row r="1237" ht="28" customHeight="1">
      <c r="A1237" s="3" t="inlineStr">
        <is>
          <t>SL-S58-05</t>
        </is>
      </c>
      <c r="B1237" s="3" t="inlineStr">
        <is>
          <t>SL-S58-06</t>
        </is>
      </c>
      <c r="C1237" s="3" t="inlineStr">
        <is>
          <t>S58</t>
        </is>
      </c>
      <c r="D1237" s="3" t="inlineStr">
        <is>
          <t>S58</t>
        </is>
      </c>
      <c r="E1237" s="3" t="inlineStr">
        <is>
          <t>Bloqueia até aceite; sequência conservadora dentro do sprint</t>
        </is>
      </c>
    </row>
    <row r="1238" ht="28" customHeight="1">
      <c r="A1238" s="3" t="inlineStr">
        <is>
          <t>SL-S58-06</t>
        </is>
      </c>
      <c r="B1238" s="3" t="inlineStr">
        <is>
          <t>SL-S58-07</t>
        </is>
      </c>
      <c r="C1238" s="3" t="inlineStr">
        <is>
          <t>S58</t>
        </is>
      </c>
      <c r="D1238" s="3" t="inlineStr">
        <is>
          <t>S58</t>
        </is>
      </c>
      <c r="E1238" s="3" t="inlineStr">
        <is>
          <t>Bloqueia até aceite; sequência conservadora dentro do sprint</t>
        </is>
      </c>
    </row>
    <row r="1239" ht="28" customHeight="1">
      <c r="A1239" s="3" t="inlineStr">
        <is>
          <t>SL-S58-07</t>
        </is>
      </c>
      <c r="B1239" s="3" t="inlineStr">
        <is>
          <t>SL-S58-08</t>
        </is>
      </c>
      <c r="C1239" s="3" t="inlineStr">
        <is>
          <t>S58</t>
        </is>
      </c>
      <c r="D1239" s="3" t="inlineStr">
        <is>
          <t>S58</t>
        </is>
      </c>
      <c r="E1239" s="3" t="inlineStr">
        <is>
          <t>Bloqueia até aceite; sequência conservadora dentro do sprint</t>
        </is>
      </c>
    </row>
    <row r="1240" ht="28" customHeight="1">
      <c r="A1240" s="3" t="inlineStr">
        <is>
          <t>SL-S58-08</t>
        </is>
      </c>
      <c r="B1240" s="3" t="inlineStr">
        <is>
          <t>SL-S58-09</t>
        </is>
      </c>
      <c r="C1240" s="3" t="inlineStr">
        <is>
          <t>S58</t>
        </is>
      </c>
      <c r="D1240" s="3" t="inlineStr">
        <is>
          <t>S58</t>
        </is>
      </c>
      <c r="E1240" s="3" t="inlineStr">
        <is>
          <t>Bloqueia até aceite; sequência conservadora dentro do sprint</t>
        </is>
      </c>
    </row>
    <row r="1241" ht="28" customHeight="1">
      <c r="A1241" s="3" t="inlineStr">
        <is>
          <t>SL-S58-09</t>
        </is>
      </c>
      <c r="B1241" s="3" t="inlineStr">
        <is>
          <t>SL-S58-10</t>
        </is>
      </c>
      <c r="C1241" s="3" t="inlineStr">
        <is>
          <t>S58</t>
        </is>
      </c>
      <c r="D1241" s="3" t="inlineStr">
        <is>
          <t>S58</t>
        </is>
      </c>
      <c r="E1241" s="3" t="inlineStr">
        <is>
          <t>Bloqueia até aceite; sequência conservadora dentro do sprint</t>
        </is>
      </c>
    </row>
    <row r="1242" ht="28" customHeight="1">
      <c r="A1242" s="3" t="inlineStr">
        <is>
          <t>SL-S58-01</t>
        </is>
      </c>
      <c r="B1242" s="3" t="inlineStr">
        <is>
          <t>SL-S58-GATE</t>
        </is>
      </c>
      <c r="C1242" s="3" t="inlineStr">
        <is>
          <t>S58</t>
        </is>
      </c>
      <c r="D1242" s="3" t="inlineStr">
        <is>
          <t>S58</t>
        </is>
      </c>
      <c r="E1242" s="3" t="inlineStr">
        <is>
          <t>Bloqueia até aceite; sequência conservadora dentro do sprint</t>
        </is>
      </c>
    </row>
    <row r="1243" ht="28" customHeight="1">
      <c r="A1243" s="3" t="inlineStr">
        <is>
          <t>SL-S58-02</t>
        </is>
      </c>
      <c r="B1243" s="3" t="inlineStr">
        <is>
          <t>SL-S58-GATE</t>
        </is>
      </c>
      <c r="C1243" s="3" t="inlineStr">
        <is>
          <t>S58</t>
        </is>
      </c>
      <c r="D1243" s="3" t="inlineStr">
        <is>
          <t>S58</t>
        </is>
      </c>
      <c r="E1243" s="3" t="inlineStr">
        <is>
          <t>Bloqueia até aceite; sequência conservadora dentro do sprint</t>
        </is>
      </c>
    </row>
    <row r="1244" ht="28" customHeight="1">
      <c r="A1244" s="3" t="inlineStr">
        <is>
          <t>SL-S58-03</t>
        </is>
      </c>
      <c r="B1244" s="3" t="inlineStr">
        <is>
          <t>SL-S58-GATE</t>
        </is>
      </c>
      <c r="C1244" s="3" t="inlineStr">
        <is>
          <t>S58</t>
        </is>
      </c>
      <c r="D1244" s="3" t="inlineStr">
        <is>
          <t>S58</t>
        </is>
      </c>
      <c r="E1244" s="3" t="inlineStr">
        <is>
          <t>Bloqueia até aceite; sequência conservadora dentro do sprint</t>
        </is>
      </c>
    </row>
    <row r="1245" ht="28" customHeight="1">
      <c r="A1245" s="3" t="inlineStr">
        <is>
          <t>SL-S58-04</t>
        </is>
      </c>
      <c r="B1245" s="3" t="inlineStr">
        <is>
          <t>SL-S58-GATE</t>
        </is>
      </c>
      <c r="C1245" s="3" t="inlineStr">
        <is>
          <t>S58</t>
        </is>
      </c>
      <c r="D1245" s="3" t="inlineStr">
        <is>
          <t>S58</t>
        </is>
      </c>
      <c r="E1245" s="3" t="inlineStr">
        <is>
          <t>Bloqueia até aceite; sequência conservadora dentro do sprint</t>
        </is>
      </c>
    </row>
    <row r="1246" ht="28" customHeight="1">
      <c r="A1246" s="3" t="inlineStr">
        <is>
          <t>SL-S58-05</t>
        </is>
      </c>
      <c r="B1246" s="3" t="inlineStr">
        <is>
          <t>SL-S58-GATE</t>
        </is>
      </c>
      <c r="C1246" s="3" t="inlineStr">
        <is>
          <t>S58</t>
        </is>
      </c>
      <c r="D1246" s="3" t="inlineStr">
        <is>
          <t>S58</t>
        </is>
      </c>
      <c r="E1246" s="3" t="inlineStr">
        <is>
          <t>Bloqueia até aceite; sequência conservadora dentro do sprint</t>
        </is>
      </c>
    </row>
    <row r="1247" ht="28" customHeight="1">
      <c r="A1247" s="3" t="inlineStr">
        <is>
          <t>SL-S58-06</t>
        </is>
      </c>
      <c r="B1247" s="3" t="inlineStr">
        <is>
          <t>SL-S58-GATE</t>
        </is>
      </c>
      <c r="C1247" s="3" t="inlineStr">
        <is>
          <t>S58</t>
        </is>
      </c>
      <c r="D1247" s="3" t="inlineStr">
        <is>
          <t>S58</t>
        </is>
      </c>
      <c r="E1247" s="3" t="inlineStr">
        <is>
          <t>Bloqueia até aceite; sequência conservadora dentro do sprint</t>
        </is>
      </c>
    </row>
    <row r="1248" ht="28" customHeight="1">
      <c r="A1248" s="3" t="inlineStr">
        <is>
          <t>SL-S58-07</t>
        </is>
      </c>
      <c r="B1248" s="3" t="inlineStr">
        <is>
          <t>SL-S58-GATE</t>
        </is>
      </c>
      <c r="C1248" s="3" t="inlineStr">
        <is>
          <t>S58</t>
        </is>
      </c>
      <c r="D1248" s="3" t="inlineStr">
        <is>
          <t>S58</t>
        </is>
      </c>
      <c r="E1248" s="3" t="inlineStr">
        <is>
          <t>Bloqueia até aceite; sequência conservadora dentro do sprint</t>
        </is>
      </c>
    </row>
    <row r="1249" ht="28" customHeight="1">
      <c r="A1249" s="3" t="inlineStr">
        <is>
          <t>SL-S58-08</t>
        </is>
      </c>
      <c r="B1249" s="3" t="inlineStr">
        <is>
          <t>SL-S58-GATE</t>
        </is>
      </c>
      <c r="C1249" s="3" t="inlineStr">
        <is>
          <t>S58</t>
        </is>
      </c>
      <c r="D1249" s="3" t="inlineStr">
        <is>
          <t>S58</t>
        </is>
      </c>
      <c r="E1249" s="3" t="inlineStr">
        <is>
          <t>Bloqueia até aceite; sequência conservadora dentro do sprint</t>
        </is>
      </c>
    </row>
    <row r="1250" ht="28" customHeight="1">
      <c r="A1250" s="3" t="inlineStr">
        <is>
          <t>SL-S58-09</t>
        </is>
      </c>
      <c r="B1250" s="3" t="inlineStr">
        <is>
          <t>SL-S58-GATE</t>
        </is>
      </c>
      <c r="C1250" s="3" t="inlineStr">
        <is>
          <t>S58</t>
        </is>
      </c>
      <c r="D1250" s="3" t="inlineStr">
        <is>
          <t>S58</t>
        </is>
      </c>
      <c r="E1250" s="3" t="inlineStr">
        <is>
          <t>Bloqueia até aceite; sequência conservadora dentro do sprint</t>
        </is>
      </c>
    </row>
    <row r="1251" ht="28" customHeight="1">
      <c r="A1251" s="3" t="inlineStr">
        <is>
          <t>SL-S58-10</t>
        </is>
      </c>
      <c r="B1251" s="3" t="inlineStr">
        <is>
          <t>SL-S58-GATE</t>
        </is>
      </c>
      <c r="C1251" s="3" t="inlineStr">
        <is>
          <t>S58</t>
        </is>
      </c>
      <c r="D1251" s="3" t="inlineStr">
        <is>
          <t>S58</t>
        </is>
      </c>
      <c r="E1251" s="3" t="inlineStr">
        <is>
          <t>Bloqueia até aceite; sequência conservadora dentro do sprint</t>
        </is>
      </c>
    </row>
    <row r="1252" ht="28" customHeight="1">
      <c r="A1252" s="3" t="inlineStr">
        <is>
          <t>SL-S57-GATE</t>
        </is>
      </c>
      <c r="B1252" s="3" t="inlineStr">
        <is>
          <t>SL-S59-01</t>
        </is>
      </c>
      <c r="C1252" s="3" t="inlineStr">
        <is>
          <t>S57</t>
        </is>
      </c>
      <c r="D1252" s="3" t="inlineStr">
        <is>
          <t>S59</t>
        </is>
      </c>
      <c r="E1252" s="3" t="inlineStr">
        <is>
          <t>Bloqueia até aceite; sequência conservadora dentro do sprint</t>
        </is>
      </c>
    </row>
    <row r="1253" ht="28" customHeight="1">
      <c r="A1253" s="3" t="inlineStr">
        <is>
          <t>SL-S58-GATE</t>
        </is>
      </c>
      <c r="B1253" s="3" t="inlineStr">
        <is>
          <t>SL-S59-01</t>
        </is>
      </c>
      <c r="C1253" s="3" t="inlineStr">
        <is>
          <t>S58</t>
        </is>
      </c>
      <c r="D1253" s="3" t="inlineStr">
        <is>
          <t>S59</t>
        </is>
      </c>
      <c r="E1253" s="3" t="inlineStr">
        <is>
          <t>Bloqueia até aceite; sequência conservadora dentro do sprint</t>
        </is>
      </c>
    </row>
    <row r="1254" ht="28" customHeight="1">
      <c r="A1254" s="3" t="inlineStr">
        <is>
          <t>SL-S59-01</t>
        </is>
      </c>
      <c r="B1254" s="3" t="inlineStr">
        <is>
          <t>SL-S59-02</t>
        </is>
      </c>
      <c r="C1254" s="3" t="inlineStr">
        <is>
          <t>S59</t>
        </is>
      </c>
      <c r="D1254" s="3" t="inlineStr">
        <is>
          <t>S59</t>
        </is>
      </c>
      <c r="E1254" s="3" t="inlineStr">
        <is>
          <t>Bloqueia até aceite; sequência conservadora dentro do sprint</t>
        </is>
      </c>
    </row>
    <row r="1255" ht="28" customHeight="1">
      <c r="A1255" s="3" t="inlineStr">
        <is>
          <t>SL-S59-02</t>
        </is>
      </c>
      <c r="B1255" s="3" t="inlineStr">
        <is>
          <t>SL-S59-03</t>
        </is>
      </c>
      <c r="C1255" s="3" t="inlineStr">
        <is>
          <t>S59</t>
        </is>
      </c>
      <c r="D1255" s="3" t="inlineStr">
        <is>
          <t>S59</t>
        </is>
      </c>
      <c r="E1255" s="3" t="inlineStr">
        <is>
          <t>Bloqueia até aceite; sequência conservadora dentro do sprint</t>
        </is>
      </c>
    </row>
    <row r="1256" ht="28" customHeight="1">
      <c r="A1256" s="3" t="inlineStr">
        <is>
          <t>SL-S59-03</t>
        </is>
      </c>
      <c r="B1256" s="3" t="inlineStr">
        <is>
          <t>SL-S59-04</t>
        </is>
      </c>
      <c r="C1256" s="3" t="inlineStr">
        <is>
          <t>S59</t>
        </is>
      </c>
      <c r="D1256" s="3" t="inlineStr">
        <is>
          <t>S59</t>
        </is>
      </c>
      <c r="E1256" s="3" t="inlineStr">
        <is>
          <t>Bloqueia até aceite; sequência conservadora dentro do sprint</t>
        </is>
      </c>
    </row>
    <row r="1257" ht="28" customHeight="1">
      <c r="A1257" s="3" t="inlineStr">
        <is>
          <t>SL-S59-04</t>
        </is>
      </c>
      <c r="B1257" s="3" t="inlineStr">
        <is>
          <t>SL-S59-05</t>
        </is>
      </c>
      <c r="C1257" s="3" t="inlineStr">
        <is>
          <t>S59</t>
        </is>
      </c>
      <c r="D1257" s="3" t="inlineStr">
        <is>
          <t>S59</t>
        </is>
      </c>
      <c r="E1257" s="3" t="inlineStr">
        <is>
          <t>Bloqueia até aceite; sequência conservadora dentro do sprint</t>
        </is>
      </c>
    </row>
    <row r="1258" ht="28" customHeight="1">
      <c r="A1258" s="3" t="inlineStr">
        <is>
          <t>SL-S59-05</t>
        </is>
      </c>
      <c r="B1258" s="3" t="inlineStr">
        <is>
          <t>SL-S59-06</t>
        </is>
      </c>
      <c r="C1258" s="3" t="inlineStr">
        <is>
          <t>S59</t>
        </is>
      </c>
      <c r="D1258" s="3" t="inlineStr">
        <is>
          <t>S59</t>
        </is>
      </c>
      <c r="E1258" s="3" t="inlineStr">
        <is>
          <t>Bloqueia até aceite; sequência conservadora dentro do sprint</t>
        </is>
      </c>
    </row>
    <row r="1259" ht="28" customHeight="1">
      <c r="A1259" s="3" t="inlineStr">
        <is>
          <t>SL-S59-06</t>
        </is>
      </c>
      <c r="B1259" s="3" t="inlineStr">
        <is>
          <t>SL-S59-07</t>
        </is>
      </c>
      <c r="C1259" s="3" t="inlineStr">
        <is>
          <t>S59</t>
        </is>
      </c>
      <c r="D1259" s="3" t="inlineStr">
        <is>
          <t>S59</t>
        </is>
      </c>
      <c r="E1259" s="3" t="inlineStr">
        <is>
          <t>Bloqueia até aceite; sequência conservadora dentro do sprint</t>
        </is>
      </c>
    </row>
    <row r="1260" ht="28" customHeight="1">
      <c r="A1260" s="3" t="inlineStr">
        <is>
          <t>SL-S59-07</t>
        </is>
      </c>
      <c r="B1260" s="3" t="inlineStr">
        <is>
          <t>SL-S59-08</t>
        </is>
      </c>
      <c r="C1260" s="3" t="inlineStr">
        <is>
          <t>S59</t>
        </is>
      </c>
      <c r="D1260" s="3" t="inlineStr">
        <is>
          <t>S59</t>
        </is>
      </c>
      <c r="E1260" s="3" t="inlineStr">
        <is>
          <t>Bloqueia até aceite; sequência conservadora dentro do sprint</t>
        </is>
      </c>
    </row>
    <row r="1261" ht="28" customHeight="1">
      <c r="A1261" s="3" t="inlineStr">
        <is>
          <t>SL-S59-08</t>
        </is>
      </c>
      <c r="B1261" s="3" t="inlineStr">
        <is>
          <t>SL-S59-09</t>
        </is>
      </c>
      <c r="C1261" s="3" t="inlineStr">
        <is>
          <t>S59</t>
        </is>
      </c>
      <c r="D1261" s="3" t="inlineStr">
        <is>
          <t>S59</t>
        </is>
      </c>
      <c r="E1261" s="3" t="inlineStr">
        <is>
          <t>Bloqueia até aceite; sequência conservadora dentro do sprint</t>
        </is>
      </c>
    </row>
    <row r="1262" ht="28" customHeight="1">
      <c r="A1262" s="3" t="inlineStr">
        <is>
          <t>SL-S59-09</t>
        </is>
      </c>
      <c r="B1262" s="3" t="inlineStr">
        <is>
          <t>SL-S59-10</t>
        </is>
      </c>
      <c r="C1262" s="3" t="inlineStr">
        <is>
          <t>S59</t>
        </is>
      </c>
      <c r="D1262" s="3" t="inlineStr">
        <is>
          <t>S59</t>
        </is>
      </c>
      <c r="E1262" s="3" t="inlineStr">
        <is>
          <t>Bloqueia até aceite; sequência conservadora dentro do sprint</t>
        </is>
      </c>
    </row>
    <row r="1263" ht="28" customHeight="1">
      <c r="A1263" s="3" t="inlineStr">
        <is>
          <t>SL-S59-01</t>
        </is>
      </c>
      <c r="B1263" s="3" t="inlineStr">
        <is>
          <t>SL-S59-GATE</t>
        </is>
      </c>
      <c r="C1263" s="3" t="inlineStr">
        <is>
          <t>S59</t>
        </is>
      </c>
      <c r="D1263" s="3" t="inlineStr">
        <is>
          <t>S59</t>
        </is>
      </c>
      <c r="E1263" s="3" t="inlineStr">
        <is>
          <t>Bloqueia até aceite; sequência conservadora dentro do sprint</t>
        </is>
      </c>
    </row>
    <row r="1264" ht="28" customHeight="1">
      <c r="A1264" s="3" t="inlineStr">
        <is>
          <t>SL-S59-02</t>
        </is>
      </c>
      <c r="B1264" s="3" t="inlineStr">
        <is>
          <t>SL-S59-GATE</t>
        </is>
      </c>
      <c r="C1264" s="3" t="inlineStr">
        <is>
          <t>S59</t>
        </is>
      </c>
      <c r="D1264" s="3" t="inlineStr">
        <is>
          <t>S59</t>
        </is>
      </c>
      <c r="E1264" s="3" t="inlineStr">
        <is>
          <t>Bloqueia até aceite; sequência conservadora dentro do sprint</t>
        </is>
      </c>
    </row>
    <row r="1265" ht="28" customHeight="1">
      <c r="A1265" s="3" t="inlineStr">
        <is>
          <t>SL-S59-03</t>
        </is>
      </c>
      <c r="B1265" s="3" t="inlineStr">
        <is>
          <t>SL-S59-GATE</t>
        </is>
      </c>
      <c r="C1265" s="3" t="inlineStr">
        <is>
          <t>S59</t>
        </is>
      </c>
      <c r="D1265" s="3" t="inlineStr">
        <is>
          <t>S59</t>
        </is>
      </c>
      <c r="E1265" s="3" t="inlineStr">
        <is>
          <t>Bloqueia até aceite; sequência conservadora dentro do sprint</t>
        </is>
      </c>
    </row>
    <row r="1266" ht="28" customHeight="1">
      <c r="A1266" s="3" t="inlineStr">
        <is>
          <t>SL-S59-04</t>
        </is>
      </c>
      <c r="B1266" s="3" t="inlineStr">
        <is>
          <t>SL-S59-GATE</t>
        </is>
      </c>
      <c r="C1266" s="3" t="inlineStr">
        <is>
          <t>S59</t>
        </is>
      </c>
      <c r="D1266" s="3" t="inlineStr">
        <is>
          <t>S59</t>
        </is>
      </c>
      <c r="E1266" s="3" t="inlineStr">
        <is>
          <t>Bloqueia até aceite; sequência conservadora dentro do sprint</t>
        </is>
      </c>
    </row>
    <row r="1267" ht="28" customHeight="1">
      <c r="A1267" s="3" t="inlineStr">
        <is>
          <t>SL-S59-05</t>
        </is>
      </c>
      <c r="B1267" s="3" t="inlineStr">
        <is>
          <t>SL-S59-GATE</t>
        </is>
      </c>
      <c r="C1267" s="3" t="inlineStr">
        <is>
          <t>S59</t>
        </is>
      </c>
      <c r="D1267" s="3" t="inlineStr">
        <is>
          <t>S59</t>
        </is>
      </c>
      <c r="E1267" s="3" t="inlineStr">
        <is>
          <t>Bloqueia até aceite; sequência conservadora dentro do sprint</t>
        </is>
      </c>
    </row>
    <row r="1268" ht="28" customHeight="1">
      <c r="A1268" s="3" t="inlineStr">
        <is>
          <t>SL-S59-06</t>
        </is>
      </c>
      <c r="B1268" s="3" t="inlineStr">
        <is>
          <t>SL-S59-GATE</t>
        </is>
      </c>
      <c r="C1268" s="3" t="inlineStr">
        <is>
          <t>S59</t>
        </is>
      </c>
      <c r="D1268" s="3" t="inlineStr">
        <is>
          <t>S59</t>
        </is>
      </c>
      <c r="E1268" s="3" t="inlineStr">
        <is>
          <t>Bloqueia até aceite; sequência conservadora dentro do sprint</t>
        </is>
      </c>
    </row>
    <row r="1269" ht="28" customHeight="1">
      <c r="A1269" s="3" t="inlineStr">
        <is>
          <t>SL-S59-07</t>
        </is>
      </c>
      <c r="B1269" s="3" t="inlineStr">
        <is>
          <t>SL-S59-GATE</t>
        </is>
      </c>
      <c r="C1269" s="3" t="inlineStr">
        <is>
          <t>S59</t>
        </is>
      </c>
      <c r="D1269" s="3" t="inlineStr">
        <is>
          <t>S59</t>
        </is>
      </c>
      <c r="E1269" s="3" t="inlineStr">
        <is>
          <t>Bloqueia até aceite; sequência conservadora dentro do sprint</t>
        </is>
      </c>
    </row>
    <row r="1270" ht="28" customHeight="1">
      <c r="A1270" s="3" t="inlineStr">
        <is>
          <t>SL-S59-08</t>
        </is>
      </c>
      <c r="B1270" s="3" t="inlineStr">
        <is>
          <t>SL-S59-GATE</t>
        </is>
      </c>
      <c r="C1270" s="3" t="inlineStr">
        <is>
          <t>S59</t>
        </is>
      </c>
      <c r="D1270" s="3" t="inlineStr">
        <is>
          <t>S59</t>
        </is>
      </c>
      <c r="E1270" s="3" t="inlineStr">
        <is>
          <t>Bloqueia até aceite; sequência conservadora dentro do sprint</t>
        </is>
      </c>
    </row>
    <row r="1271" ht="28" customHeight="1">
      <c r="A1271" s="3" t="inlineStr">
        <is>
          <t>SL-S59-09</t>
        </is>
      </c>
      <c r="B1271" s="3" t="inlineStr">
        <is>
          <t>SL-S59-GATE</t>
        </is>
      </c>
      <c r="C1271" s="3" t="inlineStr">
        <is>
          <t>S59</t>
        </is>
      </c>
      <c r="D1271" s="3" t="inlineStr">
        <is>
          <t>S59</t>
        </is>
      </c>
      <c r="E1271" s="3" t="inlineStr">
        <is>
          <t>Bloqueia até aceite; sequência conservadora dentro do sprint</t>
        </is>
      </c>
    </row>
    <row r="1272" ht="28" customHeight="1">
      <c r="A1272" s="3" t="inlineStr">
        <is>
          <t>SL-S59-10</t>
        </is>
      </c>
      <c r="B1272" s="3" t="inlineStr">
        <is>
          <t>SL-S59-GATE</t>
        </is>
      </c>
      <c r="C1272" s="3" t="inlineStr">
        <is>
          <t>S59</t>
        </is>
      </c>
      <c r="D1272" s="3" t="inlineStr">
        <is>
          <t>S59</t>
        </is>
      </c>
      <c r="E1272" s="3" t="inlineStr">
        <is>
          <t>Bloqueia até aceite; sequência conservadora dentro do sprint</t>
        </is>
      </c>
    </row>
    <row r="1273" ht="28" customHeight="1">
      <c r="A1273" s="3" t="inlineStr">
        <is>
          <t>SL-S54-GATE</t>
        </is>
      </c>
      <c r="B1273" s="3" t="inlineStr">
        <is>
          <t>SL-S60-01</t>
        </is>
      </c>
      <c r="C1273" s="3" t="inlineStr">
        <is>
          <t>S54</t>
        </is>
      </c>
      <c r="D1273" s="3" t="inlineStr">
        <is>
          <t>S60</t>
        </is>
      </c>
      <c r="E1273" s="3" t="inlineStr">
        <is>
          <t>Bloqueia até aceite; sequência conservadora dentro do sprint</t>
        </is>
      </c>
    </row>
    <row r="1274" ht="28" customHeight="1">
      <c r="A1274" s="3" t="inlineStr">
        <is>
          <t>SL-S55-GATE</t>
        </is>
      </c>
      <c r="B1274" s="3" t="inlineStr">
        <is>
          <t>SL-S60-01</t>
        </is>
      </c>
      <c r="C1274" s="3" t="inlineStr">
        <is>
          <t>S55</t>
        </is>
      </c>
      <c r="D1274" s="3" t="inlineStr">
        <is>
          <t>S60</t>
        </is>
      </c>
      <c r="E1274" s="3" t="inlineStr">
        <is>
          <t>Bloqueia até aceite; sequência conservadora dentro do sprint</t>
        </is>
      </c>
    </row>
    <row r="1275" ht="28" customHeight="1">
      <c r="A1275" s="3" t="inlineStr">
        <is>
          <t>SL-S56-GATE</t>
        </is>
      </c>
      <c r="B1275" s="3" t="inlineStr">
        <is>
          <t>SL-S60-01</t>
        </is>
      </c>
      <c r="C1275" s="3" t="inlineStr">
        <is>
          <t>S56</t>
        </is>
      </c>
      <c r="D1275" s="3" t="inlineStr">
        <is>
          <t>S60</t>
        </is>
      </c>
      <c r="E1275" s="3" t="inlineStr">
        <is>
          <t>Bloqueia até aceite; sequência conservadora dentro do sprint</t>
        </is>
      </c>
    </row>
    <row r="1276" ht="28" customHeight="1">
      <c r="A1276" s="3" t="inlineStr">
        <is>
          <t>SL-S57-GATE</t>
        </is>
      </c>
      <c r="B1276" s="3" t="inlineStr">
        <is>
          <t>SL-S60-01</t>
        </is>
      </c>
      <c r="C1276" s="3" t="inlineStr">
        <is>
          <t>S57</t>
        </is>
      </c>
      <c r="D1276" s="3" t="inlineStr">
        <is>
          <t>S60</t>
        </is>
      </c>
      <c r="E1276" s="3" t="inlineStr">
        <is>
          <t>Bloqueia até aceite; sequência conservadora dentro do sprint</t>
        </is>
      </c>
    </row>
    <row r="1277" ht="28" customHeight="1">
      <c r="A1277" s="3" t="inlineStr">
        <is>
          <t>SL-S58-GATE</t>
        </is>
      </c>
      <c r="B1277" s="3" t="inlineStr">
        <is>
          <t>SL-S60-01</t>
        </is>
      </c>
      <c r="C1277" s="3" t="inlineStr">
        <is>
          <t>S58</t>
        </is>
      </c>
      <c r="D1277" s="3" t="inlineStr">
        <is>
          <t>S60</t>
        </is>
      </c>
      <c r="E1277" s="3" t="inlineStr">
        <is>
          <t>Bloqueia até aceite; sequência conservadora dentro do sprint</t>
        </is>
      </c>
    </row>
    <row r="1278" ht="28" customHeight="1">
      <c r="A1278" s="3" t="inlineStr">
        <is>
          <t>SL-S59-GATE</t>
        </is>
      </c>
      <c r="B1278" s="3" t="inlineStr">
        <is>
          <t>SL-S60-01</t>
        </is>
      </c>
      <c r="C1278" s="3" t="inlineStr">
        <is>
          <t>S59</t>
        </is>
      </c>
      <c r="D1278" s="3" t="inlineStr">
        <is>
          <t>S60</t>
        </is>
      </c>
      <c r="E1278" s="3" t="inlineStr">
        <is>
          <t>Bloqueia até aceite; sequência conservadora dentro do sprint</t>
        </is>
      </c>
    </row>
    <row r="1279" ht="28" customHeight="1">
      <c r="A1279" s="3" t="inlineStr">
        <is>
          <t>SL-S60-01</t>
        </is>
      </c>
      <c r="B1279" s="3" t="inlineStr">
        <is>
          <t>SL-S60-02</t>
        </is>
      </c>
      <c r="C1279" s="3" t="inlineStr">
        <is>
          <t>S60</t>
        </is>
      </c>
      <c r="D1279" s="3" t="inlineStr">
        <is>
          <t>S60</t>
        </is>
      </c>
      <c r="E1279" s="3" t="inlineStr">
        <is>
          <t>Bloqueia até aceite; sequência conservadora dentro do sprint</t>
        </is>
      </c>
    </row>
    <row r="1280" ht="28" customHeight="1">
      <c r="A1280" s="3" t="inlineStr">
        <is>
          <t>SL-S60-02</t>
        </is>
      </c>
      <c r="B1280" s="3" t="inlineStr">
        <is>
          <t>SL-S60-03</t>
        </is>
      </c>
      <c r="C1280" s="3" t="inlineStr">
        <is>
          <t>S60</t>
        </is>
      </c>
      <c r="D1280" s="3" t="inlineStr">
        <is>
          <t>S60</t>
        </is>
      </c>
      <c r="E1280" s="3" t="inlineStr">
        <is>
          <t>Bloqueia até aceite; sequência conservadora dentro do sprint</t>
        </is>
      </c>
    </row>
    <row r="1281" ht="28" customHeight="1">
      <c r="A1281" s="3" t="inlineStr">
        <is>
          <t>SL-S60-03</t>
        </is>
      </c>
      <c r="B1281" s="3" t="inlineStr">
        <is>
          <t>SL-S60-04</t>
        </is>
      </c>
      <c r="C1281" s="3" t="inlineStr">
        <is>
          <t>S60</t>
        </is>
      </c>
      <c r="D1281" s="3" t="inlineStr">
        <is>
          <t>S60</t>
        </is>
      </c>
      <c r="E1281" s="3" t="inlineStr">
        <is>
          <t>Bloqueia até aceite; sequência conservadora dentro do sprint</t>
        </is>
      </c>
    </row>
    <row r="1282" ht="28" customHeight="1">
      <c r="A1282" s="3" t="inlineStr">
        <is>
          <t>SL-S60-04</t>
        </is>
      </c>
      <c r="B1282" s="3" t="inlineStr">
        <is>
          <t>SL-S60-05</t>
        </is>
      </c>
      <c r="C1282" s="3" t="inlineStr">
        <is>
          <t>S60</t>
        </is>
      </c>
      <c r="D1282" s="3" t="inlineStr">
        <is>
          <t>S60</t>
        </is>
      </c>
      <c r="E1282" s="3" t="inlineStr">
        <is>
          <t>Bloqueia até aceite; sequência conservadora dentro do sprint</t>
        </is>
      </c>
    </row>
    <row r="1283" ht="28" customHeight="1">
      <c r="A1283" s="3" t="inlineStr">
        <is>
          <t>SL-S60-05</t>
        </is>
      </c>
      <c r="B1283" s="3" t="inlineStr">
        <is>
          <t>SL-S60-06</t>
        </is>
      </c>
      <c r="C1283" s="3" t="inlineStr">
        <is>
          <t>S60</t>
        </is>
      </c>
      <c r="D1283" s="3" t="inlineStr">
        <is>
          <t>S60</t>
        </is>
      </c>
      <c r="E1283" s="3" t="inlineStr">
        <is>
          <t>Bloqueia até aceite; sequência conservadora dentro do sprint</t>
        </is>
      </c>
    </row>
    <row r="1284" ht="28" customHeight="1">
      <c r="A1284" s="3" t="inlineStr">
        <is>
          <t>SL-S60-06</t>
        </is>
      </c>
      <c r="B1284" s="3" t="inlineStr">
        <is>
          <t>SL-S60-07</t>
        </is>
      </c>
      <c r="C1284" s="3" t="inlineStr">
        <is>
          <t>S60</t>
        </is>
      </c>
      <c r="D1284" s="3" t="inlineStr">
        <is>
          <t>S60</t>
        </is>
      </c>
      <c r="E1284" s="3" t="inlineStr">
        <is>
          <t>Bloqueia até aceite; sequência conservadora dentro do sprint</t>
        </is>
      </c>
    </row>
    <row r="1285" ht="28" customHeight="1">
      <c r="A1285" s="3" t="inlineStr">
        <is>
          <t>SL-S60-07</t>
        </is>
      </c>
      <c r="B1285" s="3" t="inlineStr">
        <is>
          <t>SL-S60-08</t>
        </is>
      </c>
      <c r="C1285" s="3" t="inlineStr">
        <is>
          <t>S60</t>
        </is>
      </c>
      <c r="D1285" s="3" t="inlineStr">
        <is>
          <t>S60</t>
        </is>
      </c>
      <c r="E1285" s="3" t="inlineStr">
        <is>
          <t>Bloqueia até aceite; sequência conservadora dentro do sprint</t>
        </is>
      </c>
    </row>
    <row r="1286" ht="28" customHeight="1">
      <c r="A1286" s="3" t="inlineStr">
        <is>
          <t>SL-S60-08</t>
        </is>
      </c>
      <c r="B1286" s="3" t="inlineStr">
        <is>
          <t>SL-S60-09</t>
        </is>
      </c>
      <c r="C1286" s="3" t="inlineStr">
        <is>
          <t>S60</t>
        </is>
      </c>
      <c r="D1286" s="3" t="inlineStr">
        <is>
          <t>S60</t>
        </is>
      </c>
      <c r="E1286" s="3" t="inlineStr">
        <is>
          <t>Bloqueia até aceite; sequência conservadora dentro do sprint</t>
        </is>
      </c>
    </row>
    <row r="1287" ht="28" customHeight="1">
      <c r="A1287" s="3" t="inlineStr">
        <is>
          <t>SL-S60-09</t>
        </is>
      </c>
      <c r="B1287" s="3" t="inlineStr">
        <is>
          <t>SL-S60-10</t>
        </is>
      </c>
      <c r="C1287" s="3" t="inlineStr">
        <is>
          <t>S60</t>
        </is>
      </c>
      <c r="D1287" s="3" t="inlineStr">
        <is>
          <t>S60</t>
        </is>
      </c>
      <c r="E1287" s="3" t="inlineStr">
        <is>
          <t>Bloqueia até aceite; sequência conservadora dentro do sprint</t>
        </is>
      </c>
    </row>
    <row r="1288" ht="28" customHeight="1">
      <c r="A1288" s="3" t="inlineStr">
        <is>
          <t>SL-S60-01</t>
        </is>
      </c>
      <c r="B1288" s="3" t="inlineStr">
        <is>
          <t>SL-S60-GATE</t>
        </is>
      </c>
      <c r="C1288" s="3" t="inlineStr">
        <is>
          <t>S60</t>
        </is>
      </c>
      <c r="D1288" s="3" t="inlineStr">
        <is>
          <t>S60</t>
        </is>
      </c>
      <c r="E1288" s="3" t="inlineStr">
        <is>
          <t>Bloqueia até aceite; sequência conservadora dentro do sprint</t>
        </is>
      </c>
    </row>
    <row r="1289" ht="28" customHeight="1">
      <c r="A1289" s="3" t="inlineStr">
        <is>
          <t>SL-S60-02</t>
        </is>
      </c>
      <c r="B1289" s="3" t="inlineStr">
        <is>
          <t>SL-S60-GATE</t>
        </is>
      </c>
      <c r="C1289" s="3" t="inlineStr">
        <is>
          <t>S60</t>
        </is>
      </c>
      <c r="D1289" s="3" t="inlineStr">
        <is>
          <t>S60</t>
        </is>
      </c>
      <c r="E1289" s="3" t="inlineStr">
        <is>
          <t>Bloqueia até aceite; sequência conservadora dentro do sprint</t>
        </is>
      </c>
    </row>
    <row r="1290" ht="28" customHeight="1">
      <c r="A1290" s="3" t="inlineStr">
        <is>
          <t>SL-S60-03</t>
        </is>
      </c>
      <c r="B1290" s="3" t="inlineStr">
        <is>
          <t>SL-S60-GATE</t>
        </is>
      </c>
      <c r="C1290" s="3" t="inlineStr">
        <is>
          <t>S60</t>
        </is>
      </c>
      <c r="D1290" s="3" t="inlineStr">
        <is>
          <t>S60</t>
        </is>
      </c>
      <c r="E1290" s="3" t="inlineStr">
        <is>
          <t>Bloqueia até aceite; sequência conservadora dentro do sprint</t>
        </is>
      </c>
    </row>
    <row r="1291" ht="28" customHeight="1">
      <c r="A1291" s="3" t="inlineStr">
        <is>
          <t>SL-S60-04</t>
        </is>
      </c>
      <c r="B1291" s="3" t="inlineStr">
        <is>
          <t>SL-S60-GATE</t>
        </is>
      </c>
      <c r="C1291" s="3" t="inlineStr">
        <is>
          <t>S60</t>
        </is>
      </c>
      <c r="D1291" s="3" t="inlineStr">
        <is>
          <t>S60</t>
        </is>
      </c>
      <c r="E1291" s="3" t="inlineStr">
        <is>
          <t>Bloqueia até aceite; sequência conservadora dentro do sprint</t>
        </is>
      </c>
    </row>
    <row r="1292" ht="28" customHeight="1">
      <c r="A1292" s="3" t="inlineStr">
        <is>
          <t>SL-S60-05</t>
        </is>
      </c>
      <c r="B1292" s="3" t="inlineStr">
        <is>
          <t>SL-S60-GATE</t>
        </is>
      </c>
      <c r="C1292" s="3" t="inlineStr">
        <is>
          <t>S60</t>
        </is>
      </c>
      <c r="D1292" s="3" t="inlineStr">
        <is>
          <t>S60</t>
        </is>
      </c>
      <c r="E1292" s="3" t="inlineStr">
        <is>
          <t>Bloqueia até aceite; sequência conservadora dentro do sprint</t>
        </is>
      </c>
    </row>
    <row r="1293" ht="28" customHeight="1">
      <c r="A1293" s="3" t="inlineStr">
        <is>
          <t>SL-S60-06</t>
        </is>
      </c>
      <c r="B1293" s="3" t="inlineStr">
        <is>
          <t>SL-S60-GATE</t>
        </is>
      </c>
      <c r="C1293" s="3" t="inlineStr">
        <is>
          <t>S60</t>
        </is>
      </c>
      <c r="D1293" s="3" t="inlineStr">
        <is>
          <t>S60</t>
        </is>
      </c>
      <c r="E1293" s="3" t="inlineStr">
        <is>
          <t>Bloqueia até aceite; sequência conservadora dentro do sprint</t>
        </is>
      </c>
    </row>
    <row r="1294" ht="28" customHeight="1">
      <c r="A1294" s="3" t="inlineStr">
        <is>
          <t>SL-S60-07</t>
        </is>
      </c>
      <c r="B1294" s="3" t="inlineStr">
        <is>
          <t>SL-S60-GATE</t>
        </is>
      </c>
      <c r="C1294" s="3" t="inlineStr">
        <is>
          <t>S60</t>
        </is>
      </c>
      <c r="D1294" s="3" t="inlineStr">
        <is>
          <t>S60</t>
        </is>
      </c>
      <c r="E1294" s="3" t="inlineStr">
        <is>
          <t>Bloqueia até aceite; sequência conservadora dentro do sprint</t>
        </is>
      </c>
    </row>
    <row r="1295" ht="28" customHeight="1">
      <c r="A1295" s="3" t="inlineStr">
        <is>
          <t>SL-S60-08</t>
        </is>
      </c>
      <c r="B1295" s="3" t="inlineStr">
        <is>
          <t>SL-S60-GATE</t>
        </is>
      </c>
      <c r="C1295" s="3" t="inlineStr">
        <is>
          <t>S60</t>
        </is>
      </c>
      <c r="D1295" s="3" t="inlineStr">
        <is>
          <t>S60</t>
        </is>
      </c>
      <c r="E1295" s="3" t="inlineStr">
        <is>
          <t>Bloqueia até aceite; sequência conservadora dentro do sprint</t>
        </is>
      </c>
    </row>
    <row r="1296" ht="28" customHeight="1">
      <c r="A1296" s="3" t="inlineStr">
        <is>
          <t>SL-S60-09</t>
        </is>
      </c>
      <c r="B1296" s="3" t="inlineStr">
        <is>
          <t>SL-S60-GATE</t>
        </is>
      </c>
      <c r="C1296" s="3" t="inlineStr">
        <is>
          <t>S60</t>
        </is>
      </c>
      <c r="D1296" s="3" t="inlineStr">
        <is>
          <t>S60</t>
        </is>
      </c>
      <c r="E1296" s="3" t="inlineStr">
        <is>
          <t>Bloqueia até aceite; sequência conservadora dentro do sprint</t>
        </is>
      </c>
    </row>
    <row r="1297" ht="28" customHeight="1">
      <c r="A1297" s="3" t="inlineStr">
        <is>
          <t>SL-S60-10</t>
        </is>
      </c>
      <c r="B1297" s="3" t="inlineStr">
        <is>
          <t>SL-S60-GATE</t>
        </is>
      </c>
      <c r="C1297" s="3" t="inlineStr">
        <is>
          <t>S60</t>
        </is>
      </c>
      <c r="D1297" s="3" t="inlineStr">
        <is>
          <t>S60</t>
        </is>
      </c>
      <c r="E1297" s="3" t="inlineStr">
        <is>
          <t>Bloqueia até aceite; sequência conservadora dentro do sprint</t>
        </is>
      </c>
    </row>
    <row r="1298" ht="28" customHeight="1">
      <c r="A1298" s="3" t="inlineStr">
        <is>
          <t>SL-S60-GATE</t>
        </is>
      </c>
      <c r="B1298" s="3" t="inlineStr">
        <is>
          <t>SL-S61-01</t>
        </is>
      </c>
      <c r="C1298" s="3" t="inlineStr">
        <is>
          <t>S60</t>
        </is>
      </c>
      <c r="D1298" s="3" t="inlineStr">
        <is>
          <t>S61</t>
        </is>
      </c>
      <c r="E1298" s="3" t="inlineStr">
        <is>
          <t>Bloqueia até aceite; sequência conservadora dentro do sprint</t>
        </is>
      </c>
    </row>
    <row r="1299" ht="28" customHeight="1">
      <c r="A1299" s="3" t="inlineStr">
        <is>
          <t>SL-S61-01</t>
        </is>
      </c>
      <c r="B1299" s="3" t="inlineStr">
        <is>
          <t>SL-S61-02</t>
        </is>
      </c>
      <c r="C1299" s="3" t="inlineStr">
        <is>
          <t>S61</t>
        </is>
      </c>
      <c r="D1299" s="3" t="inlineStr">
        <is>
          <t>S61</t>
        </is>
      </c>
      <c r="E1299" s="3" t="inlineStr">
        <is>
          <t>Bloqueia até aceite; sequência conservadora dentro do sprint</t>
        </is>
      </c>
    </row>
    <row r="1300" ht="28" customHeight="1">
      <c r="A1300" s="3" t="inlineStr">
        <is>
          <t>SL-S61-02</t>
        </is>
      </c>
      <c r="B1300" s="3" t="inlineStr">
        <is>
          <t>SL-S61-03</t>
        </is>
      </c>
      <c r="C1300" s="3" t="inlineStr">
        <is>
          <t>S61</t>
        </is>
      </c>
      <c r="D1300" s="3" t="inlineStr">
        <is>
          <t>S61</t>
        </is>
      </c>
      <c r="E1300" s="3" t="inlineStr">
        <is>
          <t>Bloqueia até aceite; sequência conservadora dentro do sprint</t>
        </is>
      </c>
    </row>
    <row r="1301" ht="28" customHeight="1">
      <c r="A1301" s="3" t="inlineStr">
        <is>
          <t>SL-S61-03</t>
        </is>
      </c>
      <c r="B1301" s="3" t="inlineStr">
        <is>
          <t>SL-S61-04</t>
        </is>
      </c>
      <c r="C1301" s="3" t="inlineStr">
        <is>
          <t>S61</t>
        </is>
      </c>
      <c r="D1301" s="3" t="inlineStr">
        <is>
          <t>S61</t>
        </is>
      </c>
      <c r="E1301" s="3" t="inlineStr">
        <is>
          <t>Bloqueia até aceite; sequência conservadora dentro do sprint</t>
        </is>
      </c>
    </row>
    <row r="1302" ht="28" customHeight="1">
      <c r="A1302" s="3" t="inlineStr">
        <is>
          <t>SL-S61-04</t>
        </is>
      </c>
      <c r="B1302" s="3" t="inlineStr">
        <is>
          <t>SL-S61-05</t>
        </is>
      </c>
      <c r="C1302" s="3" t="inlineStr">
        <is>
          <t>S61</t>
        </is>
      </c>
      <c r="D1302" s="3" t="inlineStr">
        <is>
          <t>S61</t>
        </is>
      </c>
      <c r="E1302" s="3" t="inlineStr">
        <is>
          <t>Bloqueia até aceite; sequência conservadora dentro do sprint</t>
        </is>
      </c>
    </row>
    <row r="1303" ht="28" customHeight="1">
      <c r="A1303" s="3" t="inlineStr">
        <is>
          <t>SL-S61-05</t>
        </is>
      </c>
      <c r="B1303" s="3" t="inlineStr">
        <is>
          <t>SL-S61-06</t>
        </is>
      </c>
      <c r="C1303" s="3" t="inlineStr">
        <is>
          <t>S61</t>
        </is>
      </c>
      <c r="D1303" s="3" t="inlineStr">
        <is>
          <t>S61</t>
        </is>
      </c>
      <c r="E1303" s="3" t="inlineStr">
        <is>
          <t>Bloqueia até aceite; sequência conservadora dentro do sprint</t>
        </is>
      </c>
    </row>
    <row r="1304" ht="28" customHeight="1">
      <c r="A1304" s="3" t="inlineStr">
        <is>
          <t>SL-S61-06</t>
        </is>
      </c>
      <c r="B1304" s="3" t="inlineStr">
        <is>
          <t>SL-S61-07</t>
        </is>
      </c>
      <c r="C1304" s="3" t="inlineStr">
        <is>
          <t>S61</t>
        </is>
      </c>
      <c r="D1304" s="3" t="inlineStr">
        <is>
          <t>S61</t>
        </is>
      </c>
      <c r="E1304" s="3" t="inlineStr">
        <is>
          <t>Bloqueia até aceite; sequência conservadora dentro do sprint</t>
        </is>
      </c>
    </row>
    <row r="1305" ht="28" customHeight="1">
      <c r="A1305" s="3" t="inlineStr">
        <is>
          <t>SL-S61-07</t>
        </is>
      </c>
      <c r="B1305" s="3" t="inlineStr">
        <is>
          <t>SL-S61-08</t>
        </is>
      </c>
      <c r="C1305" s="3" t="inlineStr">
        <is>
          <t>S61</t>
        </is>
      </c>
      <c r="D1305" s="3" t="inlineStr">
        <is>
          <t>S61</t>
        </is>
      </c>
      <c r="E1305" s="3" t="inlineStr">
        <is>
          <t>Bloqueia até aceite; sequência conservadora dentro do sprint</t>
        </is>
      </c>
    </row>
    <row r="1306" ht="28" customHeight="1">
      <c r="A1306" s="3" t="inlineStr">
        <is>
          <t>SL-S61-08</t>
        </is>
      </c>
      <c r="B1306" s="3" t="inlineStr">
        <is>
          <t>SL-S61-09</t>
        </is>
      </c>
      <c r="C1306" s="3" t="inlineStr">
        <is>
          <t>S61</t>
        </is>
      </c>
      <c r="D1306" s="3" t="inlineStr">
        <is>
          <t>S61</t>
        </is>
      </c>
      <c r="E1306" s="3" t="inlineStr">
        <is>
          <t>Bloqueia até aceite; sequência conservadora dentro do sprint</t>
        </is>
      </c>
    </row>
    <row r="1307" ht="28" customHeight="1">
      <c r="A1307" s="3" t="inlineStr">
        <is>
          <t>SL-S61-09</t>
        </is>
      </c>
      <c r="B1307" s="3" t="inlineStr">
        <is>
          <t>SL-S61-10</t>
        </is>
      </c>
      <c r="C1307" s="3" t="inlineStr">
        <is>
          <t>S61</t>
        </is>
      </c>
      <c r="D1307" s="3" t="inlineStr">
        <is>
          <t>S61</t>
        </is>
      </c>
      <c r="E1307" s="3" t="inlineStr">
        <is>
          <t>Bloqueia até aceite; sequência conservadora dentro do sprint</t>
        </is>
      </c>
    </row>
    <row r="1308" ht="28" customHeight="1">
      <c r="A1308" s="3" t="inlineStr">
        <is>
          <t>SL-S61-01</t>
        </is>
      </c>
      <c r="B1308" s="3" t="inlineStr">
        <is>
          <t>SL-S61-GATE</t>
        </is>
      </c>
      <c r="C1308" s="3" t="inlineStr">
        <is>
          <t>S61</t>
        </is>
      </c>
      <c r="D1308" s="3" t="inlineStr">
        <is>
          <t>S61</t>
        </is>
      </c>
      <c r="E1308" s="3" t="inlineStr">
        <is>
          <t>Bloqueia até aceite; sequência conservadora dentro do sprint</t>
        </is>
      </c>
    </row>
    <row r="1309" ht="28" customHeight="1">
      <c r="A1309" s="3" t="inlineStr">
        <is>
          <t>SL-S61-02</t>
        </is>
      </c>
      <c r="B1309" s="3" t="inlineStr">
        <is>
          <t>SL-S61-GATE</t>
        </is>
      </c>
      <c r="C1309" s="3" t="inlineStr">
        <is>
          <t>S61</t>
        </is>
      </c>
      <c r="D1309" s="3" t="inlineStr">
        <is>
          <t>S61</t>
        </is>
      </c>
      <c r="E1309" s="3" t="inlineStr">
        <is>
          <t>Bloqueia até aceite; sequência conservadora dentro do sprint</t>
        </is>
      </c>
    </row>
    <row r="1310" ht="28" customHeight="1">
      <c r="A1310" s="3" t="inlineStr">
        <is>
          <t>SL-S61-03</t>
        </is>
      </c>
      <c r="B1310" s="3" t="inlineStr">
        <is>
          <t>SL-S61-GATE</t>
        </is>
      </c>
      <c r="C1310" s="3" t="inlineStr">
        <is>
          <t>S61</t>
        </is>
      </c>
      <c r="D1310" s="3" t="inlineStr">
        <is>
          <t>S61</t>
        </is>
      </c>
      <c r="E1310" s="3" t="inlineStr">
        <is>
          <t>Bloqueia até aceite; sequência conservadora dentro do sprint</t>
        </is>
      </c>
    </row>
    <row r="1311" ht="28" customHeight="1">
      <c r="A1311" s="3" t="inlineStr">
        <is>
          <t>SL-S61-04</t>
        </is>
      </c>
      <c r="B1311" s="3" t="inlineStr">
        <is>
          <t>SL-S61-GATE</t>
        </is>
      </c>
      <c r="C1311" s="3" t="inlineStr">
        <is>
          <t>S61</t>
        </is>
      </c>
      <c r="D1311" s="3" t="inlineStr">
        <is>
          <t>S61</t>
        </is>
      </c>
      <c r="E1311" s="3" t="inlineStr">
        <is>
          <t>Bloqueia até aceite; sequência conservadora dentro do sprint</t>
        </is>
      </c>
    </row>
    <row r="1312" ht="28" customHeight="1">
      <c r="A1312" s="3" t="inlineStr">
        <is>
          <t>SL-S61-05</t>
        </is>
      </c>
      <c r="B1312" s="3" t="inlineStr">
        <is>
          <t>SL-S61-GATE</t>
        </is>
      </c>
      <c r="C1312" s="3" t="inlineStr">
        <is>
          <t>S61</t>
        </is>
      </c>
      <c r="D1312" s="3" t="inlineStr">
        <is>
          <t>S61</t>
        </is>
      </c>
      <c r="E1312" s="3" t="inlineStr">
        <is>
          <t>Bloqueia até aceite; sequência conservadora dentro do sprint</t>
        </is>
      </c>
    </row>
    <row r="1313" ht="28" customHeight="1">
      <c r="A1313" s="3" t="inlineStr">
        <is>
          <t>SL-S61-06</t>
        </is>
      </c>
      <c r="B1313" s="3" t="inlineStr">
        <is>
          <t>SL-S61-GATE</t>
        </is>
      </c>
      <c r="C1313" s="3" t="inlineStr">
        <is>
          <t>S61</t>
        </is>
      </c>
      <c r="D1313" s="3" t="inlineStr">
        <is>
          <t>S61</t>
        </is>
      </c>
      <c r="E1313" s="3" t="inlineStr">
        <is>
          <t>Bloqueia até aceite; sequência conservadora dentro do sprint</t>
        </is>
      </c>
    </row>
    <row r="1314" ht="28" customHeight="1">
      <c r="A1314" s="3" t="inlineStr">
        <is>
          <t>SL-S61-07</t>
        </is>
      </c>
      <c r="B1314" s="3" t="inlineStr">
        <is>
          <t>SL-S61-GATE</t>
        </is>
      </c>
      <c r="C1314" s="3" t="inlineStr">
        <is>
          <t>S61</t>
        </is>
      </c>
      <c r="D1314" s="3" t="inlineStr">
        <is>
          <t>S61</t>
        </is>
      </c>
      <c r="E1314" s="3" t="inlineStr">
        <is>
          <t>Bloqueia até aceite; sequência conservadora dentro do sprint</t>
        </is>
      </c>
    </row>
    <row r="1315" ht="28" customHeight="1">
      <c r="A1315" s="3" t="inlineStr">
        <is>
          <t>SL-S61-08</t>
        </is>
      </c>
      <c r="B1315" s="3" t="inlineStr">
        <is>
          <t>SL-S61-GATE</t>
        </is>
      </c>
      <c r="C1315" s="3" t="inlineStr">
        <is>
          <t>S61</t>
        </is>
      </c>
      <c r="D1315" s="3" t="inlineStr">
        <is>
          <t>S61</t>
        </is>
      </c>
      <c r="E1315" s="3" t="inlineStr">
        <is>
          <t>Bloqueia até aceite; sequência conservadora dentro do sprint</t>
        </is>
      </c>
    </row>
    <row r="1316" ht="28" customHeight="1">
      <c r="A1316" s="3" t="inlineStr">
        <is>
          <t>SL-S61-09</t>
        </is>
      </c>
      <c r="B1316" s="3" t="inlineStr">
        <is>
          <t>SL-S61-GATE</t>
        </is>
      </c>
      <c r="C1316" s="3" t="inlineStr">
        <is>
          <t>S61</t>
        </is>
      </c>
      <c r="D1316" s="3" t="inlineStr">
        <is>
          <t>S61</t>
        </is>
      </c>
      <c r="E1316" s="3" t="inlineStr">
        <is>
          <t>Bloqueia até aceite; sequência conservadora dentro do sprint</t>
        </is>
      </c>
    </row>
    <row r="1317" ht="28" customHeight="1">
      <c r="A1317" s="3" t="inlineStr">
        <is>
          <t>SL-S61-10</t>
        </is>
      </c>
      <c r="B1317" s="3" t="inlineStr">
        <is>
          <t>SL-S61-GATE</t>
        </is>
      </c>
      <c r="C1317" s="3" t="inlineStr">
        <is>
          <t>S61</t>
        </is>
      </c>
      <c r="D1317" s="3" t="inlineStr">
        <is>
          <t>S61</t>
        </is>
      </c>
      <c r="E1317" s="3" t="inlineStr">
        <is>
          <t>Bloqueia até aceite; sequência conservadora dentro do sprint</t>
        </is>
      </c>
    </row>
    <row r="1318" ht="28" customHeight="1">
      <c r="A1318" s="3" t="inlineStr">
        <is>
          <t>SL-S61-GATE</t>
        </is>
      </c>
      <c r="B1318" s="3" t="inlineStr">
        <is>
          <t>SL-S62-01</t>
        </is>
      </c>
      <c r="C1318" s="3" t="inlineStr">
        <is>
          <t>S61</t>
        </is>
      </c>
      <c r="D1318" s="3" t="inlineStr">
        <is>
          <t>S62</t>
        </is>
      </c>
      <c r="E1318" s="3" t="inlineStr">
        <is>
          <t>Bloqueia até aceite; sequência conservadora dentro do sprint</t>
        </is>
      </c>
    </row>
    <row r="1319" ht="28" customHeight="1">
      <c r="A1319" s="3" t="inlineStr">
        <is>
          <t>SL-S62-01</t>
        </is>
      </c>
      <c r="B1319" s="3" t="inlineStr">
        <is>
          <t>SL-S62-02</t>
        </is>
      </c>
      <c r="C1319" s="3" t="inlineStr">
        <is>
          <t>S62</t>
        </is>
      </c>
      <c r="D1319" s="3" t="inlineStr">
        <is>
          <t>S62</t>
        </is>
      </c>
      <c r="E1319" s="3" t="inlineStr">
        <is>
          <t>Bloqueia até aceite; sequência conservadora dentro do sprint</t>
        </is>
      </c>
    </row>
    <row r="1320" ht="28" customHeight="1">
      <c r="A1320" s="3" t="inlineStr">
        <is>
          <t>SL-S62-02</t>
        </is>
      </c>
      <c r="B1320" s="3" t="inlineStr">
        <is>
          <t>SL-S62-03</t>
        </is>
      </c>
      <c r="C1320" s="3" t="inlineStr">
        <is>
          <t>S62</t>
        </is>
      </c>
      <c r="D1320" s="3" t="inlineStr">
        <is>
          <t>S62</t>
        </is>
      </c>
      <c r="E1320" s="3" t="inlineStr">
        <is>
          <t>Bloqueia até aceite; sequência conservadora dentro do sprint</t>
        </is>
      </c>
    </row>
    <row r="1321" ht="28" customHeight="1">
      <c r="A1321" s="3" t="inlineStr">
        <is>
          <t>SL-S62-03</t>
        </is>
      </c>
      <c r="B1321" s="3" t="inlineStr">
        <is>
          <t>SL-S62-04</t>
        </is>
      </c>
      <c r="C1321" s="3" t="inlineStr">
        <is>
          <t>S62</t>
        </is>
      </c>
      <c r="D1321" s="3" t="inlineStr">
        <is>
          <t>S62</t>
        </is>
      </c>
      <c r="E1321" s="3" t="inlineStr">
        <is>
          <t>Bloqueia até aceite; sequência conservadora dentro do sprint</t>
        </is>
      </c>
    </row>
    <row r="1322" ht="28" customHeight="1">
      <c r="A1322" s="3" t="inlineStr">
        <is>
          <t>SL-S62-04</t>
        </is>
      </c>
      <c r="B1322" s="3" t="inlineStr">
        <is>
          <t>SL-S62-05</t>
        </is>
      </c>
      <c r="C1322" s="3" t="inlineStr">
        <is>
          <t>S62</t>
        </is>
      </c>
      <c r="D1322" s="3" t="inlineStr">
        <is>
          <t>S62</t>
        </is>
      </c>
      <c r="E1322" s="3" t="inlineStr">
        <is>
          <t>Bloqueia até aceite; sequência conservadora dentro do sprint</t>
        </is>
      </c>
    </row>
    <row r="1323" ht="28" customHeight="1">
      <c r="A1323" s="3" t="inlineStr">
        <is>
          <t>SL-S62-05</t>
        </is>
      </c>
      <c r="B1323" s="3" t="inlineStr">
        <is>
          <t>SL-S62-06</t>
        </is>
      </c>
      <c r="C1323" s="3" t="inlineStr">
        <is>
          <t>S62</t>
        </is>
      </c>
      <c r="D1323" s="3" t="inlineStr">
        <is>
          <t>S62</t>
        </is>
      </c>
      <c r="E1323" s="3" t="inlineStr">
        <is>
          <t>Bloqueia até aceite; sequência conservadora dentro do sprint</t>
        </is>
      </c>
    </row>
    <row r="1324" ht="28" customHeight="1">
      <c r="A1324" s="3" t="inlineStr">
        <is>
          <t>SL-S62-06</t>
        </is>
      </c>
      <c r="B1324" s="3" t="inlineStr">
        <is>
          <t>SL-S62-07</t>
        </is>
      </c>
      <c r="C1324" s="3" t="inlineStr">
        <is>
          <t>S62</t>
        </is>
      </c>
      <c r="D1324" s="3" t="inlineStr">
        <is>
          <t>S62</t>
        </is>
      </c>
      <c r="E1324" s="3" t="inlineStr">
        <is>
          <t>Bloqueia até aceite; sequência conservadora dentro do sprint</t>
        </is>
      </c>
    </row>
    <row r="1325" ht="28" customHeight="1">
      <c r="A1325" s="3" t="inlineStr">
        <is>
          <t>SL-S62-07</t>
        </is>
      </c>
      <c r="B1325" s="3" t="inlineStr">
        <is>
          <t>SL-S62-08</t>
        </is>
      </c>
      <c r="C1325" s="3" t="inlineStr">
        <is>
          <t>S62</t>
        </is>
      </c>
      <c r="D1325" s="3" t="inlineStr">
        <is>
          <t>S62</t>
        </is>
      </c>
      <c r="E1325" s="3" t="inlineStr">
        <is>
          <t>Bloqueia até aceite; sequência conservadora dentro do sprint</t>
        </is>
      </c>
    </row>
    <row r="1326" ht="28" customHeight="1">
      <c r="A1326" s="3" t="inlineStr">
        <is>
          <t>SL-S62-08</t>
        </is>
      </c>
      <c r="B1326" s="3" t="inlineStr">
        <is>
          <t>SL-S62-09</t>
        </is>
      </c>
      <c r="C1326" s="3" t="inlineStr">
        <is>
          <t>S62</t>
        </is>
      </c>
      <c r="D1326" s="3" t="inlineStr">
        <is>
          <t>S62</t>
        </is>
      </c>
      <c r="E1326" s="3" t="inlineStr">
        <is>
          <t>Bloqueia até aceite; sequência conservadora dentro do sprint</t>
        </is>
      </c>
    </row>
    <row r="1327" ht="28" customHeight="1">
      <c r="A1327" s="3" t="inlineStr">
        <is>
          <t>SL-S62-09</t>
        </is>
      </c>
      <c r="B1327" s="3" t="inlineStr">
        <is>
          <t>SL-S62-10</t>
        </is>
      </c>
      <c r="C1327" s="3" t="inlineStr">
        <is>
          <t>S62</t>
        </is>
      </c>
      <c r="D1327" s="3" t="inlineStr">
        <is>
          <t>S62</t>
        </is>
      </c>
      <c r="E1327" s="3" t="inlineStr">
        <is>
          <t>Bloqueia até aceite; sequência conservadora dentro do sprint</t>
        </is>
      </c>
    </row>
    <row r="1328" ht="28" customHeight="1">
      <c r="A1328" s="3" t="inlineStr">
        <is>
          <t>SL-S62-01</t>
        </is>
      </c>
      <c r="B1328" s="3" t="inlineStr">
        <is>
          <t>SL-S62-GATE</t>
        </is>
      </c>
      <c r="C1328" s="3" t="inlineStr">
        <is>
          <t>S62</t>
        </is>
      </c>
      <c r="D1328" s="3" t="inlineStr">
        <is>
          <t>S62</t>
        </is>
      </c>
      <c r="E1328" s="3" t="inlineStr">
        <is>
          <t>Bloqueia até aceite; sequência conservadora dentro do sprint</t>
        </is>
      </c>
    </row>
    <row r="1329" ht="28" customHeight="1">
      <c r="A1329" s="3" t="inlineStr">
        <is>
          <t>SL-S62-02</t>
        </is>
      </c>
      <c r="B1329" s="3" t="inlineStr">
        <is>
          <t>SL-S62-GATE</t>
        </is>
      </c>
      <c r="C1329" s="3" t="inlineStr">
        <is>
          <t>S62</t>
        </is>
      </c>
      <c r="D1329" s="3" t="inlineStr">
        <is>
          <t>S62</t>
        </is>
      </c>
      <c r="E1329" s="3" t="inlineStr">
        <is>
          <t>Bloqueia até aceite; sequência conservadora dentro do sprint</t>
        </is>
      </c>
    </row>
    <row r="1330" ht="28" customHeight="1">
      <c r="A1330" s="3" t="inlineStr">
        <is>
          <t>SL-S62-03</t>
        </is>
      </c>
      <c r="B1330" s="3" t="inlineStr">
        <is>
          <t>SL-S62-GATE</t>
        </is>
      </c>
      <c r="C1330" s="3" t="inlineStr">
        <is>
          <t>S62</t>
        </is>
      </c>
      <c r="D1330" s="3" t="inlineStr">
        <is>
          <t>S62</t>
        </is>
      </c>
      <c r="E1330" s="3" t="inlineStr">
        <is>
          <t>Bloqueia até aceite; sequência conservadora dentro do sprint</t>
        </is>
      </c>
    </row>
    <row r="1331" ht="28" customHeight="1">
      <c r="A1331" s="3" t="inlineStr">
        <is>
          <t>SL-S62-04</t>
        </is>
      </c>
      <c r="B1331" s="3" t="inlineStr">
        <is>
          <t>SL-S62-GATE</t>
        </is>
      </c>
      <c r="C1331" s="3" t="inlineStr">
        <is>
          <t>S62</t>
        </is>
      </c>
      <c r="D1331" s="3" t="inlineStr">
        <is>
          <t>S62</t>
        </is>
      </c>
      <c r="E1331" s="3" t="inlineStr">
        <is>
          <t>Bloqueia até aceite; sequência conservadora dentro do sprint</t>
        </is>
      </c>
    </row>
    <row r="1332" ht="28" customHeight="1">
      <c r="A1332" s="3" t="inlineStr">
        <is>
          <t>SL-S62-05</t>
        </is>
      </c>
      <c r="B1332" s="3" t="inlineStr">
        <is>
          <t>SL-S62-GATE</t>
        </is>
      </c>
      <c r="C1332" s="3" t="inlineStr">
        <is>
          <t>S62</t>
        </is>
      </c>
      <c r="D1332" s="3" t="inlineStr">
        <is>
          <t>S62</t>
        </is>
      </c>
      <c r="E1332" s="3" t="inlineStr">
        <is>
          <t>Bloqueia até aceite; sequência conservadora dentro do sprint</t>
        </is>
      </c>
    </row>
    <row r="1333" ht="28" customHeight="1">
      <c r="A1333" s="3" t="inlineStr">
        <is>
          <t>SL-S62-06</t>
        </is>
      </c>
      <c r="B1333" s="3" t="inlineStr">
        <is>
          <t>SL-S62-GATE</t>
        </is>
      </c>
      <c r="C1333" s="3" t="inlineStr">
        <is>
          <t>S62</t>
        </is>
      </c>
      <c r="D1333" s="3" t="inlineStr">
        <is>
          <t>S62</t>
        </is>
      </c>
      <c r="E1333" s="3" t="inlineStr">
        <is>
          <t>Bloqueia até aceite; sequência conservadora dentro do sprint</t>
        </is>
      </c>
    </row>
    <row r="1334" ht="28" customHeight="1">
      <c r="A1334" s="3" t="inlineStr">
        <is>
          <t>SL-S62-07</t>
        </is>
      </c>
      <c r="B1334" s="3" t="inlineStr">
        <is>
          <t>SL-S62-GATE</t>
        </is>
      </c>
      <c r="C1334" s="3" t="inlineStr">
        <is>
          <t>S62</t>
        </is>
      </c>
      <c r="D1334" s="3" t="inlineStr">
        <is>
          <t>S62</t>
        </is>
      </c>
      <c r="E1334" s="3" t="inlineStr">
        <is>
          <t>Bloqueia até aceite; sequência conservadora dentro do sprint</t>
        </is>
      </c>
    </row>
    <row r="1335" ht="28" customHeight="1">
      <c r="A1335" s="3" t="inlineStr">
        <is>
          <t>SL-S62-08</t>
        </is>
      </c>
      <c r="B1335" s="3" t="inlineStr">
        <is>
          <t>SL-S62-GATE</t>
        </is>
      </c>
      <c r="C1335" s="3" t="inlineStr">
        <is>
          <t>S62</t>
        </is>
      </c>
      <c r="D1335" s="3" t="inlineStr">
        <is>
          <t>S62</t>
        </is>
      </c>
      <c r="E1335" s="3" t="inlineStr">
        <is>
          <t>Bloqueia até aceite; sequência conservadora dentro do sprint</t>
        </is>
      </c>
    </row>
    <row r="1336" ht="28" customHeight="1">
      <c r="A1336" s="3" t="inlineStr">
        <is>
          <t>SL-S62-09</t>
        </is>
      </c>
      <c r="B1336" s="3" t="inlineStr">
        <is>
          <t>SL-S62-GATE</t>
        </is>
      </c>
      <c r="C1336" s="3" t="inlineStr">
        <is>
          <t>S62</t>
        </is>
      </c>
      <c r="D1336" s="3" t="inlineStr">
        <is>
          <t>S62</t>
        </is>
      </c>
      <c r="E1336" s="3" t="inlineStr">
        <is>
          <t>Bloqueia até aceite; sequência conservadora dentro do sprint</t>
        </is>
      </c>
    </row>
    <row r="1337" ht="28" customHeight="1">
      <c r="A1337" s="3" t="inlineStr">
        <is>
          <t>SL-S62-10</t>
        </is>
      </c>
      <c r="B1337" s="3" t="inlineStr">
        <is>
          <t>SL-S62-GATE</t>
        </is>
      </c>
      <c r="C1337" s="3" t="inlineStr">
        <is>
          <t>S62</t>
        </is>
      </c>
      <c r="D1337" s="3" t="inlineStr">
        <is>
          <t>S62</t>
        </is>
      </c>
      <c r="E1337" s="3" t="inlineStr">
        <is>
          <t>Bloqueia até aceite; sequência conservadora dentro do sprint</t>
        </is>
      </c>
    </row>
    <row r="1338" ht="28" customHeight="1">
      <c r="A1338" s="3" t="inlineStr">
        <is>
          <t>SL-S61-GATE</t>
        </is>
      </c>
      <c r="B1338" s="3" t="inlineStr">
        <is>
          <t>SL-S63-01</t>
        </is>
      </c>
      <c r="C1338" s="3" t="inlineStr">
        <is>
          <t>S61</t>
        </is>
      </c>
      <c r="D1338" s="3" t="inlineStr">
        <is>
          <t>S63</t>
        </is>
      </c>
      <c r="E1338" s="3" t="inlineStr">
        <is>
          <t>Bloqueia até aceite; sequência conservadora dentro do sprint</t>
        </is>
      </c>
    </row>
    <row r="1339" ht="28" customHeight="1">
      <c r="A1339" s="3" t="inlineStr">
        <is>
          <t>SL-S62-GATE</t>
        </is>
      </c>
      <c r="B1339" s="3" t="inlineStr">
        <is>
          <t>SL-S63-01</t>
        </is>
      </c>
      <c r="C1339" s="3" t="inlineStr">
        <is>
          <t>S62</t>
        </is>
      </c>
      <c r="D1339" s="3" t="inlineStr">
        <is>
          <t>S63</t>
        </is>
      </c>
      <c r="E1339" s="3" t="inlineStr">
        <is>
          <t>Bloqueia até aceite; sequência conservadora dentro do sprint</t>
        </is>
      </c>
    </row>
    <row r="1340" ht="28" customHeight="1">
      <c r="A1340" s="3" t="inlineStr">
        <is>
          <t>SL-S63-01</t>
        </is>
      </c>
      <c r="B1340" s="3" t="inlineStr">
        <is>
          <t>SL-S63-02</t>
        </is>
      </c>
      <c r="C1340" s="3" t="inlineStr">
        <is>
          <t>S63</t>
        </is>
      </c>
      <c r="D1340" s="3" t="inlineStr">
        <is>
          <t>S63</t>
        </is>
      </c>
      <c r="E1340" s="3" t="inlineStr">
        <is>
          <t>Bloqueia até aceite; sequência conservadora dentro do sprint</t>
        </is>
      </c>
    </row>
    <row r="1341" ht="28" customHeight="1">
      <c r="A1341" s="3" t="inlineStr">
        <is>
          <t>SL-S63-02</t>
        </is>
      </c>
      <c r="B1341" s="3" t="inlineStr">
        <is>
          <t>SL-S63-03</t>
        </is>
      </c>
      <c r="C1341" s="3" t="inlineStr">
        <is>
          <t>S63</t>
        </is>
      </c>
      <c r="D1341" s="3" t="inlineStr">
        <is>
          <t>S63</t>
        </is>
      </c>
      <c r="E1341" s="3" t="inlineStr">
        <is>
          <t>Bloqueia até aceite; sequência conservadora dentro do sprint</t>
        </is>
      </c>
    </row>
    <row r="1342" ht="28" customHeight="1">
      <c r="A1342" s="3" t="inlineStr">
        <is>
          <t>SL-S63-03</t>
        </is>
      </c>
      <c r="B1342" s="3" t="inlineStr">
        <is>
          <t>SL-S63-04</t>
        </is>
      </c>
      <c r="C1342" s="3" t="inlineStr">
        <is>
          <t>S63</t>
        </is>
      </c>
      <c r="D1342" s="3" t="inlineStr">
        <is>
          <t>S63</t>
        </is>
      </c>
      <c r="E1342" s="3" t="inlineStr">
        <is>
          <t>Bloqueia até aceite; sequência conservadora dentro do sprint</t>
        </is>
      </c>
    </row>
    <row r="1343" ht="28" customHeight="1">
      <c r="A1343" s="3" t="inlineStr">
        <is>
          <t>SL-S63-04</t>
        </is>
      </c>
      <c r="B1343" s="3" t="inlineStr">
        <is>
          <t>SL-S63-05</t>
        </is>
      </c>
      <c r="C1343" s="3" t="inlineStr">
        <is>
          <t>S63</t>
        </is>
      </c>
      <c r="D1343" s="3" t="inlineStr">
        <is>
          <t>S63</t>
        </is>
      </c>
      <c r="E1343" s="3" t="inlineStr">
        <is>
          <t>Bloqueia até aceite; sequência conservadora dentro do sprint</t>
        </is>
      </c>
    </row>
    <row r="1344" ht="28" customHeight="1">
      <c r="A1344" s="3" t="inlineStr">
        <is>
          <t>SL-S63-05</t>
        </is>
      </c>
      <c r="B1344" s="3" t="inlineStr">
        <is>
          <t>SL-S63-06</t>
        </is>
      </c>
      <c r="C1344" s="3" t="inlineStr">
        <is>
          <t>S63</t>
        </is>
      </c>
      <c r="D1344" s="3" t="inlineStr">
        <is>
          <t>S63</t>
        </is>
      </c>
      <c r="E1344" s="3" t="inlineStr">
        <is>
          <t>Bloqueia até aceite; sequência conservadora dentro do sprint</t>
        </is>
      </c>
    </row>
    <row r="1345" ht="28" customHeight="1">
      <c r="A1345" s="3" t="inlineStr">
        <is>
          <t>SL-S63-06</t>
        </is>
      </c>
      <c r="B1345" s="3" t="inlineStr">
        <is>
          <t>SL-S63-07</t>
        </is>
      </c>
      <c r="C1345" s="3" t="inlineStr">
        <is>
          <t>S63</t>
        </is>
      </c>
      <c r="D1345" s="3" t="inlineStr">
        <is>
          <t>S63</t>
        </is>
      </c>
      <c r="E1345" s="3" t="inlineStr">
        <is>
          <t>Bloqueia até aceite; sequência conservadora dentro do sprint</t>
        </is>
      </c>
    </row>
    <row r="1346" ht="28" customHeight="1">
      <c r="A1346" s="3" t="inlineStr">
        <is>
          <t>SL-S63-07</t>
        </is>
      </c>
      <c r="B1346" s="3" t="inlineStr">
        <is>
          <t>SL-S63-08</t>
        </is>
      </c>
      <c r="C1346" s="3" t="inlineStr">
        <is>
          <t>S63</t>
        </is>
      </c>
      <c r="D1346" s="3" t="inlineStr">
        <is>
          <t>S63</t>
        </is>
      </c>
      <c r="E1346" s="3" t="inlineStr">
        <is>
          <t>Bloqueia até aceite; sequência conservadora dentro do sprint</t>
        </is>
      </c>
    </row>
    <row r="1347" ht="28" customHeight="1">
      <c r="A1347" s="3" t="inlineStr">
        <is>
          <t>SL-S63-08</t>
        </is>
      </c>
      <c r="B1347" s="3" t="inlineStr">
        <is>
          <t>SL-S63-09</t>
        </is>
      </c>
      <c r="C1347" s="3" t="inlineStr">
        <is>
          <t>S63</t>
        </is>
      </c>
      <c r="D1347" s="3" t="inlineStr">
        <is>
          <t>S63</t>
        </is>
      </c>
      <c r="E1347" s="3" t="inlineStr">
        <is>
          <t>Bloqueia até aceite; sequência conservadora dentro do sprint</t>
        </is>
      </c>
    </row>
    <row r="1348" ht="28" customHeight="1">
      <c r="A1348" s="3" t="inlineStr">
        <is>
          <t>SL-S63-09</t>
        </is>
      </c>
      <c r="B1348" s="3" t="inlineStr">
        <is>
          <t>SL-S63-10</t>
        </is>
      </c>
      <c r="C1348" s="3" t="inlineStr">
        <is>
          <t>S63</t>
        </is>
      </c>
      <c r="D1348" s="3" t="inlineStr">
        <is>
          <t>S63</t>
        </is>
      </c>
      <c r="E1348" s="3" t="inlineStr">
        <is>
          <t>Bloqueia até aceite; sequência conservadora dentro do sprint</t>
        </is>
      </c>
    </row>
    <row r="1349" ht="28" customHeight="1">
      <c r="A1349" s="3" t="inlineStr">
        <is>
          <t>SL-S63-01</t>
        </is>
      </c>
      <c r="B1349" s="3" t="inlineStr">
        <is>
          <t>SL-S63-GATE</t>
        </is>
      </c>
      <c r="C1349" s="3" t="inlineStr">
        <is>
          <t>S63</t>
        </is>
      </c>
      <c r="D1349" s="3" t="inlineStr">
        <is>
          <t>S63</t>
        </is>
      </c>
      <c r="E1349" s="3" t="inlineStr">
        <is>
          <t>Bloqueia até aceite; sequência conservadora dentro do sprint</t>
        </is>
      </c>
    </row>
    <row r="1350" ht="28" customHeight="1">
      <c r="A1350" s="3" t="inlineStr">
        <is>
          <t>SL-S63-02</t>
        </is>
      </c>
      <c r="B1350" s="3" t="inlineStr">
        <is>
          <t>SL-S63-GATE</t>
        </is>
      </c>
      <c r="C1350" s="3" t="inlineStr">
        <is>
          <t>S63</t>
        </is>
      </c>
      <c r="D1350" s="3" t="inlineStr">
        <is>
          <t>S63</t>
        </is>
      </c>
      <c r="E1350" s="3" t="inlineStr">
        <is>
          <t>Bloqueia até aceite; sequência conservadora dentro do sprint</t>
        </is>
      </c>
    </row>
    <row r="1351" ht="28" customHeight="1">
      <c r="A1351" s="3" t="inlineStr">
        <is>
          <t>SL-S63-03</t>
        </is>
      </c>
      <c r="B1351" s="3" t="inlineStr">
        <is>
          <t>SL-S63-GATE</t>
        </is>
      </c>
      <c r="C1351" s="3" t="inlineStr">
        <is>
          <t>S63</t>
        </is>
      </c>
      <c r="D1351" s="3" t="inlineStr">
        <is>
          <t>S63</t>
        </is>
      </c>
      <c r="E1351" s="3" t="inlineStr">
        <is>
          <t>Bloqueia até aceite; sequência conservadora dentro do sprint</t>
        </is>
      </c>
    </row>
    <row r="1352" ht="28" customHeight="1">
      <c r="A1352" s="3" t="inlineStr">
        <is>
          <t>SL-S63-04</t>
        </is>
      </c>
      <c r="B1352" s="3" t="inlineStr">
        <is>
          <t>SL-S63-GATE</t>
        </is>
      </c>
      <c r="C1352" s="3" t="inlineStr">
        <is>
          <t>S63</t>
        </is>
      </c>
      <c r="D1352" s="3" t="inlineStr">
        <is>
          <t>S63</t>
        </is>
      </c>
      <c r="E1352" s="3" t="inlineStr">
        <is>
          <t>Bloqueia até aceite; sequência conservadora dentro do sprint</t>
        </is>
      </c>
    </row>
    <row r="1353" ht="28" customHeight="1">
      <c r="A1353" s="3" t="inlineStr">
        <is>
          <t>SL-S63-05</t>
        </is>
      </c>
      <c r="B1353" s="3" t="inlineStr">
        <is>
          <t>SL-S63-GATE</t>
        </is>
      </c>
      <c r="C1353" s="3" t="inlineStr">
        <is>
          <t>S63</t>
        </is>
      </c>
      <c r="D1353" s="3" t="inlineStr">
        <is>
          <t>S63</t>
        </is>
      </c>
      <c r="E1353" s="3" t="inlineStr">
        <is>
          <t>Bloqueia até aceite; sequência conservadora dentro do sprint</t>
        </is>
      </c>
    </row>
    <row r="1354" ht="28" customHeight="1">
      <c r="A1354" s="3" t="inlineStr">
        <is>
          <t>SL-S63-06</t>
        </is>
      </c>
      <c r="B1354" s="3" t="inlineStr">
        <is>
          <t>SL-S63-GATE</t>
        </is>
      </c>
      <c r="C1354" s="3" t="inlineStr">
        <is>
          <t>S63</t>
        </is>
      </c>
      <c r="D1354" s="3" t="inlineStr">
        <is>
          <t>S63</t>
        </is>
      </c>
      <c r="E1354" s="3" t="inlineStr">
        <is>
          <t>Bloqueia até aceite; sequência conservadora dentro do sprint</t>
        </is>
      </c>
    </row>
    <row r="1355" ht="28" customHeight="1">
      <c r="A1355" s="3" t="inlineStr">
        <is>
          <t>SL-S63-07</t>
        </is>
      </c>
      <c r="B1355" s="3" t="inlineStr">
        <is>
          <t>SL-S63-GATE</t>
        </is>
      </c>
      <c r="C1355" s="3" t="inlineStr">
        <is>
          <t>S63</t>
        </is>
      </c>
      <c r="D1355" s="3" t="inlineStr">
        <is>
          <t>S63</t>
        </is>
      </c>
      <c r="E1355" s="3" t="inlineStr">
        <is>
          <t>Bloqueia até aceite; sequência conservadora dentro do sprint</t>
        </is>
      </c>
    </row>
    <row r="1356" ht="28" customHeight="1">
      <c r="A1356" s="3" t="inlineStr">
        <is>
          <t>SL-S63-08</t>
        </is>
      </c>
      <c r="B1356" s="3" t="inlineStr">
        <is>
          <t>SL-S63-GATE</t>
        </is>
      </c>
      <c r="C1356" s="3" t="inlineStr">
        <is>
          <t>S63</t>
        </is>
      </c>
      <c r="D1356" s="3" t="inlineStr">
        <is>
          <t>S63</t>
        </is>
      </c>
      <c r="E1356" s="3" t="inlineStr">
        <is>
          <t>Bloqueia até aceite; sequência conservadora dentro do sprint</t>
        </is>
      </c>
    </row>
    <row r="1357" ht="28" customHeight="1">
      <c r="A1357" s="3" t="inlineStr">
        <is>
          <t>SL-S63-09</t>
        </is>
      </c>
      <c r="B1357" s="3" t="inlineStr">
        <is>
          <t>SL-S63-GATE</t>
        </is>
      </c>
      <c r="C1357" s="3" t="inlineStr">
        <is>
          <t>S63</t>
        </is>
      </c>
      <c r="D1357" s="3" t="inlineStr">
        <is>
          <t>S63</t>
        </is>
      </c>
      <c r="E1357" s="3" t="inlineStr">
        <is>
          <t>Bloqueia até aceite; sequência conservadora dentro do sprint</t>
        </is>
      </c>
    </row>
    <row r="1358" ht="28" customHeight="1">
      <c r="A1358" s="3" t="inlineStr">
        <is>
          <t>SL-S63-10</t>
        </is>
      </c>
      <c r="B1358" s="3" t="inlineStr">
        <is>
          <t>SL-S63-GATE</t>
        </is>
      </c>
      <c r="C1358" s="3" t="inlineStr">
        <is>
          <t>S63</t>
        </is>
      </c>
      <c r="D1358" s="3" t="inlineStr">
        <is>
          <t>S63</t>
        </is>
      </c>
      <c r="E1358" s="3" t="inlineStr">
        <is>
          <t>Bloqueia até aceite; sequência conservadora dentro do sprint</t>
        </is>
      </c>
    </row>
    <row r="1359" ht="28" customHeight="1">
      <c r="A1359" s="3" t="inlineStr">
        <is>
          <t>SL-S61-GATE</t>
        </is>
      </c>
      <c r="B1359" s="3" t="inlineStr">
        <is>
          <t>SL-S64-01</t>
        </is>
      </c>
      <c r="C1359" s="3" t="inlineStr">
        <is>
          <t>S61</t>
        </is>
      </c>
      <c r="D1359" s="3" t="inlineStr">
        <is>
          <t>S64</t>
        </is>
      </c>
      <c r="E1359" s="3" t="inlineStr">
        <is>
          <t>Bloqueia até aceite; sequência conservadora dentro do sprint</t>
        </is>
      </c>
    </row>
    <row r="1360" ht="28" customHeight="1">
      <c r="A1360" s="3" t="inlineStr">
        <is>
          <t>SL-S63-GATE</t>
        </is>
      </c>
      <c r="B1360" s="3" t="inlineStr">
        <is>
          <t>SL-S64-01</t>
        </is>
      </c>
      <c r="C1360" s="3" t="inlineStr">
        <is>
          <t>S63</t>
        </is>
      </c>
      <c r="D1360" s="3" t="inlineStr">
        <is>
          <t>S64</t>
        </is>
      </c>
      <c r="E1360" s="3" t="inlineStr">
        <is>
          <t>Bloqueia até aceite; sequência conservadora dentro do sprint</t>
        </is>
      </c>
    </row>
    <row r="1361" ht="28" customHeight="1">
      <c r="A1361" s="3" t="inlineStr">
        <is>
          <t>SL-S64-01</t>
        </is>
      </c>
      <c r="B1361" s="3" t="inlineStr">
        <is>
          <t>SL-S64-02</t>
        </is>
      </c>
      <c r="C1361" s="3" t="inlineStr">
        <is>
          <t>S64</t>
        </is>
      </c>
      <c r="D1361" s="3" t="inlineStr">
        <is>
          <t>S64</t>
        </is>
      </c>
      <c r="E1361" s="3" t="inlineStr">
        <is>
          <t>Bloqueia até aceite; sequência conservadora dentro do sprint</t>
        </is>
      </c>
    </row>
    <row r="1362" ht="28" customHeight="1">
      <c r="A1362" s="3" t="inlineStr">
        <is>
          <t>SL-S64-02</t>
        </is>
      </c>
      <c r="B1362" s="3" t="inlineStr">
        <is>
          <t>SL-S64-03</t>
        </is>
      </c>
      <c r="C1362" s="3" t="inlineStr">
        <is>
          <t>S64</t>
        </is>
      </c>
      <c r="D1362" s="3" t="inlineStr">
        <is>
          <t>S64</t>
        </is>
      </c>
      <c r="E1362" s="3" t="inlineStr">
        <is>
          <t>Bloqueia até aceite; sequência conservadora dentro do sprint</t>
        </is>
      </c>
    </row>
    <row r="1363" ht="28" customHeight="1">
      <c r="A1363" s="3" t="inlineStr">
        <is>
          <t>SL-S64-03</t>
        </is>
      </c>
      <c r="B1363" s="3" t="inlineStr">
        <is>
          <t>SL-S64-04</t>
        </is>
      </c>
      <c r="C1363" s="3" t="inlineStr">
        <is>
          <t>S64</t>
        </is>
      </c>
      <c r="D1363" s="3" t="inlineStr">
        <is>
          <t>S64</t>
        </is>
      </c>
      <c r="E1363" s="3" t="inlineStr">
        <is>
          <t>Bloqueia até aceite; sequência conservadora dentro do sprint</t>
        </is>
      </c>
    </row>
    <row r="1364" ht="28" customHeight="1">
      <c r="A1364" s="3" t="inlineStr">
        <is>
          <t>SL-S64-04</t>
        </is>
      </c>
      <c r="B1364" s="3" t="inlineStr">
        <is>
          <t>SL-S64-05</t>
        </is>
      </c>
      <c r="C1364" s="3" t="inlineStr">
        <is>
          <t>S64</t>
        </is>
      </c>
      <c r="D1364" s="3" t="inlineStr">
        <is>
          <t>S64</t>
        </is>
      </c>
      <c r="E1364" s="3" t="inlineStr">
        <is>
          <t>Bloqueia até aceite; sequência conservadora dentro do sprint</t>
        </is>
      </c>
    </row>
    <row r="1365" ht="28" customHeight="1">
      <c r="A1365" s="3" t="inlineStr">
        <is>
          <t>SL-S64-05</t>
        </is>
      </c>
      <c r="B1365" s="3" t="inlineStr">
        <is>
          <t>SL-S64-06</t>
        </is>
      </c>
      <c r="C1365" s="3" t="inlineStr">
        <is>
          <t>S64</t>
        </is>
      </c>
      <c r="D1365" s="3" t="inlineStr">
        <is>
          <t>S64</t>
        </is>
      </c>
      <c r="E1365" s="3" t="inlineStr">
        <is>
          <t>Bloqueia até aceite; sequência conservadora dentro do sprint</t>
        </is>
      </c>
    </row>
    <row r="1366" ht="28" customHeight="1">
      <c r="A1366" s="3" t="inlineStr">
        <is>
          <t>SL-S64-06</t>
        </is>
      </c>
      <c r="B1366" s="3" t="inlineStr">
        <is>
          <t>SL-S64-07</t>
        </is>
      </c>
      <c r="C1366" s="3" t="inlineStr">
        <is>
          <t>S64</t>
        </is>
      </c>
      <c r="D1366" s="3" t="inlineStr">
        <is>
          <t>S64</t>
        </is>
      </c>
      <c r="E1366" s="3" t="inlineStr">
        <is>
          <t>Bloqueia até aceite; sequência conservadora dentro do sprint</t>
        </is>
      </c>
    </row>
    <row r="1367" ht="28" customHeight="1">
      <c r="A1367" s="3" t="inlineStr">
        <is>
          <t>SL-S64-07</t>
        </is>
      </c>
      <c r="B1367" s="3" t="inlineStr">
        <is>
          <t>SL-S64-08</t>
        </is>
      </c>
      <c r="C1367" s="3" t="inlineStr">
        <is>
          <t>S64</t>
        </is>
      </c>
      <c r="D1367" s="3" t="inlineStr">
        <is>
          <t>S64</t>
        </is>
      </c>
      <c r="E1367" s="3" t="inlineStr">
        <is>
          <t>Bloqueia até aceite; sequência conservadora dentro do sprint</t>
        </is>
      </c>
    </row>
    <row r="1368" ht="28" customHeight="1">
      <c r="A1368" s="3" t="inlineStr">
        <is>
          <t>SL-S64-08</t>
        </is>
      </c>
      <c r="B1368" s="3" t="inlineStr">
        <is>
          <t>SL-S64-09</t>
        </is>
      </c>
      <c r="C1368" s="3" t="inlineStr">
        <is>
          <t>S64</t>
        </is>
      </c>
      <c r="D1368" s="3" t="inlineStr">
        <is>
          <t>S64</t>
        </is>
      </c>
      <c r="E1368" s="3" t="inlineStr">
        <is>
          <t>Bloqueia até aceite; sequência conservadora dentro do sprint</t>
        </is>
      </c>
    </row>
    <row r="1369" ht="28" customHeight="1">
      <c r="A1369" s="3" t="inlineStr">
        <is>
          <t>SL-S64-09</t>
        </is>
      </c>
      <c r="B1369" s="3" t="inlineStr">
        <is>
          <t>SL-S64-10</t>
        </is>
      </c>
      <c r="C1369" s="3" t="inlineStr">
        <is>
          <t>S64</t>
        </is>
      </c>
      <c r="D1369" s="3" t="inlineStr">
        <is>
          <t>S64</t>
        </is>
      </c>
      <c r="E1369" s="3" t="inlineStr">
        <is>
          <t>Bloqueia até aceite; sequência conservadora dentro do sprint</t>
        </is>
      </c>
    </row>
    <row r="1370" ht="28" customHeight="1">
      <c r="A1370" s="3" t="inlineStr">
        <is>
          <t>SL-S64-01</t>
        </is>
      </c>
      <c r="B1370" s="3" t="inlineStr">
        <is>
          <t>SL-S64-GATE</t>
        </is>
      </c>
      <c r="C1370" s="3" t="inlineStr">
        <is>
          <t>S64</t>
        </is>
      </c>
      <c r="D1370" s="3" t="inlineStr">
        <is>
          <t>S64</t>
        </is>
      </c>
      <c r="E1370" s="3" t="inlineStr">
        <is>
          <t>Bloqueia até aceite; sequência conservadora dentro do sprint</t>
        </is>
      </c>
    </row>
    <row r="1371" ht="28" customHeight="1">
      <c r="A1371" s="3" t="inlineStr">
        <is>
          <t>SL-S64-02</t>
        </is>
      </c>
      <c r="B1371" s="3" t="inlineStr">
        <is>
          <t>SL-S64-GATE</t>
        </is>
      </c>
      <c r="C1371" s="3" t="inlineStr">
        <is>
          <t>S64</t>
        </is>
      </c>
      <c r="D1371" s="3" t="inlineStr">
        <is>
          <t>S64</t>
        </is>
      </c>
      <c r="E1371" s="3" t="inlineStr">
        <is>
          <t>Bloqueia até aceite; sequência conservadora dentro do sprint</t>
        </is>
      </c>
    </row>
    <row r="1372" ht="28" customHeight="1">
      <c r="A1372" s="3" t="inlineStr">
        <is>
          <t>SL-S64-03</t>
        </is>
      </c>
      <c r="B1372" s="3" t="inlineStr">
        <is>
          <t>SL-S64-GATE</t>
        </is>
      </c>
      <c r="C1372" s="3" t="inlineStr">
        <is>
          <t>S64</t>
        </is>
      </c>
      <c r="D1372" s="3" t="inlineStr">
        <is>
          <t>S64</t>
        </is>
      </c>
      <c r="E1372" s="3" t="inlineStr">
        <is>
          <t>Bloqueia até aceite; sequência conservadora dentro do sprint</t>
        </is>
      </c>
    </row>
    <row r="1373" ht="28" customHeight="1">
      <c r="A1373" s="3" t="inlineStr">
        <is>
          <t>SL-S64-04</t>
        </is>
      </c>
      <c r="B1373" s="3" t="inlineStr">
        <is>
          <t>SL-S64-GATE</t>
        </is>
      </c>
      <c r="C1373" s="3" t="inlineStr">
        <is>
          <t>S64</t>
        </is>
      </c>
      <c r="D1373" s="3" t="inlineStr">
        <is>
          <t>S64</t>
        </is>
      </c>
      <c r="E1373" s="3" t="inlineStr">
        <is>
          <t>Bloqueia até aceite; sequência conservadora dentro do sprint</t>
        </is>
      </c>
    </row>
    <row r="1374" ht="28" customHeight="1">
      <c r="A1374" s="3" t="inlineStr">
        <is>
          <t>SL-S64-05</t>
        </is>
      </c>
      <c r="B1374" s="3" t="inlineStr">
        <is>
          <t>SL-S64-GATE</t>
        </is>
      </c>
      <c r="C1374" s="3" t="inlineStr">
        <is>
          <t>S64</t>
        </is>
      </c>
      <c r="D1374" s="3" t="inlineStr">
        <is>
          <t>S64</t>
        </is>
      </c>
      <c r="E1374" s="3" t="inlineStr">
        <is>
          <t>Bloqueia até aceite; sequência conservadora dentro do sprint</t>
        </is>
      </c>
    </row>
    <row r="1375" ht="28" customHeight="1">
      <c r="A1375" s="3" t="inlineStr">
        <is>
          <t>SL-S64-06</t>
        </is>
      </c>
      <c r="B1375" s="3" t="inlineStr">
        <is>
          <t>SL-S64-GATE</t>
        </is>
      </c>
      <c r="C1375" s="3" t="inlineStr">
        <is>
          <t>S64</t>
        </is>
      </c>
      <c r="D1375" s="3" t="inlineStr">
        <is>
          <t>S64</t>
        </is>
      </c>
      <c r="E1375" s="3" t="inlineStr">
        <is>
          <t>Bloqueia até aceite; sequência conservadora dentro do sprint</t>
        </is>
      </c>
    </row>
    <row r="1376" ht="28" customHeight="1">
      <c r="A1376" s="3" t="inlineStr">
        <is>
          <t>SL-S64-07</t>
        </is>
      </c>
      <c r="B1376" s="3" t="inlineStr">
        <is>
          <t>SL-S64-GATE</t>
        </is>
      </c>
      <c r="C1376" s="3" t="inlineStr">
        <is>
          <t>S64</t>
        </is>
      </c>
      <c r="D1376" s="3" t="inlineStr">
        <is>
          <t>S64</t>
        </is>
      </c>
      <c r="E1376" s="3" t="inlineStr">
        <is>
          <t>Bloqueia até aceite; sequência conservadora dentro do sprint</t>
        </is>
      </c>
    </row>
    <row r="1377" ht="28" customHeight="1">
      <c r="A1377" s="3" t="inlineStr">
        <is>
          <t>SL-S64-08</t>
        </is>
      </c>
      <c r="B1377" s="3" t="inlineStr">
        <is>
          <t>SL-S64-GATE</t>
        </is>
      </c>
      <c r="C1377" s="3" t="inlineStr">
        <is>
          <t>S64</t>
        </is>
      </c>
      <c r="D1377" s="3" t="inlineStr">
        <is>
          <t>S64</t>
        </is>
      </c>
      <c r="E1377" s="3" t="inlineStr">
        <is>
          <t>Bloqueia até aceite; sequência conservadora dentro do sprint</t>
        </is>
      </c>
    </row>
    <row r="1378" ht="28" customHeight="1">
      <c r="A1378" s="3" t="inlineStr">
        <is>
          <t>SL-S64-09</t>
        </is>
      </c>
      <c r="B1378" s="3" t="inlineStr">
        <is>
          <t>SL-S64-GATE</t>
        </is>
      </c>
      <c r="C1378" s="3" t="inlineStr">
        <is>
          <t>S64</t>
        </is>
      </c>
      <c r="D1378" s="3" t="inlineStr">
        <is>
          <t>S64</t>
        </is>
      </c>
      <c r="E1378" s="3" t="inlineStr">
        <is>
          <t>Bloqueia até aceite; sequência conservadora dentro do sprint</t>
        </is>
      </c>
    </row>
    <row r="1379" ht="28" customHeight="1">
      <c r="A1379" s="3" t="inlineStr">
        <is>
          <t>SL-S64-10</t>
        </is>
      </c>
      <c r="B1379" s="3" t="inlineStr">
        <is>
          <t>SL-S64-GATE</t>
        </is>
      </c>
      <c r="C1379" s="3" t="inlineStr">
        <is>
          <t>S64</t>
        </is>
      </c>
      <c r="D1379" s="3" t="inlineStr">
        <is>
          <t>S64</t>
        </is>
      </c>
      <c r="E1379" s="3" t="inlineStr">
        <is>
          <t>Bloqueia até aceite; sequência conservadora dentro do sprint</t>
        </is>
      </c>
    </row>
    <row r="1380" ht="28" customHeight="1">
      <c r="A1380" s="3" t="inlineStr">
        <is>
          <t>SL-S32-GATE</t>
        </is>
      </c>
      <c r="B1380" s="3" t="inlineStr">
        <is>
          <t>SL-S65-01</t>
        </is>
      </c>
      <c r="C1380" s="3" t="inlineStr">
        <is>
          <t>S32</t>
        </is>
      </c>
      <c r="D1380" s="3" t="inlineStr">
        <is>
          <t>S65</t>
        </is>
      </c>
      <c r="E1380" s="3" t="inlineStr">
        <is>
          <t>Bloqueia até aceite; sequência conservadora dentro do sprint</t>
        </is>
      </c>
    </row>
    <row r="1381" ht="28" customHeight="1">
      <c r="A1381" s="3" t="inlineStr">
        <is>
          <t>SL-S57-GATE</t>
        </is>
      </c>
      <c r="B1381" s="3" t="inlineStr">
        <is>
          <t>SL-S65-01</t>
        </is>
      </c>
      <c r="C1381" s="3" t="inlineStr">
        <is>
          <t>S57</t>
        </is>
      </c>
      <c r="D1381" s="3" t="inlineStr">
        <is>
          <t>S65</t>
        </is>
      </c>
      <c r="E1381" s="3" t="inlineStr">
        <is>
          <t>Bloqueia até aceite; sequência conservadora dentro do sprint</t>
        </is>
      </c>
    </row>
    <row r="1382" ht="28" customHeight="1">
      <c r="A1382" s="3" t="inlineStr">
        <is>
          <t>SL-S63-GATE</t>
        </is>
      </c>
      <c r="B1382" s="3" t="inlineStr">
        <is>
          <t>SL-S65-01</t>
        </is>
      </c>
      <c r="C1382" s="3" t="inlineStr">
        <is>
          <t>S63</t>
        </is>
      </c>
      <c r="D1382" s="3" t="inlineStr">
        <is>
          <t>S65</t>
        </is>
      </c>
      <c r="E1382" s="3" t="inlineStr">
        <is>
          <t>Bloqueia até aceite; sequência conservadora dentro do sprint</t>
        </is>
      </c>
    </row>
    <row r="1383" ht="28" customHeight="1">
      <c r="A1383" s="3" t="inlineStr">
        <is>
          <t>SL-S64-GATE</t>
        </is>
      </c>
      <c r="B1383" s="3" t="inlineStr">
        <is>
          <t>SL-S65-01</t>
        </is>
      </c>
      <c r="C1383" s="3" t="inlineStr">
        <is>
          <t>S64</t>
        </is>
      </c>
      <c r="D1383" s="3" t="inlineStr">
        <is>
          <t>S65</t>
        </is>
      </c>
      <c r="E1383" s="3" t="inlineStr">
        <is>
          <t>Bloqueia até aceite; sequência conservadora dentro do sprint</t>
        </is>
      </c>
    </row>
    <row r="1384" ht="28" customHeight="1">
      <c r="A1384" s="3" t="inlineStr">
        <is>
          <t>SL-S65-01</t>
        </is>
      </c>
      <c r="B1384" s="3" t="inlineStr">
        <is>
          <t>SL-S65-02</t>
        </is>
      </c>
      <c r="C1384" s="3" t="inlineStr">
        <is>
          <t>S65</t>
        </is>
      </c>
      <c r="D1384" s="3" t="inlineStr">
        <is>
          <t>S65</t>
        </is>
      </c>
      <c r="E1384" s="3" t="inlineStr">
        <is>
          <t>Bloqueia até aceite; sequência conservadora dentro do sprint</t>
        </is>
      </c>
    </row>
    <row r="1385" ht="28" customHeight="1">
      <c r="A1385" s="3" t="inlineStr">
        <is>
          <t>SL-S65-02</t>
        </is>
      </c>
      <c r="B1385" s="3" t="inlineStr">
        <is>
          <t>SL-S65-03</t>
        </is>
      </c>
      <c r="C1385" s="3" t="inlineStr">
        <is>
          <t>S65</t>
        </is>
      </c>
      <c r="D1385" s="3" t="inlineStr">
        <is>
          <t>S65</t>
        </is>
      </c>
      <c r="E1385" s="3" t="inlineStr">
        <is>
          <t>Bloqueia até aceite; sequência conservadora dentro do sprint</t>
        </is>
      </c>
    </row>
    <row r="1386" ht="28" customHeight="1">
      <c r="A1386" s="3" t="inlineStr">
        <is>
          <t>SL-S65-03</t>
        </is>
      </c>
      <c r="B1386" s="3" t="inlineStr">
        <is>
          <t>SL-S65-04</t>
        </is>
      </c>
      <c r="C1386" s="3" t="inlineStr">
        <is>
          <t>S65</t>
        </is>
      </c>
      <c r="D1386" s="3" t="inlineStr">
        <is>
          <t>S65</t>
        </is>
      </c>
      <c r="E1386" s="3" t="inlineStr">
        <is>
          <t>Bloqueia até aceite; sequência conservadora dentro do sprint</t>
        </is>
      </c>
    </row>
    <row r="1387" ht="28" customHeight="1">
      <c r="A1387" s="3" t="inlineStr">
        <is>
          <t>SL-S65-04</t>
        </is>
      </c>
      <c r="B1387" s="3" t="inlineStr">
        <is>
          <t>SL-S65-05</t>
        </is>
      </c>
      <c r="C1387" s="3" t="inlineStr">
        <is>
          <t>S65</t>
        </is>
      </c>
      <c r="D1387" s="3" t="inlineStr">
        <is>
          <t>S65</t>
        </is>
      </c>
      <c r="E1387" s="3" t="inlineStr">
        <is>
          <t>Bloqueia até aceite; sequência conservadora dentro do sprint</t>
        </is>
      </c>
    </row>
    <row r="1388" ht="28" customHeight="1">
      <c r="A1388" s="3" t="inlineStr">
        <is>
          <t>SL-S65-05</t>
        </is>
      </c>
      <c r="B1388" s="3" t="inlineStr">
        <is>
          <t>SL-S65-06</t>
        </is>
      </c>
      <c r="C1388" s="3" t="inlineStr">
        <is>
          <t>S65</t>
        </is>
      </c>
      <c r="D1388" s="3" t="inlineStr">
        <is>
          <t>S65</t>
        </is>
      </c>
      <c r="E1388" s="3" t="inlineStr">
        <is>
          <t>Bloqueia até aceite; sequência conservadora dentro do sprint</t>
        </is>
      </c>
    </row>
    <row r="1389" ht="28" customHeight="1">
      <c r="A1389" s="3" t="inlineStr">
        <is>
          <t>SL-S65-06</t>
        </is>
      </c>
      <c r="B1389" s="3" t="inlineStr">
        <is>
          <t>SL-S65-07</t>
        </is>
      </c>
      <c r="C1389" s="3" t="inlineStr">
        <is>
          <t>S65</t>
        </is>
      </c>
      <c r="D1389" s="3" t="inlineStr">
        <is>
          <t>S65</t>
        </is>
      </c>
      <c r="E1389" s="3" t="inlineStr">
        <is>
          <t>Bloqueia até aceite; sequência conservadora dentro do sprint</t>
        </is>
      </c>
    </row>
    <row r="1390" ht="28" customHeight="1">
      <c r="A1390" s="3" t="inlineStr">
        <is>
          <t>SL-S65-07</t>
        </is>
      </c>
      <c r="B1390" s="3" t="inlineStr">
        <is>
          <t>SL-S65-08</t>
        </is>
      </c>
      <c r="C1390" s="3" t="inlineStr">
        <is>
          <t>S65</t>
        </is>
      </c>
      <c r="D1390" s="3" t="inlineStr">
        <is>
          <t>S65</t>
        </is>
      </c>
      <c r="E1390" s="3" t="inlineStr">
        <is>
          <t>Bloqueia até aceite; sequência conservadora dentro do sprint</t>
        </is>
      </c>
    </row>
    <row r="1391" ht="28" customHeight="1">
      <c r="A1391" s="3" t="inlineStr">
        <is>
          <t>SL-S65-08</t>
        </is>
      </c>
      <c r="B1391" s="3" t="inlineStr">
        <is>
          <t>SL-S65-09</t>
        </is>
      </c>
      <c r="C1391" s="3" t="inlineStr">
        <is>
          <t>S65</t>
        </is>
      </c>
      <c r="D1391" s="3" t="inlineStr">
        <is>
          <t>S65</t>
        </is>
      </c>
      <c r="E1391" s="3" t="inlineStr">
        <is>
          <t>Bloqueia até aceite; sequência conservadora dentro do sprint</t>
        </is>
      </c>
    </row>
    <row r="1392" ht="28" customHeight="1">
      <c r="A1392" s="3" t="inlineStr">
        <is>
          <t>SL-S65-09</t>
        </is>
      </c>
      <c r="B1392" s="3" t="inlineStr">
        <is>
          <t>SL-S65-10</t>
        </is>
      </c>
      <c r="C1392" s="3" t="inlineStr">
        <is>
          <t>S65</t>
        </is>
      </c>
      <c r="D1392" s="3" t="inlineStr">
        <is>
          <t>S65</t>
        </is>
      </c>
      <c r="E1392" s="3" t="inlineStr">
        <is>
          <t>Bloqueia até aceite; sequência conservadora dentro do sprint</t>
        </is>
      </c>
    </row>
    <row r="1393" ht="28" customHeight="1">
      <c r="A1393" s="3" t="inlineStr">
        <is>
          <t>SL-S65-01</t>
        </is>
      </c>
      <c r="B1393" s="3" t="inlineStr">
        <is>
          <t>SL-S65-GATE</t>
        </is>
      </c>
      <c r="C1393" s="3" t="inlineStr">
        <is>
          <t>S65</t>
        </is>
      </c>
      <c r="D1393" s="3" t="inlineStr">
        <is>
          <t>S65</t>
        </is>
      </c>
      <c r="E1393" s="3" t="inlineStr">
        <is>
          <t>Bloqueia até aceite; sequência conservadora dentro do sprint</t>
        </is>
      </c>
    </row>
    <row r="1394" ht="28" customHeight="1">
      <c r="A1394" s="3" t="inlineStr">
        <is>
          <t>SL-S65-02</t>
        </is>
      </c>
      <c r="B1394" s="3" t="inlineStr">
        <is>
          <t>SL-S65-GATE</t>
        </is>
      </c>
      <c r="C1394" s="3" t="inlineStr">
        <is>
          <t>S65</t>
        </is>
      </c>
      <c r="D1394" s="3" t="inlineStr">
        <is>
          <t>S65</t>
        </is>
      </c>
      <c r="E1394" s="3" t="inlineStr">
        <is>
          <t>Bloqueia até aceite; sequência conservadora dentro do sprint</t>
        </is>
      </c>
    </row>
    <row r="1395" ht="28" customHeight="1">
      <c r="A1395" s="3" t="inlineStr">
        <is>
          <t>SL-S65-03</t>
        </is>
      </c>
      <c r="B1395" s="3" t="inlineStr">
        <is>
          <t>SL-S65-GATE</t>
        </is>
      </c>
      <c r="C1395" s="3" t="inlineStr">
        <is>
          <t>S65</t>
        </is>
      </c>
      <c r="D1395" s="3" t="inlineStr">
        <is>
          <t>S65</t>
        </is>
      </c>
      <c r="E1395" s="3" t="inlineStr">
        <is>
          <t>Bloqueia até aceite; sequência conservadora dentro do sprint</t>
        </is>
      </c>
    </row>
    <row r="1396" ht="28" customHeight="1">
      <c r="A1396" s="3" t="inlineStr">
        <is>
          <t>SL-S65-04</t>
        </is>
      </c>
      <c r="B1396" s="3" t="inlineStr">
        <is>
          <t>SL-S65-GATE</t>
        </is>
      </c>
      <c r="C1396" s="3" t="inlineStr">
        <is>
          <t>S65</t>
        </is>
      </c>
      <c r="D1396" s="3" t="inlineStr">
        <is>
          <t>S65</t>
        </is>
      </c>
      <c r="E1396" s="3" t="inlineStr">
        <is>
          <t>Bloqueia até aceite; sequência conservadora dentro do sprint</t>
        </is>
      </c>
    </row>
    <row r="1397" ht="28" customHeight="1">
      <c r="A1397" s="3" t="inlineStr">
        <is>
          <t>SL-S65-05</t>
        </is>
      </c>
      <c r="B1397" s="3" t="inlineStr">
        <is>
          <t>SL-S65-GATE</t>
        </is>
      </c>
      <c r="C1397" s="3" t="inlineStr">
        <is>
          <t>S65</t>
        </is>
      </c>
      <c r="D1397" s="3" t="inlineStr">
        <is>
          <t>S65</t>
        </is>
      </c>
      <c r="E1397" s="3" t="inlineStr">
        <is>
          <t>Bloqueia até aceite; sequência conservadora dentro do sprint</t>
        </is>
      </c>
    </row>
    <row r="1398" ht="28" customHeight="1">
      <c r="A1398" s="3" t="inlineStr">
        <is>
          <t>SL-S65-06</t>
        </is>
      </c>
      <c r="B1398" s="3" t="inlineStr">
        <is>
          <t>SL-S65-GATE</t>
        </is>
      </c>
      <c r="C1398" s="3" t="inlineStr">
        <is>
          <t>S65</t>
        </is>
      </c>
      <c r="D1398" s="3" t="inlineStr">
        <is>
          <t>S65</t>
        </is>
      </c>
      <c r="E1398" s="3" t="inlineStr">
        <is>
          <t>Bloqueia até aceite; sequência conservadora dentro do sprint</t>
        </is>
      </c>
    </row>
    <row r="1399" ht="28" customHeight="1">
      <c r="A1399" s="3" t="inlineStr">
        <is>
          <t>SL-S65-07</t>
        </is>
      </c>
      <c r="B1399" s="3" t="inlineStr">
        <is>
          <t>SL-S65-GATE</t>
        </is>
      </c>
      <c r="C1399" s="3" t="inlineStr">
        <is>
          <t>S65</t>
        </is>
      </c>
      <c r="D1399" s="3" t="inlineStr">
        <is>
          <t>S65</t>
        </is>
      </c>
      <c r="E1399" s="3" t="inlineStr">
        <is>
          <t>Bloqueia até aceite; sequência conservadora dentro do sprint</t>
        </is>
      </c>
    </row>
    <row r="1400" ht="28" customHeight="1">
      <c r="A1400" s="3" t="inlineStr">
        <is>
          <t>SL-S65-08</t>
        </is>
      </c>
      <c r="B1400" s="3" t="inlineStr">
        <is>
          <t>SL-S65-GATE</t>
        </is>
      </c>
      <c r="C1400" s="3" t="inlineStr">
        <is>
          <t>S65</t>
        </is>
      </c>
      <c r="D1400" s="3" t="inlineStr">
        <is>
          <t>S65</t>
        </is>
      </c>
      <c r="E1400" s="3" t="inlineStr">
        <is>
          <t>Bloqueia até aceite; sequência conservadora dentro do sprint</t>
        </is>
      </c>
    </row>
    <row r="1401" ht="28" customHeight="1">
      <c r="A1401" s="3" t="inlineStr">
        <is>
          <t>SL-S65-09</t>
        </is>
      </c>
      <c r="B1401" s="3" t="inlineStr">
        <is>
          <t>SL-S65-GATE</t>
        </is>
      </c>
      <c r="C1401" s="3" t="inlineStr">
        <is>
          <t>S65</t>
        </is>
      </c>
      <c r="D1401" s="3" t="inlineStr">
        <is>
          <t>S65</t>
        </is>
      </c>
      <c r="E1401" s="3" t="inlineStr">
        <is>
          <t>Bloqueia até aceite; sequência conservadora dentro do sprint</t>
        </is>
      </c>
    </row>
    <row r="1402" ht="28" customHeight="1">
      <c r="A1402" s="3" t="inlineStr">
        <is>
          <t>SL-S65-10</t>
        </is>
      </c>
      <c r="B1402" s="3" t="inlineStr">
        <is>
          <t>SL-S65-GATE</t>
        </is>
      </c>
      <c r="C1402" s="3" t="inlineStr">
        <is>
          <t>S65</t>
        </is>
      </c>
      <c r="D1402" s="3" t="inlineStr">
        <is>
          <t>S65</t>
        </is>
      </c>
      <c r="E1402" s="3" t="inlineStr">
        <is>
          <t>Bloqueia até aceite; sequência conservadora dentro do sprint</t>
        </is>
      </c>
    </row>
    <row r="1403" ht="28" customHeight="1">
      <c r="A1403" s="3" t="inlineStr">
        <is>
          <t>SL-S58-GATE</t>
        </is>
      </c>
      <c r="B1403" s="3" t="inlineStr">
        <is>
          <t>SL-S66-01</t>
        </is>
      </c>
      <c r="C1403" s="3" t="inlineStr">
        <is>
          <t>S58</t>
        </is>
      </c>
      <c r="D1403" s="3" t="inlineStr">
        <is>
          <t>S66</t>
        </is>
      </c>
      <c r="E1403" s="3" t="inlineStr">
        <is>
          <t>Bloqueia até aceite; sequência conservadora dentro do sprint</t>
        </is>
      </c>
    </row>
    <row r="1404" ht="28" customHeight="1">
      <c r="A1404" s="3" t="inlineStr">
        <is>
          <t>SL-S63-GATE</t>
        </is>
      </c>
      <c r="B1404" s="3" t="inlineStr">
        <is>
          <t>SL-S66-01</t>
        </is>
      </c>
      <c r="C1404" s="3" t="inlineStr">
        <is>
          <t>S63</t>
        </is>
      </c>
      <c r="D1404" s="3" t="inlineStr">
        <is>
          <t>S66</t>
        </is>
      </c>
      <c r="E1404" s="3" t="inlineStr">
        <is>
          <t>Bloqueia até aceite; sequência conservadora dentro do sprint</t>
        </is>
      </c>
    </row>
    <row r="1405" ht="28" customHeight="1">
      <c r="A1405" s="3" t="inlineStr">
        <is>
          <t>SL-S64-GATE</t>
        </is>
      </c>
      <c r="B1405" s="3" t="inlineStr">
        <is>
          <t>SL-S66-01</t>
        </is>
      </c>
      <c r="C1405" s="3" t="inlineStr">
        <is>
          <t>S64</t>
        </is>
      </c>
      <c r="D1405" s="3" t="inlineStr">
        <is>
          <t>S66</t>
        </is>
      </c>
      <c r="E1405" s="3" t="inlineStr">
        <is>
          <t>Bloqueia até aceite; sequência conservadora dentro do sprint</t>
        </is>
      </c>
    </row>
    <row r="1406" ht="28" customHeight="1">
      <c r="A1406" s="3" t="inlineStr">
        <is>
          <t>SL-S65-GATE</t>
        </is>
      </c>
      <c r="B1406" s="3" t="inlineStr">
        <is>
          <t>SL-S66-01</t>
        </is>
      </c>
      <c r="C1406" s="3" t="inlineStr">
        <is>
          <t>S65</t>
        </is>
      </c>
      <c r="D1406" s="3" t="inlineStr">
        <is>
          <t>S66</t>
        </is>
      </c>
      <c r="E1406" s="3" t="inlineStr">
        <is>
          <t>Bloqueia até aceite; sequência conservadora dentro do sprint</t>
        </is>
      </c>
    </row>
    <row r="1407" ht="28" customHeight="1">
      <c r="A1407" s="3" t="inlineStr">
        <is>
          <t>SL-S66-01</t>
        </is>
      </c>
      <c r="B1407" s="3" t="inlineStr">
        <is>
          <t>SL-S66-02</t>
        </is>
      </c>
      <c r="C1407" s="3" t="inlineStr">
        <is>
          <t>S66</t>
        </is>
      </c>
      <c r="D1407" s="3" t="inlineStr">
        <is>
          <t>S66</t>
        </is>
      </c>
      <c r="E1407" s="3" t="inlineStr">
        <is>
          <t>Bloqueia até aceite; sequência conservadora dentro do sprint</t>
        </is>
      </c>
    </row>
    <row r="1408" ht="28" customHeight="1">
      <c r="A1408" s="3" t="inlineStr">
        <is>
          <t>SL-S66-02</t>
        </is>
      </c>
      <c r="B1408" s="3" t="inlineStr">
        <is>
          <t>SL-S66-03</t>
        </is>
      </c>
      <c r="C1408" s="3" t="inlineStr">
        <is>
          <t>S66</t>
        </is>
      </c>
      <c r="D1408" s="3" t="inlineStr">
        <is>
          <t>S66</t>
        </is>
      </c>
      <c r="E1408" s="3" t="inlineStr">
        <is>
          <t>Bloqueia até aceite; sequência conservadora dentro do sprint</t>
        </is>
      </c>
    </row>
    <row r="1409" ht="28" customHeight="1">
      <c r="A1409" s="3" t="inlineStr">
        <is>
          <t>SL-S66-03</t>
        </is>
      </c>
      <c r="B1409" s="3" t="inlineStr">
        <is>
          <t>SL-S66-04</t>
        </is>
      </c>
      <c r="C1409" s="3" t="inlineStr">
        <is>
          <t>S66</t>
        </is>
      </c>
      <c r="D1409" s="3" t="inlineStr">
        <is>
          <t>S66</t>
        </is>
      </c>
      <c r="E1409" s="3" t="inlineStr">
        <is>
          <t>Bloqueia até aceite; sequência conservadora dentro do sprint</t>
        </is>
      </c>
    </row>
    <row r="1410" ht="28" customHeight="1">
      <c r="A1410" s="3" t="inlineStr">
        <is>
          <t>SL-S66-04</t>
        </is>
      </c>
      <c r="B1410" s="3" t="inlineStr">
        <is>
          <t>SL-S66-05</t>
        </is>
      </c>
      <c r="C1410" s="3" t="inlineStr">
        <is>
          <t>S66</t>
        </is>
      </c>
      <c r="D1410" s="3" t="inlineStr">
        <is>
          <t>S66</t>
        </is>
      </c>
      <c r="E1410" s="3" t="inlineStr">
        <is>
          <t>Bloqueia até aceite; sequência conservadora dentro do sprint</t>
        </is>
      </c>
    </row>
    <row r="1411" ht="28" customHeight="1">
      <c r="A1411" s="3" t="inlineStr">
        <is>
          <t>SL-S66-05</t>
        </is>
      </c>
      <c r="B1411" s="3" t="inlineStr">
        <is>
          <t>SL-S66-06</t>
        </is>
      </c>
      <c r="C1411" s="3" t="inlineStr">
        <is>
          <t>S66</t>
        </is>
      </c>
      <c r="D1411" s="3" t="inlineStr">
        <is>
          <t>S66</t>
        </is>
      </c>
      <c r="E1411" s="3" t="inlineStr">
        <is>
          <t>Bloqueia até aceite; sequência conservadora dentro do sprint</t>
        </is>
      </c>
    </row>
    <row r="1412" ht="28" customHeight="1">
      <c r="A1412" s="3" t="inlineStr">
        <is>
          <t>SL-S66-06</t>
        </is>
      </c>
      <c r="B1412" s="3" t="inlineStr">
        <is>
          <t>SL-S66-07</t>
        </is>
      </c>
      <c r="C1412" s="3" t="inlineStr">
        <is>
          <t>S66</t>
        </is>
      </c>
      <c r="D1412" s="3" t="inlineStr">
        <is>
          <t>S66</t>
        </is>
      </c>
      <c r="E1412" s="3" t="inlineStr">
        <is>
          <t>Bloqueia até aceite; sequência conservadora dentro do sprint</t>
        </is>
      </c>
    </row>
    <row r="1413" ht="28" customHeight="1">
      <c r="A1413" s="3" t="inlineStr">
        <is>
          <t>SL-S66-07</t>
        </is>
      </c>
      <c r="B1413" s="3" t="inlineStr">
        <is>
          <t>SL-S66-08</t>
        </is>
      </c>
      <c r="C1413" s="3" t="inlineStr">
        <is>
          <t>S66</t>
        </is>
      </c>
      <c r="D1413" s="3" t="inlineStr">
        <is>
          <t>S66</t>
        </is>
      </c>
      <c r="E1413" s="3" t="inlineStr">
        <is>
          <t>Bloqueia até aceite; sequência conservadora dentro do sprint</t>
        </is>
      </c>
    </row>
    <row r="1414" ht="28" customHeight="1">
      <c r="A1414" s="3" t="inlineStr">
        <is>
          <t>SL-S66-08</t>
        </is>
      </c>
      <c r="B1414" s="3" t="inlineStr">
        <is>
          <t>SL-S66-09</t>
        </is>
      </c>
      <c r="C1414" s="3" t="inlineStr">
        <is>
          <t>S66</t>
        </is>
      </c>
      <c r="D1414" s="3" t="inlineStr">
        <is>
          <t>S66</t>
        </is>
      </c>
      <c r="E1414" s="3" t="inlineStr">
        <is>
          <t>Bloqueia até aceite; sequência conservadora dentro do sprint</t>
        </is>
      </c>
    </row>
    <row r="1415" ht="28" customHeight="1">
      <c r="A1415" s="3" t="inlineStr">
        <is>
          <t>SL-S66-09</t>
        </is>
      </c>
      <c r="B1415" s="3" t="inlineStr">
        <is>
          <t>SL-S66-10</t>
        </is>
      </c>
      <c r="C1415" s="3" t="inlineStr">
        <is>
          <t>S66</t>
        </is>
      </c>
      <c r="D1415" s="3" t="inlineStr">
        <is>
          <t>S66</t>
        </is>
      </c>
      <c r="E1415" s="3" t="inlineStr">
        <is>
          <t>Bloqueia até aceite; sequência conservadora dentro do sprint</t>
        </is>
      </c>
    </row>
    <row r="1416" ht="28" customHeight="1">
      <c r="A1416" s="3" t="inlineStr">
        <is>
          <t>SL-S66-01</t>
        </is>
      </c>
      <c r="B1416" s="3" t="inlineStr">
        <is>
          <t>SL-S66-GATE</t>
        </is>
      </c>
      <c r="C1416" s="3" t="inlineStr">
        <is>
          <t>S66</t>
        </is>
      </c>
      <c r="D1416" s="3" t="inlineStr">
        <is>
          <t>S66</t>
        </is>
      </c>
      <c r="E1416" s="3" t="inlineStr">
        <is>
          <t>Bloqueia até aceite; sequência conservadora dentro do sprint</t>
        </is>
      </c>
    </row>
    <row r="1417" ht="28" customHeight="1">
      <c r="A1417" s="3" t="inlineStr">
        <is>
          <t>SL-S66-02</t>
        </is>
      </c>
      <c r="B1417" s="3" t="inlineStr">
        <is>
          <t>SL-S66-GATE</t>
        </is>
      </c>
      <c r="C1417" s="3" t="inlineStr">
        <is>
          <t>S66</t>
        </is>
      </c>
      <c r="D1417" s="3" t="inlineStr">
        <is>
          <t>S66</t>
        </is>
      </c>
      <c r="E1417" s="3" t="inlineStr">
        <is>
          <t>Bloqueia até aceite; sequência conservadora dentro do sprint</t>
        </is>
      </c>
    </row>
    <row r="1418" ht="28" customHeight="1">
      <c r="A1418" s="3" t="inlineStr">
        <is>
          <t>SL-S66-03</t>
        </is>
      </c>
      <c r="B1418" s="3" t="inlineStr">
        <is>
          <t>SL-S66-GATE</t>
        </is>
      </c>
      <c r="C1418" s="3" t="inlineStr">
        <is>
          <t>S66</t>
        </is>
      </c>
      <c r="D1418" s="3" t="inlineStr">
        <is>
          <t>S66</t>
        </is>
      </c>
      <c r="E1418" s="3" t="inlineStr">
        <is>
          <t>Bloqueia até aceite; sequência conservadora dentro do sprint</t>
        </is>
      </c>
    </row>
    <row r="1419" ht="28" customHeight="1">
      <c r="A1419" s="3" t="inlineStr">
        <is>
          <t>SL-S66-04</t>
        </is>
      </c>
      <c r="B1419" s="3" t="inlineStr">
        <is>
          <t>SL-S66-GATE</t>
        </is>
      </c>
      <c r="C1419" s="3" t="inlineStr">
        <is>
          <t>S66</t>
        </is>
      </c>
      <c r="D1419" s="3" t="inlineStr">
        <is>
          <t>S66</t>
        </is>
      </c>
      <c r="E1419" s="3" t="inlineStr">
        <is>
          <t>Bloqueia até aceite; sequência conservadora dentro do sprint</t>
        </is>
      </c>
    </row>
    <row r="1420" ht="28" customHeight="1">
      <c r="A1420" s="3" t="inlineStr">
        <is>
          <t>SL-S66-05</t>
        </is>
      </c>
      <c r="B1420" s="3" t="inlineStr">
        <is>
          <t>SL-S66-GATE</t>
        </is>
      </c>
      <c r="C1420" s="3" t="inlineStr">
        <is>
          <t>S66</t>
        </is>
      </c>
      <c r="D1420" s="3" t="inlineStr">
        <is>
          <t>S66</t>
        </is>
      </c>
      <c r="E1420" s="3" t="inlineStr">
        <is>
          <t>Bloqueia até aceite; sequência conservadora dentro do sprint</t>
        </is>
      </c>
    </row>
    <row r="1421" ht="28" customHeight="1">
      <c r="A1421" s="3" t="inlineStr">
        <is>
          <t>SL-S66-06</t>
        </is>
      </c>
      <c r="B1421" s="3" t="inlineStr">
        <is>
          <t>SL-S66-GATE</t>
        </is>
      </c>
      <c r="C1421" s="3" t="inlineStr">
        <is>
          <t>S66</t>
        </is>
      </c>
      <c r="D1421" s="3" t="inlineStr">
        <is>
          <t>S66</t>
        </is>
      </c>
      <c r="E1421" s="3" t="inlineStr">
        <is>
          <t>Bloqueia até aceite; sequência conservadora dentro do sprint</t>
        </is>
      </c>
    </row>
    <row r="1422" ht="28" customHeight="1">
      <c r="A1422" s="3" t="inlineStr">
        <is>
          <t>SL-S66-07</t>
        </is>
      </c>
      <c r="B1422" s="3" t="inlineStr">
        <is>
          <t>SL-S66-GATE</t>
        </is>
      </c>
      <c r="C1422" s="3" t="inlineStr">
        <is>
          <t>S66</t>
        </is>
      </c>
      <c r="D1422" s="3" t="inlineStr">
        <is>
          <t>S66</t>
        </is>
      </c>
      <c r="E1422" s="3" t="inlineStr">
        <is>
          <t>Bloqueia até aceite; sequência conservadora dentro do sprint</t>
        </is>
      </c>
    </row>
    <row r="1423" ht="28" customHeight="1">
      <c r="A1423" s="3" t="inlineStr">
        <is>
          <t>SL-S66-08</t>
        </is>
      </c>
      <c r="B1423" s="3" t="inlineStr">
        <is>
          <t>SL-S66-GATE</t>
        </is>
      </c>
      <c r="C1423" s="3" t="inlineStr">
        <is>
          <t>S66</t>
        </is>
      </c>
      <c r="D1423" s="3" t="inlineStr">
        <is>
          <t>S66</t>
        </is>
      </c>
      <c r="E1423" s="3" t="inlineStr">
        <is>
          <t>Bloqueia até aceite; sequência conservadora dentro do sprint</t>
        </is>
      </c>
    </row>
    <row r="1424" ht="28" customHeight="1">
      <c r="A1424" s="3" t="inlineStr">
        <is>
          <t>SL-S66-09</t>
        </is>
      </c>
      <c r="B1424" s="3" t="inlineStr">
        <is>
          <t>SL-S66-GATE</t>
        </is>
      </c>
      <c r="C1424" s="3" t="inlineStr">
        <is>
          <t>S66</t>
        </is>
      </c>
      <c r="D1424" s="3" t="inlineStr">
        <is>
          <t>S66</t>
        </is>
      </c>
      <c r="E1424" s="3" t="inlineStr">
        <is>
          <t>Bloqueia até aceite; sequência conservadora dentro do sprint</t>
        </is>
      </c>
    </row>
    <row r="1425" ht="28" customHeight="1">
      <c r="A1425" s="3" t="inlineStr">
        <is>
          <t>SL-S66-10</t>
        </is>
      </c>
      <c r="B1425" s="3" t="inlineStr">
        <is>
          <t>SL-S66-GATE</t>
        </is>
      </c>
      <c r="C1425" s="3" t="inlineStr">
        <is>
          <t>S66</t>
        </is>
      </c>
      <c r="D1425" s="3" t="inlineStr">
        <is>
          <t>S66</t>
        </is>
      </c>
      <c r="E1425" s="3" t="inlineStr">
        <is>
          <t>Bloqueia até aceite; sequência conservadora dentro do sprint</t>
        </is>
      </c>
    </row>
    <row r="1426" ht="28" customHeight="1">
      <c r="A1426" s="3" t="inlineStr">
        <is>
          <t>SL-S61-GATE</t>
        </is>
      </c>
      <c r="B1426" s="3" t="inlineStr">
        <is>
          <t>SL-S67-01</t>
        </is>
      </c>
      <c r="C1426" s="3" t="inlineStr">
        <is>
          <t>S61</t>
        </is>
      </c>
      <c r="D1426" s="3" t="inlineStr">
        <is>
          <t>S67</t>
        </is>
      </c>
      <c r="E1426" s="3" t="inlineStr">
        <is>
          <t>Bloqueia até aceite; sequência conservadora dentro do sprint</t>
        </is>
      </c>
    </row>
    <row r="1427" ht="28" customHeight="1">
      <c r="A1427" s="3" t="inlineStr">
        <is>
          <t>SL-S66-GATE</t>
        </is>
      </c>
      <c r="B1427" s="3" t="inlineStr">
        <is>
          <t>SL-S67-01</t>
        </is>
      </c>
      <c r="C1427" s="3" t="inlineStr">
        <is>
          <t>S66</t>
        </is>
      </c>
      <c r="D1427" s="3" t="inlineStr">
        <is>
          <t>S67</t>
        </is>
      </c>
      <c r="E1427" s="3" t="inlineStr">
        <is>
          <t>Bloqueia até aceite; sequência conservadora dentro do sprint</t>
        </is>
      </c>
    </row>
    <row r="1428" ht="28" customHeight="1">
      <c r="A1428" s="3" t="inlineStr">
        <is>
          <t>SL-S67-01</t>
        </is>
      </c>
      <c r="B1428" s="3" t="inlineStr">
        <is>
          <t>SL-S67-02</t>
        </is>
      </c>
      <c r="C1428" s="3" t="inlineStr">
        <is>
          <t>S67</t>
        </is>
      </c>
      <c r="D1428" s="3" t="inlineStr">
        <is>
          <t>S67</t>
        </is>
      </c>
      <c r="E1428" s="3" t="inlineStr">
        <is>
          <t>Bloqueia até aceite; sequência conservadora dentro do sprint</t>
        </is>
      </c>
    </row>
    <row r="1429" ht="28" customHeight="1">
      <c r="A1429" s="3" t="inlineStr">
        <is>
          <t>SL-S67-02</t>
        </is>
      </c>
      <c r="B1429" s="3" t="inlineStr">
        <is>
          <t>SL-S67-03</t>
        </is>
      </c>
      <c r="C1429" s="3" t="inlineStr">
        <is>
          <t>S67</t>
        </is>
      </c>
      <c r="D1429" s="3" t="inlineStr">
        <is>
          <t>S67</t>
        </is>
      </c>
      <c r="E1429" s="3" t="inlineStr">
        <is>
          <t>Bloqueia até aceite; sequência conservadora dentro do sprint</t>
        </is>
      </c>
    </row>
    <row r="1430" ht="28" customHeight="1">
      <c r="A1430" s="3" t="inlineStr">
        <is>
          <t>SL-S67-03</t>
        </is>
      </c>
      <c r="B1430" s="3" t="inlineStr">
        <is>
          <t>SL-S67-04</t>
        </is>
      </c>
      <c r="C1430" s="3" t="inlineStr">
        <is>
          <t>S67</t>
        </is>
      </c>
      <c r="D1430" s="3" t="inlineStr">
        <is>
          <t>S67</t>
        </is>
      </c>
      <c r="E1430" s="3" t="inlineStr">
        <is>
          <t>Bloqueia até aceite; sequência conservadora dentro do sprint</t>
        </is>
      </c>
    </row>
    <row r="1431" ht="28" customHeight="1">
      <c r="A1431" s="3" t="inlineStr">
        <is>
          <t>SL-S67-04</t>
        </is>
      </c>
      <c r="B1431" s="3" t="inlineStr">
        <is>
          <t>SL-S67-05</t>
        </is>
      </c>
      <c r="C1431" s="3" t="inlineStr">
        <is>
          <t>S67</t>
        </is>
      </c>
      <c r="D1431" s="3" t="inlineStr">
        <is>
          <t>S67</t>
        </is>
      </c>
      <c r="E1431" s="3" t="inlineStr">
        <is>
          <t>Bloqueia até aceite; sequência conservadora dentro do sprint</t>
        </is>
      </c>
    </row>
    <row r="1432" ht="28" customHeight="1">
      <c r="A1432" s="3" t="inlineStr">
        <is>
          <t>SL-S67-05</t>
        </is>
      </c>
      <c r="B1432" s="3" t="inlineStr">
        <is>
          <t>SL-S67-06</t>
        </is>
      </c>
      <c r="C1432" s="3" t="inlineStr">
        <is>
          <t>S67</t>
        </is>
      </c>
      <c r="D1432" s="3" t="inlineStr">
        <is>
          <t>S67</t>
        </is>
      </c>
      <c r="E1432" s="3" t="inlineStr">
        <is>
          <t>Bloqueia até aceite; sequência conservadora dentro do sprint</t>
        </is>
      </c>
    </row>
    <row r="1433" ht="28" customHeight="1">
      <c r="A1433" s="3" t="inlineStr">
        <is>
          <t>SL-S67-06</t>
        </is>
      </c>
      <c r="B1433" s="3" t="inlineStr">
        <is>
          <t>SL-S67-07</t>
        </is>
      </c>
      <c r="C1433" s="3" t="inlineStr">
        <is>
          <t>S67</t>
        </is>
      </c>
      <c r="D1433" s="3" t="inlineStr">
        <is>
          <t>S67</t>
        </is>
      </c>
      <c r="E1433" s="3" t="inlineStr">
        <is>
          <t>Bloqueia até aceite; sequência conservadora dentro do sprint</t>
        </is>
      </c>
    </row>
    <row r="1434" ht="28" customHeight="1">
      <c r="A1434" s="3" t="inlineStr">
        <is>
          <t>SL-S67-07</t>
        </is>
      </c>
      <c r="B1434" s="3" t="inlineStr">
        <is>
          <t>SL-S67-08</t>
        </is>
      </c>
      <c r="C1434" s="3" t="inlineStr">
        <is>
          <t>S67</t>
        </is>
      </c>
      <c r="D1434" s="3" t="inlineStr">
        <is>
          <t>S67</t>
        </is>
      </c>
      <c r="E1434" s="3" t="inlineStr">
        <is>
          <t>Bloqueia até aceite; sequência conservadora dentro do sprint</t>
        </is>
      </c>
    </row>
    <row r="1435" ht="28" customHeight="1">
      <c r="A1435" s="3" t="inlineStr">
        <is>
          <t>SL-S67-08</t>
        </is>
      </c>
      <c r="B1435" s="3" t="inlineStr">
        <is>
          <t>SL-S67-09</t>
        </is>
      </c>
      <c r="C1435" s="3" t="inlineStr">
        <is>
          <t>S67</t>
        </is>
      </c>
      <c r="D1435" s="3" t="inlineStr">
        <is>
          <t>S67</t>
        </is>
      </c>
      <c r="E1435" s="3" t="inlineStr">
        <is>
          <t>Bloqueia até aceite; sequência conservadora dentro do sprint</t>
        </is>
      </c>
    </row>
    <row r="1436" ht="28" customHeight="1">
      <c r="A1436" s="3" t="inlineStr">
        <is>
          <t>SL-S67-09</t>
        </is>
      </c>
      <c r="B1436" s="3" t="inlineStr">
        <is>
          <t>SL-S67-10</t>
        </is>
      </c>
      <c r="C1436" s="3" t="inlineStr">
        <is>
          <t>S67</t>
        </is>
      </c>
      <c r="D1436" s="3" t="inlineStr">
        <is>
          <t>S67</t>
        </is>
      </c>
      <c r="E1436" s="3" t="inlineStr">
        <is>
          <t>Bloqueia até aceite; sequência conservadora dentro do sprint</t>
        </is>
      </c>
    </row>
    <row r="1437" ht="28" customHeight="1">
      <c r="A1437" s="3" t="inlineStr">
        <is>
          <t>SL-S67-01</t>
        </is>
      </c>
      <c r="B1437" s="3" t="inlineStr">
        <is>
          <t>SL-S67-GATE</t>
        </is>
      </c>
      <c r="C1437" s="3" t="inlineStr">
        <is>
          <t>S67</t>
        </is>
      </c>
      <c r="D1437" s="3" t="inlineStr">
        <is>
          <t>S67</t>
        </is>
      </c>
      <c r="E1437" s="3" t="inlineStr">
        <is>
          <t>Bloqueia até aceite; sequência conservadora dentro do sprint</t>
        </is>
      </c>
    </row>
    <row r="1438" ht="28" customHeight="1">
      <c r="A1438" s="3" t="inlineStr">
        <is>
          <t>SL-S67-02</t>
        </is>
      </c>
      <c r="B1438" s="3" t="inlineStr">
        <is>
          <t>SL-S67-GATE</t>
        </is>
      </c>
      <c r="C1438" s="3" t="inlineStr">
        <is>
          <t>S67</t>
        </is>
      </c>
      <c r="D1438" s="3" t="inlineStr">
        <is>
          <t>S67</t>
        </is>
      </c>
      <c r="E1438" s="3" t="inlineStr">
        <is>
          <t>Bloqueia até aceite; sequência conservadora dentro do sprint</t>
        </is>
      </c>
    </row>
    <row r="1439" ht="28" customHeight="1">
      <c r="A1439" s="3" t="inlineStr">
        <is>
          <t>SL-S67-03</t>
        </is>
      </c>
      <c r="B1439" s="3" t="inlineStr">
        <is>
          <t>SL-S67-GATE</t>
        </is>
      </c>
      <c r="C1439" s="3" t="inlineStr">
        <is>
          <t>S67</t>
        </is>
      </c>
      <c r="D1439" s="3" t="inlineStr">
        <is>
          <t>S67</t>
        </is>
      </c>
      <c r="E1439" s="3" t="inlineStr">
        <is>
          <t>Bloqueia até aceite; sequência conservadora dentro do sprint</t>
        </is>
      </c>
    </row>
    <row r="1440" ht="28" customHeight="1">
      <c r="A1440" s="3" t="inlineStr">
        <is>
          <t>SL-S67-04</t>
        </is>
      </c>
      <c r="B1440" s="3" t="inlineStr">
        <is>
          <t>SL-S67-GATE</t>
        </is>
      </c>
      <c r="C1440" s="3" t="inlineStr">
        <is>
          <t>S67</t>
        </is>
      </c>
      <c r="D1440" s="3" t="inlineStr">
        <is>
          <t>S67</t>
        </is>
      </c>
      <c r="E1440" s="3" t="inlineStr">
        <is>
          <t>Bloqueia até aceite; sequência conservadora dentro do sprint</t>
        </is>
      </c>
    </row>
    <row r="1441" ht="28" customHeight="1">
      <c r="A1441" s="3" t="inlineStr">
        <is>
          <t>SL-S67-05</t>
        </is>
      </c>
      <c r="B1441" s="3" t="inlineStr">
        <is>
          <t>SL-S67-GATE</t>
        </is>
      </c>
      <c r="C1441" s="3" t="inlineStr">
        <is>
          <t>S67</t>
        </is>
      </c>
      <c r="D1441" s="3" t="inlineStr">
        <is>
          <t>S67</t>
        </is>
      </c>
      <c r="E1441" s="3" t="inlineStr">
        <is>
          <t>Bloqueia até aceite; sequência conservadora dentro do sprint</t>
        </is>
      </c>
    </row>
    <row r="1442" ht="28" customHeight="1">
      <c r="A1442" s="3" t="inlineStr">
        <is>
          <t>SL-S67-06</t>
        </is>
      </c>
      <c r="B1442" s="3" t="inlineStr">
        <is>
          <t>SL-S67-GATE</t>
        </is>
      </c>
      <c r="C1442" s="3" t="inlineStr">
        <is>
          <t>S67</t>
        </is>
      </c>
      <c r="D1442" s="3" t="inlineStr">
        <is>
          <t>S67</t>
        </is>
      </c>
      <c r="E1442" s="3" t="inlineStr">
        <is>
          <t>Bloqueia até aceite; sequência conservadora dentro do sprint</t>
        </is>
      </c>
    </row>
    <row r="1443" ht="28" customHeight="1">
      <c r="A1443" s="3" t="inlineStr">
        <is>
          <t>SL-S67-07</t>
        </is>
      </c>
      <c r="B1443" s="3" t="inlineStr">
        <is>
          <t>SL-S67-GATE</t>
        </is>
      </c>
      <c r="C1443" s="3" t="inlineStr">
        <is>
          <t>S67</t>
        </is>
      </c>
      <c r="D1443" s="3" t="inlineStr">
        <is>
          <t>S67</t>
        </is>
      </c>
      <c r="E1443" s="3" t="inlineStr">
        <is>
          <t>Bloqueia até aceite; sequência conservadora dentro do sprint</t>
        </is>
      </c>
    </row>
    <row r="1444" ht="28" customHeight="1">
      <c r="A1444" s="3" t="inlineStr">
        <is>
          <t>SL-S67-08</t>
        </is>
      </c>
      <c r="B1444" s="3" t="inlineStr">
        <is>
          <t>SL-S67-GATE</t>
        </is>
      </c>
      <c r="C1444" s="3" t="inlineStr">
        <is>
          <t>S67</t>
        </is>
      </c>
      <c r="D1444" s="3" t="inlineStr">
        <is>
          <t>S67</t>
        </is>
      </c>
      <c r="E1444" s="3" t="inlineStr">
        <is>
          <t>Bloqueia até aceite; sequência conservadora dentro do sprint</t>
        </is>
      </c>
    </row>
    <row r="1445" ht="28" customHeight="1">
      <c r="A1445" s="3" t="inlineStr">
        <is>
          <t>SL-S67-09</t>
        </is>
      </c>
      <c r="B1445" s="3" t="inlineStr">
        <is>
          <t>SL-S67-GATE</t>
        </is>
      </c>
      <c r="C1445" s="3" t="inlineStr">
        <is>
          <t>S67</t>
        </is>
      </c>
      <c r="D1445" s="3" t="inlineStr">
        <is>
          <t>S67</t>
        </is>
      </c>
      <c r="E1445" s="3" t="inlineStr">
        <is>
          <t>Bloqueia até aceite; sequência conservadora dentro do sprint</t>
        </is>
      </c>
    </row>
    <row r="1446" ht="28" customHeight="1">
      <c r="A1446" s="3" t="inlineStr">
        <is>
          <t>SL-S67-10</t>
        </is>
      </c>
      <c r="B1446" s="3" t="inlineStr">
        <is>
          <t>SL-S67-GATE</t>
        </is>
      </c>
      <c r="C1446" s="3" t="inlineStr">
        <is>
          <t>S67</t>
        </is>
      </c>
      <c r="D1446" s="3" t="inlineStr">
        <is>
          <t>S67</t>
        </is>
      </c>
      <c r="E1446" s="3" t="inlineStr">
        <is>
          <t>Bloqueia até aceite; sequência conservadora dentro do sprint</t>
        </is>
      </c>
    </row>
    <row r="1447" ht="28" customHeight="1">
      <c r="A1447" s="3" t="inlineStr">
        <is>
          <t>SL-S67-GATE</t>
        </is>
      </c>
      <c r="B1447" s="3" t="inlineStr">
        <is>
          <t>SL-S68-01</t>
        </is>
      </c>
      <c r="C1447" s="3" t="inlineStr">
        <is>
          <t>S67</t>
        </is>
      </c>
      <c r="D1447" s="3" t="inlineStr">
        <is>
          <t>S68</t>
        </is>
      </c>
      <c r="E1447" s="3" t="inlineStr">
        <is>
          <t>Bloqueia até aceite; sequência conservadora dentro do sprint</t>
        </is>
      </c>
    </row>
    <row r="1448" ht="28" customHeight="1">
      <c r="A1448" s="3" t="inlineStr">
        <is>
          <t>SL-S68-01</t>
        </is>
      </c>
      <c r="B1448" s="3" t="inlineStr">
        <is>
          <t>SL-S68-02</t>
        </is>
      </c>
      <c r="C1448" s="3" t="inlineStr">
        <is>
          <t>S68</t>
        </is>
      </c>
      <c r="D1448" s="3" t="inlineStr">
        <is>
          <t>S68</t>
        </is>
      </c>
      <c r="E1448" s="3" t="inlineStr">
        <is>
          <t>Bloqueia até aceite; sequência conservadora dentro do sprint</t>
        </is>
      </c>
    </row>
    <row r="1449" ht="28" customHeight="1">
      <c r="A1449" s="3" t="inlineStr">
        <is>
          <t>SL-S68-02</t>
        </is>
      </c>
      <c r="B1449" s="3" t="inlineStr">
        <is>
          <t>SL-S68-03</t>
        </is>
      </c>
      <c r="C1449" s="3" t="inlineStr">
        <is>
          <t>S68</t>
        </is>
      </c>
      <c r="D1449" s="3" t="inlineStr">
        <is>
          <t>S68</t>
        </is>
      </c>
      <c r="E1449" s="3" t="inlineStr">
        <is>
          <t>Bloqueia até aceite; sequência conservadora dentro do sprint</t>
        </is>
      </c>
    </row>
    <row r="1450" ht="28" customHeight="1">
      <c r="A1450" s="3" t="inlineStr">
        <is>
          <t>SL-S68-03</t>
        </is>
      </c>
      <c r="B1450" s="3" t="inlineStr">
        <is>
          <t>SL-S68-04</t>
        </is>
      </c>
      <c r="C1450" s="3" t="inlineStr">
        <is>
          <t>S68</t>
        </is>
      </c>
      <c r="D1450" s="3" t="inlineStr">
        <is>
          <t>S68</t>
        </is>
      </c>
      <c r="E1450" s="3" t="inlineStr">
        <is>
          <t>Bloqueia até aceite; sequência conservadora dentro do sprint</t>
        </is>
      </c>
    </row>
    <row r="1451" ht="28" customHeight="1">
      <c r="A1451" s="3" t="inlineStr">
        <is>
          <t>SL-S68-04</t>
        </is>
      </c>
      <c r="B1451" s="3" t="inlineStr">
        <is>
          <t>SL-S68-05</t>
        </is>
      </c>
      <c r="C1451" s="3" t="inlineStr">
        <is>
          <t>S68</t>
        </is>
      </c>
      <c r="D1451" s="3" t="inlineStr">
        <is>
          <t>S68</t>
        </is>
      </c>
      <c r="E1451" s="3" t="inlineStr">
        <is>
          <t>Bloqueia até aceite; sequência conservadora dentro do sprint</t>
        </is>
      </c>
    </row>
    <row r="1452" ht="28" customHeight="1">
      <c r="A1452" s="3" t="inlineStr">
        <is>
          <t>SL-S68-05</t>
        </is>
      </c>
      <c r="B1452" s="3" t="inlineStr">
        <is>
          <t>SL-S68-06</t>
        </is>
      </c>
      <c r="C1452" s="3" t="inlineStr">
        <is>
          <t>S68</t>
        </is>
      </c>
      <c r="D1452" s="3" t="inlineStr">
        <is>
          <t>S68</t>
        </is>
      </c>
      <c r="E1452" s="3" t="inlineStr">
        <is>
          <t>Bloqueia até aceite; sequência conservadora dentro do sprint</t>
        </is>
      </c>
    </row>
    <row r="1453" ht="28" customHeight="1">
      <c r="A1453" s="3" t="inlineStr">
        <is>
          <t>SL-S68-06</t>
        </is>
      </c>
      <c r="B1453" s="3" t="inlineStr">
        <is>
          <t>SL-S68-07</t>
        </is>
      </c>
      <c r="C1453" s="3" t="inlineStr">
        <is>
          <t>S68</t>
        </is>
      </c>
      <c r="D1453" s="3" t="inlineStr">
        <is>
          <t>S68</t>
        </is>
      </c>
      <c r="E1453" s="3" t="inlineStr">
        <is>
          <t>Bloqueia até aceite; sequência conservadora dentro do sprint</t>
        </is>
      </c>
    </row>
    <row r="1454" ht="28" customHeight="1">
      <c r="A1454" s="3" t="inlineStr">
        <is>
          <t>SL-S68-07</t>
        </is>
      </c>
      <c r="B1454" s="3" t="inlineStr">
        <is>
          <t>SL-S68-08</t>
        </is>
      </c>
      <c r="C1454" s="3" t="inlineStr">
        <is>
          <t>S68</t>
        </is>
      </c>
      <c r="D1454" s="3" t="inlineStr">
        <is>
          <t>S68</t>
        </is>
      </c>
      <c r="E1454" s="3" t="inlineStr">
        <is>
          <t>Bloqueia até aceite; sequência conservadora dentro do sprint</t>
        </is>
      </c>
    </row>
    <row r="1455" ht="28" customHeight="1">
      <c r="A1455" s="3" t="inlineStr">
        <is>
          <t>SL-S68-08</t>
        </is>
      </c>
      <c r="B1455" s="3" t="inlineStr">
        <is>
          <t>SL-S68-09</t>
        </is>
      </c>
      <c r="C1455" s="3" t="inlineStr">
        <is>
          <t>S68</t>
        </is>
      </c>
      <c r="D1455" s="3" t="inlineStr">
        <is>
          <t>S68</t>
        </is>
      </c>
      <c r="E1455" s="3" t="inlineStr">
        <is>
          <t>Bloqueia até aceite; sequência conservadora dentro do sprint</t>
        </is>
      </c>
    </row>
    <row r="1456" ht="28" customHeight="1">
      <c r="A1456" s="3" t="inlineStr">
        <is>
          <t>SL-S68-09</t>
        </is>
      </c>
      <c r="B1456" s="3" t="inlineStr">
        <is>
          <t>SL-S68-10</t>
        </is>
      </c>
      <c r="C1456" s="3" t="inlineStr">
        <is>
          <t>S68</t>
        </is>
      </c>
      <c r="D1456" s="3" t="inlineStr">
        <is>
          <t>S68</t>
        </is>
      </c>
      <c r="E1456" s="3" t="inlineStr">
        <is>
          <t>Bloqueia até aceite; sequência conservadora dentro do sprint</t>
        </is>
      </c>
    </row>
    <row r="1457" ht="28" customHeight="1">
      <c r="A1457" s="3" t="inlineStr">
        <is>
          <t>SL-S68-01</t>
        </is>
      </c>
      <c r="B1457" s="3" t="inlineStr">
        <is>
          <t>SL-S68-GATE</t>
        </is>
      </c>
      <c r="C1457" s="3" t="inlineStr">
        <is>
          <t>S68</t>
        </is>
      </c>
      <c r="D1457" s="3" t="inlineStr">
        <is>
          <t>S68</t>
        </is>
      </c>
      <c r="E1457" s="3" t="inlineStr">
        <is>
          <t>Bloqueia até aceite; sequência conservadora dentro do sprint</t>
        </is>
      </c>
    </row>
    <row r="1458" ht="28" customHeight="1">
      <c r="A1458" s="3" t="inlineStr">
        <is>
          <t>SL-S68-02</t>
        </is>
      </c>
      <c r="B1458" s="3" t="inlineStr">
        <is>
          <t>SL-S68-GATE</t>
        </is>
      </c>
      <c r="C1458" s="3" t="inlineStr">
        <is>
          <t>S68</t>
        </is>
      </c>
      <c r="D1458" s="3" t="inlineStr">
        <is>
          <t>S68</t>
        </is>
      </c>
      <c r="E1458" s="3" t="inlineStr">
        <is>
          <t>Bloqueia até aceite; sequência conservadora dentro do sprint</t>
        </is>
      </c>
    </row>
    <row r="1459" ht="28" customHeight="1">
      <c r="A1459" s="3" t="inlineStr">
        <is>
          <t>SL-S68-03</t>
        </is>
      </c>
      <c r="B1459" s="3" t="inlineStr">
        <is>
          <t>SL-S68-GATE</t>
        </is>
      </c>
      <c r="C1459" s="3" t="inlineStr">
        <is>
          <t>S68</t>
        </is>
      </c>
      <c r="D1459" s="3" t="inlineStr">
        <is>
          <t>S68</t>
        </is>
      </c>
      <c r="E1459" s="3" t="inlineStr">
        <is>
          <t>Bloqueia até aceite; sequência conservadora dentro do sprint</t>
        </is>
      </c>
    </row>
    <row r="1460" ht="28" customHeight="1">
      <c r="A1460" s="3" t="inlineStr">
        <is>
          <t>SL-S68-04</t>
        </is>
      </c>
      <c r="B1460" s="3" t="inlineStr">
        <is>
          <t>SL-S68-GATE</t>
        </is>
      </c>
      <c r="C1460" s="3" t="inlineStr">
        <is>
          <t>S68</t>
        </is>
      </c>
      <c r="D1460" s="3" t="inlineStr">
        <is>
          <t>S68</t>
        </is>
      </c>
      <c r="E1460" s="3" t="inlineStr">
        <is>
          <t>Bloqueia até aceite; sequência conservadora dentro do sprint</t>
        </is>
      </c>
    </row>
    <row r="1461" ht="28" customHeight="1">
      <c r="A1461" s="3" t="inlineStr">
        <is>
          <t>SL-S68-05</t>
        </is>
      </c>
      <c r="B1461" s="3" t="inlineStr">
        <is>
          <t>SL-S68-GATE</t>
        </is>
      </c>
      <c r="C1461" s="3" t="inlineStr">
        <is>
          <t>S68</t>
        </is>
      </c>
      <c r="D1461" s="3" t="inlineStr">
        <is>
          <t>S68</t>
        </is>
      </c>
      <c r="E1461" s="3" t="inlineStr">
        <is>
          <t>Bloqueia até aceite; sequência conservadora dentro do sprint</t>
        </is>
      </c>
    </row>
    <row r="1462" ht="28" customHeight="1">
      <c r="A1462" s="3" t="inlineStr">
        <is>
          <t>SL-S68-06</t>
        </is>
      </c>
      <c r="B1462" s="3" t="inlineStr">
        <is>
          <t>SL-S68-GATE</t>
        </is>
      </c>
      <c r="C1462" s="3" t="inlineStr">
        <is>
          <t>S68</t>
        </is>
      </c>
      <c r="D1462" s="3" t="inlineStr">
        <is>
          <t>S68</t>
        </is>
      </c>
      <c r="E1462" s="3" t="inlineStr">
        <is>
          <t>Bloqueia até aceite; sequência conservadora dentro do sprint</t>
        </is>
      </c>
    </row>
    <row r="1463" ht="28" customHeight="1">
      <c r="A1463" s="3" t="inlineStr">
        <is>
          <t>SL-S68-07</t>
        </is>
      </c>
      <c r="B1463" s="3" t="inlineStr">
        <is>
          <t>SL-S68-GATE</t>
        </is>
      </c>
      <c r="C1463" s="3" t="inlineStr">
        <is>
          <t>S68</t>
        </is>
      </c>
      <c r="D1463" s="3" t="inlineStr">
        <is>
          <t>S68</t>
        </is>
      </c>
      <c r="E1463" s="3" t="inlineStr">
        <is>
          <t>Bloqueia até aceite; sequência conservadora dentro do sprint</t>
        </is>
      </c>
    </row>
    <row r="1464" ht="28" customHeight="1">
      <c r="A1464" s="3" t="inlineStr">
        <is>
          <t>SL-S68-08</t>
        </is>
      </c>
      <c r="B1464" s="3" t="inlineStr">
        <is>
          <t>SL-S68-GATE</t>
        </is>
      </c>
      <c r="C1464" s="3" t="inlineStr">
        <is>
          <t>S68</t>
        </is>
      </c>
      <c r="D1464" s="3" t="inlineStr">
        <is>
          <t>S68</t>
        </is>
      </c>
      <c r="E1464" s="3" t="inlineStr">
        <is>
          <t>Bloqueia até aceite; sequência conservadora dentro do sprint</t>
        </is>
      </c>
    </row>
    <row r="1465" ht="28" customHeight="1">
      <c r="A1465" s="3" t="inlineStr">
        <is>
          <t>SL-S68-09</t>
        </is>
      </c>
      <c r="B1465" s="3" t="inlineStr">
        <is>
          <t>SL-S68-GATE</t>
        </is>
      </c>
      <c r="C1465" s="3" t="inlineStr">
        <is>
          <t>S68</t>
        </is>
      </c>
      <c r="D1465" s="3" t="inlineStr">
        <is>
          <t>S68</t>
        </is>
      </c>
      <c r="E1465" s="3" t="inlineStr">
        <is>
          <t>Bloqueia até aceite; sequência conservadora dentro do sprint</t>
        </is>
      </c>
    </row>
    <row r="1466" ht="28" customHeight="1">
      <c r="A1466" s="3" t="inlineStr">
        <is>
          <t>SL-S68-10</t>
        </is>
      </c>
      <c r="B1466" s="3" t="inlineStr">
        <is>
          <t>SL-S68-GATE</t>
        </is>
      </c>
      <c r="C1466" s="3" t="inlineStr">
        <is>
          <t>S68</t>
        </is>
      </c>
      <c r="D1466" s="3" t="inlineStr">
        <is>
          <t>S68</t>
        </is>
      </c>
      <c r="E1466" s="3" t="inlineStr">
        <is>
          <t>Bloqueia até aceite; sequência conservadora dentro do sprint</t>
        </is>
      </c>
    </row>
    <row r="1467" ht="28" customHeight="1">
      <c r="A1467" s="3" t="inlineStr">
        <is>
          <t>SL-S68-GATE</t>
        </is>
      </c>
      <c r="B1467" s="3" t="inlineStr">
        <is>
          <t>SL-S69-01</t>
        </is>
      </c>
      <c r="C1467" s="3" t="inlineStr">
        <is>
          <t>S68</t>
        </is>
      </c>
      <c r="D1467" s="3" t="inlineStr">
        <is>
          <t>S69</t>
        </is>
      </c>
      <c r="E1467" s="3" t="inlineStr">
        <is>
          <t>Bloqueia até aceite; sequência conservadora dentro do sprint</t>
        </is>
      </c>
    </row>
    <row r="1468" ht="28" customHeight="1">
      <c r="A1468" s="3" t="inlineStr">
        <is>
          <t>SL-S69-01</t>
        </is>
      </c>
      <c r="B1468" s="3" t="inlineStr">
        <is>
          <t>SL-S69-02</t>
        </is>
      </c>
      <c r="C1468" s="3" t="inlineStr">
        <is>
          <t>S69</t>
        </is>
      </c>
      <c r="D1468" s="3" t="inlineStr">
        <is>
          <t>S69</t>
        </is>
      </c>
      <c r="E1468" s="3" t="inlineStr">
        <is>
          <t>Bloqueia até aceite; sequência conservadora dentro do sprint</t>
        </is>
      </c>
    </row>
    <row r="1469" ht="28" customHeight="1">
      <c r="A1469" s="3" t="inlineStr">
        <is>
          <t>SL-S69-02</t>
        </is>
      </c>
      <c r="B1469" s="3" t="inlineStr">
        <is>
          <t>SL-S69-03</t>
        </is>
      </c>
      <c r="C1469" s="3" t="inlineStr">
        <is>
          <t>S69</t>
        </is>
      </c>
      <c r="D1469" s="3" t="inlineStr">
        <is>
          <t>S69</t>
        </is>
      </c>
      <c r="E1469" s="3" t="inlineStr">
        <is>
          <t>Bloqueia até aceite; sequência conservadora dentro do sprint</t>
        </is>
      </c>
    </row>
    <row r="1470" ht="28" customHeight="1">
      <c r="A1470" s="3" t="inlineStr">
        <is>
          <t>SL-S69-03</t>
        </is>
      </c>
      <c r="B1470" s="3" t="inlineStr">
        <is>
          <t>SL-S69-04</t>
        </is>
      </c>
      <c r="C1470" s="3" t="inlineStr">
        <is>
          <t>S69</t>
        </is>
      </c>
      <c r="D1470" s="3" t="inlineStr">
        <is>
          <t>S69</t>
        </is>
      </c>
      <c r="E1470" s="3" t="inlineStr">
        <is>
          <t>Bloqueia até aceite; sequência conservadora dentro do sprint</t>
        </is>
      </c>
    </row>
    <row r="1471" ht="28" customHeight="1">
      <c r="A1471" s="3" t="inlineStr">
        <is>
          <t>SL-S69-04</t>
        </is>
      </c>
      <c r="B1471" s="3" t="inlineStr">
        <is>
          <t>SL-S69-05</t>
        </is>
      </c>
      <c r="C1471" s="3" t="inlineStr">
        <is>
          <t>S69</t>
        </is>
      </c>
      <c r="D1471" s="3" t="inlineStr">
        <is>
          <t>S69</t>
        </is>
      </c>
      <c r="E1471" s="3" t="inlineStr">
        <is>
          <t>Bloqueia até aceite; sequência conservadora dentro do sprint</t>
        </is>
      </c>
    </row>
    <row r="1472" ht="28" customHeight="1">
      <c r="A1472" s="3" t="inlineStr">
        <is>
          <t>SL-S69-05</t>
        </is>
      </c>
      <c r="B1472" s="3" t="inlineStr">
        <is>
          <t>SL-S69-06</t>
        </is>
      </c>
      <c r="C1472" s="3" t="inlineStr">
        <is>
          <t>S69</t>
        </is>
      </c>
      <c r="D1472" s="3" t="inlineStr">
        <is>
          <t>S69</t>
        </is>
      </c>
      <c r="E1472" s="3" t="inlineStr">
        <is>
          <t>Bloqueia até aceite; sequência conservadora dentro do sprint</t>
        </is>
      </c>
    </row>
    <row r="1473" ht="28" customHeight="1">
      <c r="A1473" s="3" t="inlineStr">
        <is>
          <t>SL-S69-06</t>
        </is>
      </c>
      <c r="B1473" s="3" t="inlineStr">
        <is>
          <t>SL-S69-07</t>
        </is>
      </c>
      <c r="C1473" s="3" t="inlineStr">
        <is>
          <t>S69</t>
        </is>
      </c>
      <c r="D1473" s="3" t="inlineStr">
        <is>
          <t>S69</t>
        </is>
      </c>
      <c r="E1473" s="3" t="inlineStr">
        <is>
          <t>Bloqueia até aceite; sequência conservadora dentro do sprint</t>
        </is>
      </c>
    </row>
    <row r="1474" ht="28" customHeight="1">
      <c r="A1474" s="3" t="inlineStr">
        <is>
          <t>SL-S69-07</t>
        </is>
      </c>
      <c r="B1474" s="3" t="inlineStr">
        <is>
          <t>SL-S69-08</t>
        </is>
      </c>
      <c r="C1474" s="3" t="inlineStr">
        <is>
          <t>S69</t>
        </is>
      </c>
      <c r="D1474" s="3" t="inlineStr">
        <is>
          <t>S69</t>
        </is>
      </c>
      <c r="E1474" s="3" t="inlineStr">
        <is>
          <t>Bloqueia até aceite; sequência conservadora dentro do sprint</t>
        </is>
      </c>
    </row>
    <row r="1475" ht="28" customHeight="1">
      <c r="A1475" s="3" t="inlineStr">
        <is>
          <t>SL-S69-08</t>
        </is>
      </c>
      <c r="B1475" s="3" t="inlineStr">
        <is>
          <t>SL-S69-09</t>
        </is>
      </c>
      <c r="C1475" s="3" t="inlineStr">
        <is>
          <t>S69</t>
        </is>
      </c>
      <c r="D1475" s="3" t="inlineStr">
        <is>
          <t>S69</t>
        </is>
      </c>
      <c r="E1475" s="3" t="inlineStr">
        <is>
          <t>Bloqueia até aceite; sequência conservadora dentro do sprint</t>
        </is>
      </c>
    </row>
    <row r="1476" ht="28" customHeight="1">
      <c r="A1476" s="3" t="inlineStr">
        <is>
          <t>SL-S69-09</t>
        </is>
      </c>
      <c r="B1476" s="3" t="inlineStr">
        <is>
          <t>SL-S69-10</t>
        </is>
      </c>
      <c r="C1476" s="3" t="inlineStr">
        <is>
          <t>S69</t>
        </is>
      </c>
      <c r="D1476" s="3" t="inlineStr">
        <is>
          <t>S69</t>
        </is>
      </c>
      <c r="E1476" s="3" t="inlineStr">
        <is>
          <t>Bloqueia até aceite; sequência conservadora dentro do sprint</t>
        </is>
      </c>
    </row>
    <row r="1477" ht="28" customHeight="1">
      <c r="A1477" s="3" t="inlineStr">
        <is>
          <t>SL-S69-01</t>
        </is>
      </c>
      <c r="B1477" s="3" t="inlineStr">
        <is>
          <t>SL-S69-GATE</t>
        </is>
      </c>
      <c r="C1477" s="3" t="inlineStr">
        <is>
          <t>S69</t>
        </is>
      </c>
      <c r="D1477" s="3" t="inlineStr">
        <is>
          <t>S69</t>
        </is>
      </c>
      <c r="E1477" s="3" t="inlineStr">
        <is>
          <t>Bloqueia até aceite; sequência conservadora dentro do sprint</t>
        </is>
      </c>
    </row>
    <row r="1478" ht="28" customHeight="1">
      <c r="A1478" s="3" t="inlineStr">
        <is>
          <t>SL-S69-02</t>
        </is>
      </c>
      <c r="B1478" s="3" t="inlineStr">
        <is>
          <t>SL-S69-GATE</t>
        </is>
      </c>
      <c r="C1478" s="3" t="inlineStr">
        <is>
          <t>S69</t>
        </is>
      </c>
      <c r="D1478" s="3" t="inlineStr">
        <is>
          <t>S69</t>
        </is>
      </c>
      <c r="E1478" s="3" t="inlineStr">
        <is>
          <t>Bloqueia até aceite; sequência conservadora dentro do sprint</t>
        </is>
      </c>
    </row>
    <row r="1479" ht="28" customHeight="1">
      <c r="A1479" s="3" t="inlineStr">
        <is>
          <t>SL-S69-03</t>
        </is>
      </c>
      <c r="B1479" s="3" t="inlineStr">
        <is>
          <t>SL-S69-GATE</t>
        </is>
      </c>
      <c r="C1479" s="3" t="inlineStr">
        <is>
          <t>S69</t>
        </is>
      </c>
      <c r="D1479" s="3" t="inlineStr">
        <is>
          <t>S69</t>
        </is>
      </c>
      <c r="E1479" s="3" t="inlineStr">
        <is>
          <t>Bloqueia até aceite; sequência conservadora dentro do sprint</t>
        </is>
      </c>
    </row>
    <row r="1480" ht="28" customHeight="1">
      <c r="A1480" s="3" t="inlineStr">
        <is>
          <t>SL-S69-04</t>
        </is>
      </c>
      <c r="B1480" s="3" t="inlineStr">
        <is>
          <t>SL-S69-GATE</t>
        </is>
      </c>
      <c r="C1480" s="3" t="inlineStr">
        <is>
          <t>S69</t>
        </is>
      </c>
      <c r="D1480" s="3" t="inlineStr">
        <is>
          <t>S69</t>
        </is>
      </c>
      <c r="E1480" s="3" t="inlineStr">
        <is>
          <t>Bloqueia até aceite; sequência conservadora dentro do sprint</t>
        </is>
      </c>
    </row>
    <row r="1481" ht="28" customHeight="1">
      <c r="A1481" s="3" t="inlineStr">
        <is>
          <t>SL-S69-05</t>
        </is>
      </c>
      <c r="B1481" s="3" t="inlineStr">
        <is>
          <t>SL-S69-GATE</t>
        </is>
      </c>
      <c r="C1481" s="3" t="inlineStr">
        <is>
          <t>S69</t>
        </is>
      </c>
      <c r="D1481" s="3" t="inlineStr">
        <is>
          <t>S69</t>
        </is>
      </c>
      <c r="E1481" s="3" t="inlineStr">
        <is>
          <t>Bloqueia até aceite; sequência conservadora dentro do sprint</t>
        </is>
      </c>
    </row>
    <row r="1482" ht="28" customHeight="1">
      <c r="A1482" s="3" t="inlineStr">
        <is>
          <t>SL-S69-06</t>
        </is>
      </c>
      <c r="B1482" s="3" t="inlineStr">
        <is>
          <t>SL-S69-GATE</t>
        </is>
      </c>
      <c r="C1482" s="3" t="inlineStr">
        <is>
          <t>S69</t>
        </is>
      </c>
      <c r="D1482" s="3" t="inlineStr">
        <is>
          <t>S69</t>
        </is>
      </c>
      <c r="E1482" s="3" t="inlineStr">
        <is>
          <t>Bloqueia até aceite; sequência conservadora dentro do sprint</t>
        </is>
      </c>
    </row>
    <row r="1483" ht="28" customHeight="1">
      <c r="A1483" s="3" t="inlineStr">
        <is>
          <t>SL-S69-07</t>
        </is>
      </c>
      <c r="B1483" s="3" t="inlineStr">
        <is>
          <t>SL-S69-GATE</t>
        </is>
      </c>
      <c r="C1483" s="3" t="inlineStr">
        <is>
          <t>S69</t>
        </is>
      </c>
      <c r="D1483" s="3" t="inlineStr">
        <is>
          <t>S69</t>
        </is>
      </c>
      <c r="E1483" s="3" t="inlineStr">
        <is>
          <t>Bloqueia até aceite; sequência conservadora dentro do sprint</t>
        </is>
      </c>
    </row>
    <row r="1484" ht="28" customHeight="1">
      <c r="A1484" s="3" t="inlineStr">
        <is>
          <t>SL-S69-08</t>
        </is>
      </c>
      <c r="B1484" s="3" t="inlineStr">
        <is>
          <t>SL-S69-GATE</t>
        </is>
      </c>
      <c r="C1484" s="3" t="inlineStr">
        <is>
          <t>S69</t>
        </is>
      </c>
      <c r="D1484" s="3" t="inlineStr">
        <is>
          <t>S69</t>
        </is>
      </c>
      <c r="E1484" s="3" t="inlineStr">
        <is>
          <t>Bloqueia até aceite; sequência conservadora dentro do sprint</t>
        </is>
      </c>
    </row>
    <row r="1485" ht="28" customHeight="1">
      <c r="A1485" s="3" t="inlineStr">
        <is>
          <t>SL-S69-09</t>
        </is>
      </c>
      <c r="B1485" s="3" t="inlineStr">
        <is>
          <t>SL-S69-GATE</t>
        </is>
      </c>
      <c r="C1485" s="3" t="inlineStr">
        <is>
          <t>S69</t>
        </is>
      </c>
      <c r="D1485" s="3" t="inlineStr">
        <is>
          <t>S69</t>
        </is>
      </c>
      <c r="E1485" s="3" t="inlineStr">
        <is>
          <t>Bloqueia até aceite; sequência conservadora dentro do sprint</t>
        </is>
      </c>
    </row>
    <row r="1486" ht="28" customHeight="1">
      <c r="A1486" s="3" t="inlineStr">
        <is>
          <t>SL-S69-10</t>
        </is>
      </c>
      <c r="B1486" s="3" t="inlineStr">
        <is>
          <t>SL-S69-GATE</t>
        </is>
      </c>
      <c r="C1486" s="3" t="inlineStr">
        <is>
          <t>S69</t>
        </is>
      </c>
      <c r="D1486" s="3" t="inlineStr">
        <is>
          <t>S69</t>
        </is>
      </c>
      <c r="E1486" s="3" t="inlineStr">
        <is>
          <t>Bloqueia até aceite; sequência conservadora dentro do sprint</t>
        </is>
      </c>
    </row>
    <row r="1487" ht="28" customHeight="1">
      <c r="A1487" s="3" t="inlineStr">
        <is>
          <t>SL-S68-GATE</t>
        </is>
      </c>
      <c r="B1487" s="3" t="inlineStr">
        <is>
          <t>SL-S70-01</t>
        </is>
      </c>
      <c r="C1487" s="3" t="inlineStr">
        <is>
          <t>S68</t>
        </is>
      </c>
      <c r="D1487" s="3" t="inlineStr">
        <is>
          <t>S70</t>
        </is>
      </c>
      <c r="E1487" s="3" t="inlineStr">
        <is>
          <t>Bloqueia até aceite; sequência conservadora dentro do sprint</t>
        </is>
      </c>
    </row>
    <row r="1488" ht="28" customHeight="1">
      <c r="A1488" s="3" t="inlineStr">
        <is>
          <t>SL-S69-GATE</t>
        </is>
      </c>
      <c r="B1488" s="3" t="inlineStr">
        <is>
          <t>SL-S70-01</t>
        </is>
      </c>
      <c r="C1488" s="3" t="inlineStr">
        <is>
          <t>S69</t>
        </is>
      </c>
      <c r="D1488" s="3" t="inlineStr">
        <is>
          <t>S70</t>
        </is>
      </c>
      <c r="E1488" s="3" t="inlineStr">
        <is>
          <t>Bloqueia até aceite; sequência conservadora dentro do sprint</t>
        </is>
      </c>
    </row>
    <row r="1489" ht="28" customHeight="1">
      <c r="A1489" s="3" t="inlineStr">
        <is>
          <t>SL-S70-01</t>
        </is>
      </c>
      <c r="B1489" s="3" t="inlineStr">
        <is>
          <t>SL-S70-02</t>
        </is>
      </c>
      <c r="C1489" s="3" t="inlineStr">
        <is>
          <t>S70</t>
        </is>
      </c>
      <c r="D1489" s="3" t="inlineStr">
        <is>
          <t>S70</t>
        </is>
      </c>
      <c r="E1489" s="3" t="inlineStr">
        <is>
          <t>Bloqueia até aceite; sequência conservadora dentro do sprint</t>
        </is>
      </c>
    </row>
    <row r="1490" ht="28" customHeight="1">
      <c r="A1490" s="3" t="inlineStr">
        <is>
          <t>SL-S70-02</t>
        </is>
      </c>
      <c r="B1490" s="3" t="inlineStr">
        <is>
          <t>SL-S70-03</t>
        </is>
      </c>
      <c r="C1490" s="3" t="inlineStr">
        <is>
          <t>S70</t>
        </is>
      </c>
      <c r="D1490" s="3" t="inlineStr">
        <is>
          <t>S70</t>
        </is>
      </c>
      <c r="E1490" s="3" t="inlineStr">
        <is>
          <t>Bloqueia até aceite; sequência conservadora dentro do sprint</t>
        </is>
      </c>
    </row>
    <row r="1491" ht="28" customHeight="1">
      <c r="A1491" s="3" t="inlineStr">
        <is>
          <t>SL-S70-03</t>
        </is>
      </c>
      <c r="B1491" s="3" t="inlineStr">
        <is>
          <t>SL-S70-04</t>
        </is>
      </c>
      <c r="C1491" s="3" t="inlineStr">
        <is>
          <t>S70</t>
        </is>
      </c>
      <c r="D1491" s="3" t="inlineStr">
        <is>
          <t>S70</t>
        </is>
      </c>
      <c r="E1491" s="3" t="inlineStr">
        <is>
          <t>Bloqueia até aceite; sequência conservadora dentro do sprint</t>
        </is>
      </c>
    </row>
    <row r="1492" ht="28" customHeight="1">
      <c r="A1492" s="3" t="inlineStr">
        <is>
          <t>SL-S70-04</t>
        </is>
      </c>
      <c r="B1492" s="3" t="inlineStr">
        <is>
          <t>SL-S70-05</t>
        </is>
      </c>
      <c r="C1492" s="3" t="inlineStr">
        <is>
          <t>S70</t>
        </is>
      </c>
      <c r="D1492" s="3" t="inlineStr">
        <is>
          <t>S70</t>
        </is>
      </c>
      <c r="E1492" s="3" t="inlineStr">
        <is>
          <t>Bloqueia até aceite; sequência conservadora dentro do sprint</t>
        </is>
      </c>
    </row>
    <row r="1493" ht="28" customHeight="1">
      <c r="A1493" s="3" t="inlineStr">
        <is>
          <t>SL-S70-05</t>
        </is>
      </c>
      <c r="B1493" s="3" t="inlineStr">
        <is>
          <t>SL-S70-06</t>
        </is>
      </c>
      <c r="C1493" s="3" t="inlineStr">
        <is>
          <t>S70</t>
        </is>
      </c>
      <c r="D1493" s="3" t="inlineStr">
        <is>
          <t>S70</t>
        </is>
      </c>
      <c r="E1493" s="3" t="inlineStr">
        <is>
          <t>Bloqueia até aceite; sequência conservadora dentro do sprint</t>
        </is>
      </c>
    </row>
    <row r="1494" ht="28" customHeight="1">
      <c r="A1494" s="3" t="inlineStr">
        <is>
          <t>SL-S70-06</t>
        </is>
      </c>
      <c r="B1494" s="3" t="inlineStr">
        <is>
          <t>SL-S70-07</t>
        </is>
      </c>
      <c r="C1494" s="3" t="inlineStr">
        <is>
          <t>S70</t>
        </is>
      </c>
      <c r="D1494" s="3" t="inlineStr">
        <is>
          <t>S70</t>
        </is>
      </c>
      <c r="E1494" s="3" t="inlineStr">
        <is>
          <t>Bloqueia até aceite; sequência conservadora dentro do sprint</t>
        </is>
      </c>
    </row>
    <row r="1495" ht="28" customHeight="1">
      <c r="A1495" s="3" t="inlineStr">
        <is>
          <t>SL-S70-07</t>
        </is>
      </c>
      <c r="B1495" s="3" t="inlineStr">
        <is>
          <t>SL-S70-08</t>
        </is>
      </c>
      <c r="C1495" s="3" t="inlineStr">
        <is>
          <t>S70</t>
        </is>
      </c>
      <c r="D1495" s="3" t="inlineStr">
        <is>
          <t>S70</t>
        </is>
      </c>
      <c r="E1495" s="3" t="inlineStr">
        <is>
          <t>Bloqueia até aceite; sequência conservadora dentro do sprint</t>
        </is>
      </c>
    </row>
    <row r="1496" ht="28" customHeight="1">
      <c r="A1496" s="3" t="inlineStr">
        <is>
          <t>SL-S70-08</t>
        </is>
      </c>
      <c r="B1496" s="3" t="inlineStr">
        <is>
          <t>SL-S70-09</t>
        </is>
      </c>
      <c r="C1496" s="3" t="inlineStr">
        <is>
          <t>S70</t>
        </is>
      </c>
      <c r="D1496" s="3" t="inlineStr">
        <is>
          <t>S70</t>
        </is>
      </c>
      <c r="E1496" s="3" t="inlineStr">
        <is>
          <t>Bloqueia até aceite; sequência conservadora dentro do sprint</t>
        </is>
      </c>
    </row>
    <row r="1497" ht="28" customHeight="1">
      <c r="A1497" s="3" t="inlineStr">
        <is>
          <t>SL-S70-09</t>
        </is>
      </c>
      <c r="B1497" s="3" t="inlineStr">
        <is>
          <t>SL-S70-10</t>
        </is>
      </c>
      <c r="C1497" s="3" t="inlineStr">
        <is>
          <t>S70</t>
        </is>
      </c>
      <c r="D1497" s="3" t="inlineStr">
        <is>
          <t>S70</t>
        </is>
      </c>
      <c r="E1497" s="3" t="inlineStr">
        <is>
          <t>Bloqueia até aceite; sequência conservadora dentro do sprint</t>
        </is>
      </c>
    </row>
    <row r="1498" ht="28" customHeight="1">
      <c r="A1498" s="3" t="inlineStr">
        <is>
          <t>SL-S70-01</t>
        </is>
      </c>
      <c r="B1498" s="3" t="inlineStr">
        <is>
          <t>SL-S70-GATE</t>
        </is>
      </c>
      <c r="C1498" s="3" t="inlineStr">
        <is>
          <t>S70</t>
        </is>
      </c>
      <c r="D1498" s="3" t="inlineStr">
        <is>
          <t>S70</t>
        </is>
      </c>
      <c r="E1498" s="3" t="inlineStr">
        <is>
          <t>Bloqueia até aceite; sequência conservadora dentro do sprint</t>
        </is>
      </c>
    </row>
    <row r="1499" ht="28" customHeight="1">
      <c r="A1499" s="3" t="inlineStr">
        <is>
          <t>SL-S70-02</t>
        </is>
      </c>
      <c r="B1499" s="3" t="inlineStr">
        <is>
          <t>SL-S70-GATE</t>
        </is>
      </c>
      <c r="C1499" s="3" t="inlineStr">
        <is>
          <t>S70</t>
        </is>
      </c>
      <c r="D1499" s="3" t="inlineStr">
        <is>
          <t>S70</t>
        </is>
      </c>
      <c r="E1499" s="3" t="inlineStr">
        <is>
          <t>Bloqueia até aceite; sequência conservadora dentro do sprint</t>
        </is>
      </c>
    </row>
    <row r="1500" ht="28" customHeight="1">
      <c r="A1500" s="3" t="inlineStr">
        <is>
          <t>SL-S70-03</t>
        </is>
      </c>
      <c r="B1500" s="3" t="inlineStr">
        <is>
          <t>SL-S70-GATE</t>
        </is>
      </c>
      <c r="C1500" s="3" t="inlineStr">
        <is>
          <t>S70</t>
        </is>
      </c>
      <c r="D1500" s="3" t="inlineStr">
        <is>
          <t>S70</t>
        </is>
      </c>
      <c r="E1500" s="3" t="inlineStr">
        <is>
          <t>Bloqueia até aceite; sequência conservadora dentro do sprint</t>
        </is>
      </c>
    </row>
    <row r="1501" ht="28" customHeight="1">
      <c r="A1501" s="3" t="inlineStr">
        <is>
          <t>SL-S70-04</t>
        </is>
      </c>
      <c r="B1501" s="3" t="inlineStr">
        <is>
          <t>SL-S70-GATE</t>
        </is>
      </c>
      <c r="C1501" s="3" t="inlineStr">
        <is>
          <t>S70</t>
        </is>
      </c>
      <c r="D1501" s="3" t="inlineStr">
        <is>
          <t>S70</t>
        </is>
      </c>
      <c r="E1501" s="3" t="inlineStr">
        <is>
          <t>Bloqueia até aceite; sequência conservadora dentro do sprint</t>
        </is>
      </c>
    </row>
    <row r="1502" ht="28" customHeight="1">
      <c r="A1502" s="3" t="inlineStr">
        <is>
          <t>SL-S70-05</t>
        </is>
      </c>
      <c r="B1502" s="3" t="inlineStr">
        <is>
          <t>SL-S70-GATE</t>
        </is>
      </c>
      <c r="C1502" s="3" t="inlineStr">
        <is>
          <t>S70</t>
        </is>
      </c>
      <c r="D1502" s="3" t="inlineStr">
        <is>
          <t>S70</t>
        </is>
      </c>
      <c r="E1502" s="3" t="inlineStr">
        <is>
          <t>Bloqueia até aceite; sequência conservadora dentro do sprint</t>
        </is>
      </c>
    </row>
    <row r="1503" ht="28" customHeight="1">
      <c r="A1503" s="3" t="inlineStr">
        <is>
          <t>SL-S70-06</t>
        </is>
      </c>
      <c r="B1503" s="3" t="inlineStr">
        <is>
          <t>SL-S70-GATE</t>
        </is>
      </c>
      <c r="C1503" s="3" t="inlineStr">
        <is>
          <t>S70</t>
        </is>
      </c>
      <c r="D1503" s="3" t="inlineStr">
        <is>
          <t>S70</t>
        </is>
      </c>
      <c r="E1503" s="3" t="inlineStr">
        <is>
          <t>Bloqueia até aceite; sequência conservadora dentro do sprint</t>
        </is>
      </c>
    </row>
    <row r="1504" ht="28" customHeight="1">
      <c r="A1504" s="3" t="inlineStr">
        <is>
          <t>SL-S70-07</t>
        </is>
      </c>
      <c r="B1504" s="3" t="inlineStr">
        <is>
          <t>SL-S70-GATE</t>
        </is>
      </c>
      <c r="C1504" s="3" t="inlineStr">
        <is>
          <t>S70</t>
        </is>
      </c>
      <c r="D1504" s="3" t="inlineStr">
        <is>
          <t>S70</t>
        </is>
      </c>
      <c r="E1504" s="3" t="inlineStr">
        <is>
          <t>Bloqueia até aceite; sequência conservadora dentro do sprint</t>
        </is>
      </c>
    </row>
    <row r="1505" ht="28" customHeight="1">
      <c r="A1505" s="3" t="inlineStr">
        <is>
          <t>SL-S70-08</t>
        </is>
      </c>
      <c r="B1505" s="3" t="inlineStr">
        <is>
          <t>SL-S70-GATE</t>
        </is>
      </c>
      <c r="C1505" s="3" t="inlineStr">
        <is>
          <t>S70</t>
        </is>
      </c>
      <c r="D1505" s="3" t="inlineStr">
        <is>
          <t>S70</t>
        </is>
      </c>
      <c r="E1505" s="3" t="inlineStr">
        <is>
          <t>Bloqueia até aceite; sequência conservadora dentro do sprint</t>
        </is>
      </c>
    </row>
    <row r="1506" ht="28" customHeight="1">
      <c r="A1506" s="3" t="inlineStr">
        <is>
          <t>SL-S70-09</t>
        </is>
      </c>
      <c r="B1506" s="3" t="inlineStr">
        <is>
          <t>SL-S70-GATE</t>
        </is>
      </c>
      <c r="C1506" s="3" t="inlineStr">
        <is>
          <t>S70</t>
        </is>
      </c>
      <c r="D1506" s="3" t="inlineStr">
        <is>
          <t>S70</t>
        </is>
      </c>
      <c r="E1506" s="3" t="inlineStr">
        <is>
          <t>Bloqueia até aceite; sequência conservadora dentro do sprint</t>
        </is>
      </c>
    </row>
    <row r="1507" ht="28" customHeight="1">
      <c r="A1507" s="3" t="inlineStr">
        <is>
          <t>SL-S70-10</t>
        </is>
      </c>
      <c r="B1507" s="3" t="inlineStr">
        <is>
          <t>SL-S70-GATE</t>
        </is>
      </c>
      <c r="C1507" s="3" t="inlineStr">
        <is>
          <t>S70</t>
        </is>
      </c>
      <c r="D1507" s="3" t="inlineStr">
        <is>
          <t>S70</t>
        </is>
      </c>
      <c r="E1507" s="3" t="inlineStr">
        <is>
          <t>Bloqueia até aceite; sequência conservadora dentro do sprint</t>
        </is>
      </c>
    </row>
    <row r="1508" ht="28" customHeight="1">
      <c r="A1508" s="3" t="inlineStr">
        <is>
          <t>SL-S70-GATE</t>
        </is>
      </c>
      <c r="B1508" s="3" t="inlineStr">
        <is>
          <t>SL-S71-01</t>
        </is>
      </c>
      <c r="C1508" s="3" t="inlineStr">
        <is>
          <t>S70</t>
        </is>
      </c>
      <c r="D1508" s="3" t="inlineStr">
        <is>
          <t>S71</t>
        </is>
      </c>
      <c r="E1508" s="3" t="inlineStr">
        <is>
          <t>Bloqueia até aceite; sequência conservadora dentro do sprint</t>
        </is>
      </c>
    </row>
    <row r="1509" ht="28" customHeight="1">
      <c r="A1509" s="3" t="inlineStr">
        <is>
          <t>SL-S71-01</t>
        </is>
      </c>
      <c r="B1509" s="3" t="inlineStr">
        <is>
          <t>SL-S71-02</t>
        </is>
      </c>
      <c r="C1509" s="3" t="inlineStr">
        <is>
          <t>S71</t>
        </is>
      </c>
      <c r="D1509" s="3" t="inlineStr">
        <is>
          <t>S71</t>
        </is>
      </c>
      <c r="E1509" s="3" t="inlineStr">
        <is>
          <t>Bloqueia até aceite; sequência conservadora dentro do sprint</t>
        </is>
      </c>
    </row>
    <row r="1510" ht="28" customHeight="1">
      <c r="A1510" s="3" t="inlineStr">
        <is>
          <t>SL-S71-02</t>
        </is>
      </c>
      <c r="B1510" s="3" t="inlineStr">
        <is>
          <t>SL-S71-03</t>
        </is>
      </c>
      <c r="C1510" s="3" t="inlineStr">
        <is>
          <t>S71</t>
        </is>
      </c>
      <c r="D1510" s="3" t="inlineStr">
        <is>
          <t>S71</t>
        </is>
      </c>
      <c r="E1510" s="3" t="inlineStr">
        <is>
          <t>Bloqueia até aceite; sequência conservadora dentro do sprint</t>
        </is>
      </c>
    </row>
    <row r="1511" ht="28" customHeight="1">
      <c r="A1511" s="3" t="inlineStr">
        <is>
          <t>SL-S71-03</t>
        </is>
      </c>
      <c r="B1511" s="3" t="inlineStr">
        <is>
          <t>SL-S71-04</t>
        </is>
      </c>
      <c r="C1511" s="3" t="inlineStr">
        <is>
          <t>S71</t>
        </is>
      </c>
      <c r="D1511" s="3" t="inlineStr">
        <is>
          <t>S71</t>
        </is>
      </c>
      <c r="E1511" s="3" t="inlineStr">
        <is>
          <t>Bloqueia até aceite; sequência conservadora dentro do sprint</t>
        </is>
      </c>
    </row>
    <row r="1512" ht="28" customHeight="1">
      <c r="A1512" s="3" t="inlineStr">
        <is>
          <t>SL-S71-04</t>
        </is>
      </c>
      <c r="B1512" s="3" t="inlineStr">
        <is>
          <t>SL-S71-05</t>
        </is>
      </c>
      <c r="C1512" s="3" t="inlineStr">
        <is>
          <t>S71</t>
        </is>
      </c>
      <c r="D1512" s="3" t="inlineStr">
        <is>
          <t>S71</t>
        </is>
      </c>
      <c r="E1512" s="3" t="inlineStr">
        <is>
          <t>Bloqueia até aceite; sequência conservadora dentro do sprint</t>
        </is>
      </c>
    </row>
    <row r="1513" ht="28" customHeight="1">
      <c r="A1513" s="3" t="inlineStr">
        <is>
          <t>SL-S71-05</t>
        </is>
      </c>
      <c r="B1513" s="3" t="inlineStr">
        <is>
          <t>SL-S71-06</t>
        </is>
      </c>
      <c r="C1513" s="3" t="inlineStr">
        <is>
          <t>S71</t>
        </is>
      </c>
      <c r="D1513" s="3" t="inlineStr">
        <is>
          <t>S71</t>
        </is>
      </c>
      <c r="E1513" s="3" t="inlineStr">
        <is>
          <t>Bloqueia até aceite; sequência conservadora dentro do sprint</t>
        </is>
      </c>
    </row>
    <row r="1514" ht="28" customHeight="1">
      <c r="A1514" s="3" t="inlineStr">
        <is>
          <t>SL-S71-06</t>
        </is>
      </c>
      <c r="B1514" s="3" t="inlineStr">
        <is>
          <t>SL-S71-07</t>
        </is>
      </c>
      <c r="C1514" s="3" t="inlineStr">
        <is>
          <t>S71</t>
        </is>
      </c>
      <c r="D1514" s="3" t="inlineStr">
        <is>
          <t>S71</t>
        </is>
      </c>
      <c r="E1514" s="3" t="inlineStr">
        <is>
          <t>Bloqueia até aceite; sequência conservadora dentro do sprint</t>
        </is>
      </c>
    </row>
    <row r="1515" ht="28" customHeight="1">
      <c r="A1515" s="3" t="inlineStr">
        <is>
          <t>SL-S71-07</t>
        </is>
      </c>
      <c r="B1515" s="3" t="inlineStr">
        <is>
          <t>SL-S71-08</t>
        </is>
      </c>
      <c r="C1515" s="3" t="inlineStr">
        <is>
          <t>S71</t>
        </is>
      </c>
      <c r="D1515" s="3" t="inlineStr">
        <is>
          <t>S71</t>
        </is>
      </c>
      <c r="E1515" s="3" t="inlineStr">
        <is>
          <t>Bloqueia até aceite; sequência conservadora dentro do sprint</t>
        </is>
      </c>
    </row>
    <row r="1516" ht="28" customHeight="1">
      <c r="A1516" s="3" t="inlineStr">
        <is>
          <t>SL-S71-08</t>
        </is>
      </c>
      <c r="B1516" s="3" t="inlineStr">
        <is>
          <t>SL-S71-09</t>
        </is>
      </c>
      <c r="C1516" s="3" t="inlineStr">
        <is>
          <t>S71</t>
        </is>
      </c>
      <c r="D1516" s="3" t="inlineStr">
        <is>
          <t>S71</t>
        </is>
      </c>
      <c r="E1516" s="3" t="inlineStr">
        <is>
          <t>Bloqueia até aceite; sequência conservadora dentro do sprint</t>
        </is>
      </c>
    </row>
    <row r="1517" ht="28" customHeight="1">
      <c r="A1517" s="3" t="inlineStr">
        <is>
          <t>SL-S71-09</t>
        </is>
      </c>
      <c r="B1517" s="3" t="inlineStr">
        <is>
          <t>SL-S71-10</t>
        </is>
      </c>
      <c r="C1517" s="3" t="inlineStr">
        <is>
          <t>S71</t>
        </is>
      </c>
      <c r="D1517" s="3" t="inlineStr">
        <is>
          <t>S71</t>
        </is>
      </c>
      <c r="E1517" s="3" t="inlineStr">
        <is>
          <t>Bloqueia até aceite; sequência conservadora dentro do sprint</t>
        </is>
      </c>
    </row>
    <row r="1518" ht="28" customHeight="1">
      <c r="A1518" s="3" t="inlineStr">
        <is>
          <t>SL-S71-01</t>
        </is>
      </c>
      <c r="B1518" s="3" t="inlineStr">
        <is>
          <t>SL-S71-GATE</t>
        </is>
      </c>
      <c r="C1518" s="3" t="inlineStr">
        <is>
          <t>S71</t>
        </is>
      </c>
      <c r="D1518" s="3" t="inlineStr">
        <is>
          <t>S71</t>
        </is>
      </c>
      <c r="E1518" s="3" t="inlineStr">
        <is>
          <t>Bloqueia até aceite; sequência conservadora dentro do sprint</t>
        </is>
      </c>
    </row>
    <row r="1519" ht="28" customHeight="1">
      <c r="A1519" s="3" t="inlineStr">
        <is>
          <t>SL-S71-02</t>
        </is>
      </c>
      <c r="B1519" s="3" t="inlineStr">
        <is>
          <t>SL-S71-GATE</t>
        </is>
      </c>
      <c r="C1519" s="3" t="inlineStr">
        <is>
          <t>S71</t>
        </is>
      </c>
      <c r="D1519" s="3" t="inlineStr">
        <is>
          <t>S71</t>
        </is>
      </c>
      <c r="E1519" s="3" t="inlineStr">
        <is>
          <t>Bloqueia até aceite; sequência conservadora dentro do sprint</t>
        </is>
      </c>
    </row>
    <row r="1520" ht="28" customHeight="1">
      <c r="A1520" s="3" t="inlineStr">
        <is>
          <t>SL-S71-03</t>
        </is>
      </c>
      <c r="B1520" s="3" t="inlineStr">
        <is>
          <t>SL-S71-GATE</t>
        </is>
      </c>
      <c r="C1520" s="3" t="inlineStr">
        <is>
          <t>S71</t>
        </is>
      </c>
      <c r="D1520" s="3" t="inlineStr">
        <is>
          <t>S71</t>
        </is>
      </c>
      <c r="E1520" s="3" t="inlineStr">
        <is>
          <t>Bloqueia até aceite; sequência conservadora dentro do sprint</t>
        </is>
      </c>
    </row>
    <row r="1521" ht="28" customHeight="1">
      <c r="A1521" s="3" t="inlineStr">
        <is>
          <t>SL-S71-04</t>
        </is>
      </c>
      <c r="B1521" s="3" t="inlineStr">
        <is>
          <t>SL-S71-GATE</t>
        </is>
      </c>
      <c r="C1521" s="3" t="inlineStr">
        <is>
          <t>S71</t>
        </is>
      </c>
      <c r="D1521" s="3" t="inlineStr">
        <is>
          <t>S71</t>
        </is>
      </c>
      <c r="E1521" s="3" t="inlineStr">
        <is>
          <t>Bloqueia até aceite; sequência conservadora dentro do sprint</t>
        </is>
      </c>
    </row>
    <row r="1522" ht="28" customHeight="1">
      <c r="A1522" s="3" t="inlineStr">
        <is>
          <t>SL-S71-05</t>
        </is>
      </c>
      <c r="B1522" s="3" t="inlineStr">
        <is>
          <t>SL-S71-GATE</t>
        </is>
      </c>
      <c r="C1522" s="3" t="inlineStr">
        <is>
          <t>S71</t>
        </is>
      </c>
      <c r="D1522" s="3" t="inlineStr">
        <is>
          <t>S71</t>
        </is>
      </c>
      <c r="E1522" s="3" t="inlineStr">
        <is>
          <t>Bloqueia até aceite; sequência conservadora dentro do sprint</t>
        </is>
      </c>
    </row>
    <row r="1523" ht="28" customHeight="1">
      <c r="A1523" s="3" t="inlineStr">
        <is>
          <t>SL-S71-06</t>
        </is>
      </c>
      <c r="B1523" s="3" t="inlineStr">
        <is>
          <t>SL-S71-GATE</t>
        </is>
      </c>
      <c r="C1523" s="3" t="inlineStr">
        <is>
          <t>S71</t>
        </is>
      </c>
      <c r="D1523" s="3" t="inlineStr">
        <is>
          <t>S71</t>
        </is>
      </c>
      <c r="E1523" s="3" t="inlineStr">
        <is>
          <t>Bloqueia até aceite; sequência conservadora dentro do sprint</t>
        </is>
      </c>
    </row>
    <row r="1524" ht="28" customHeight="1">
      <c r="A1524" s="3" t="inlineStr">
        <is>
          <t>SL-S71-07</t>
        </is>
      </c>
      <c r="B1524" s="3" t="inlineStr">
        <is>
          <t>SL-S71-GATE</t>
        </is>
      </c>
      <c r="C1524" s="3" t="inlineStr">
        <is>
          <t>S71</t>
        </is>
      </c>
      <c r="D1524" s="3" t="inlineStr">
        <is>
          <t>S71</t>
        </is>
      </c>
      <c r="E1524" s="3" t="inlineStr">
        <is>
          <t>Bloqueia até aceite; sequência conservadora dentro do sprint</t>
        </is>
      </c>
    </row>
    <row r="1525" ht="28" customHeight="1">
      <c r="A1525" s="3" t="inlineStr">
        <is>
          <t>SL-S71-08</t>
        </is>
      </c>
      <c r="B1525" s="3" t="inlineStr">
        <is>
          <t>SL-S71-GATE</t>
        </is>
      </c>
      <c r="C1525" s="3" t="inlineStr">
        <is>
          <t>S71</t>
        </is>
      </c>
      <c r="D1525" s="3" t="inlineStr">
        <is>
          <t>S71</t>
        </is>
      </c>
      <c r="E1525" s="3" t="inlineStr">
        <is>
          <t>Bloqueia até aceite; sequência conservadora dentro do sprint</t>
        </is>
      </c>
    </row>
    <row r="1526" ht="28" customHeight="1">
      <c r="A1526" s="3" t="inlineStr">
        <is>
          <t>SL-S71-09</t>
        </is>
      </c>
      <c r="B1526" s="3" t="inlineStr">
        <is>
          <t>SL-S71-GATE</t>
        </is>
      </c>
      <c r="C1526" s="3" t="inlineStr">
        <is>
          <t>S71</t>
        </is>
      </c>
      <c r="D1526" s="3" t="inlineStr">
        <is>
          <t>S71</t>
        </is>
      </c>
      <c r="E1526" s="3" t="inlineStr">
        <is>
          <t>Bloqueia até aceite; sequência conservadora dentro do sprint</t>
        </is>
      </c>
    </row>
    <row r="1527" ht="28" customHeight="1">
      <c r="A1527" s="3" t="inlineStr">
        <is>
          <t>SL-S71-10</t>
        </is>
      </c>
      <c r="B1527" s="3" t="inlineStr">
        <is>
          <t>SL-S71-GATE</t>
        </is>
      </c>
      <c r="C1527" s="3" t="inlineStr">
        <is>
          <t>S71</t>
        </is>
      </c>
      <c r="D1527" s="3" t="inlineStr">
        <is>
          <t>S71</t>
        </is>
      </c>
      <c r="E1527" s="3" t="inlineStr">
        <is>
          <t>Bloqueia até aceite; sequência conservadora dentro do sprint</t>
        </is>
      </c>
    </row>
    <row r="1528" ht="28" customHeight="1">
      <c r="A1528" s="3" t="inlineStr">
        <is>
          <t>SL-S71-GATE</t>
        </is>
      </c>
      <c r="B1528" s="3" t="inlineStr">
        <is>
          <t>SL-S72-01</t>
        </is>
      </c>
      <c r="C1528" s="3" t="inlineStr">
        <is>
          <t>S71</t>
        </is>
      </c>
      <c r="D1528" s="3" t="inlineStr">
        <is>
          <t>S72</t>
        </is>
      </c>
      <c r="E1528" s="3" t="inlineStr">
        <is>
          <t>Bloqueia até aceite; sequência conservadora dentro do sprint</t>
        </is>
      </c>
    </row>
    <row r="1529" ht="28" customHeight="1">
      <c r="A1529" s="3" t="inlineStr">
        <is>
          <t>SL-S72-01</t>
        </is>
      </c>
      <c r="B1529" s="3" t="inlineStr">
        <is>
          <t>SL-S72-02</t>
        </is>
      </c>
      <c r="C1529" s="3" t="inlineStr">
        <is>
          <t>S72</t>
        </is>
      </c>
      <c r="D1529" s="3" t="inlineStr">
        <is>
          <t>S72</t>
        </is>
      </c>
      <c r="E1529" s="3" t="inlineStr">
        <is>
          <t>Bloqueia até aceite; sequência conservadora dentro do sprint</t>
        </is>
      </c>
    </row>
    <row r="1530" ht="28" customHeight="1">
      <c r="A1530" s="3" t="inlineStr">
        <is>
          <t>SL-S72-02</t>
        </is>
      </c>
      <c r="B1530" s="3" t="inlineStr">
        <is>
          <t>SL-S72-03</t>
        </is>
      </c>
      <c r="C1530" s="3" t="inlineStr">
        <is>
          <t>S72</t>
        </is>
      </c>
      <c r="D1530" s="3" t="inlineStr">
        <is>
          <t>S72</t>
        </is>
      </c>
      <c r="E1530" s="3" t="inlineStr">
        <is>
          <t>Bloqueia até aceite; sequência conservadora dentro do sprint</t>
        </is>
      </c>
    </row>
    <row r="1531" ht="28" customHeight="1">
      <c r="A1531" s="3" t="inlineStr">
        <is>
          <t>SL-S72-03</t>
        </is>
      </c>
      <c r="B1531" s="3" t="inlineStr">
        <is>
          <t>SL-S72-04</t>
        </is>
      </c>
      <c r="C1531" s="3" t="inlineStr">
        <is>
          <t>S72</t>
        </is>
      </c>
      <c r="D1531" s="3" t="inlineStr">
        <is>
          <t>S72</t>
        </is>
      </c>
      <c r="E1531" s="3" t="inlineStr">
        <is>
          <t>Bloqueia até aceite; sequência conservadora dentro do sprint</t>
        </is>
      </c>
    </row>
    <row r="1532" ht="28" customHeight="1">
      <c r="A1532" s="3" t="inlineStr">
        <is>
          <t>SL-S72-04</t>
        </is>
      </c>
      <c r="B1532" s="3" t="inlineStr">
        <is>
          <t>SL-S72-05</t>
        </is>
      </c>
      <c r="C1532" s="3" t="inlineStr">
        <is>
          <t>S72</t>
        </is>
      </c>
      <c r="D1532" s="3" t="inlineStr">
        <is>
          <t>S72</t>
        </is>
      </c>
      <c r="E1532" s="3" t="inlineStr">
        <is>
          <t>Bloqueia até aceite; sequência conservadora dentro do sprint</t>
        </is>
      </c>
    </row>
    <row r="1533" ht="28" customHeight="1">
      <c r="A1533" s="3" t="inlineStr">
        <is>
          <t>SL-S72-05</t>
        </is>
      </c>
      <c r="B1533" s="3" t="inlineStr">
        <is>
          <t>SL-S72-06</t>
        </is>
      </c>
      <c r="C1533" s="3" t="inlineStr">
        <is>
          <t>S72</t>
        </is>
      </c>
      <c r="D1533" s="3" t="inlineStr">
        <is>
          <t>S72</t>
        </is>
      </c>
      <c r="E1533" s="3" t="inlineStr">
        <is>
          <t>Bloqueia até aceite; sequência conservadora dentro do sprint</t>
        </is>
      </c>
    </row>
    <row r="1534" ht="28" customHeight="1">
      <c r="A1534" s="3" t="inlineStr">
        <is>
          <t>SL-S72-06</t>
        </is>
      </c>
      <c r="B1534" s="3" t="inlineStr">
        <is>
          <t>SL-S72-07</t>
        </is>
      </c>
      <c r="C1534" s="3" t="inlineStr">
        <is>
          <t>S72</t>
        </is>
      </c>
      <c r="D1534" s="3" t="inlineStr">
        <is>
          <t>S72</t>
        </is>
      </c>
      <c r="E1534" s="3" t="inlineStr">
        <is>
          <t>Bloqueia até aceite; sequência conservadora dentro do sprint</t>
        </is>
      </c>
    </row>
    <row r="1535" ht="28" customHeight="1">
      <c r="A1535" s="3" t="inlineStr">
        <is>
          <t>SL-S72-07</t>
        </is>
      </c>
      <c r="B1535" s="3" t="inlineStr">
        <is>
          <t>SL-S72-08</t>
        </is>
      </c>
      <c r="C1535" s="3" t="inlineStr">
        <is>
          <t>S72</t>
        </is>
      </c>
      <c r="D1535" s="3" t="inlineStr">
        <is>
          <t>S72</t>
        </is>
      </c>
      <c r="E1535" s="3" t="inlineStr">
        <is>
          <t>Bloqueia até aceite; sequência conservadora dentro do sprint</t>
        </is>
      </c>
    </row>
    <row r="1536" ht="28" customHeight="1">
      <c r="A1536" s="3" t="inlineStr">
        <is>
          <t>SL-S72-08</t>
        </is>
      </c>
      <c r="B1536" s="3" t="inlineStr">
        <is>
          <t>SL-S72-09</t>
        </is>
      </c>
      <c r="C1536" s="3" t="inlineStr">
        <is>
          <t>S72</t>
        </is>
      </c>
      <c r="D1536" s="3" t="inlineStr">
        <is>
          <t>S72</t>
        </is>
      </c>
      <c r="E1536" s="3" t="inlineStr">
        <is>
          <t>Bloqueia até aceite; sequência conservadora dentro do sprint</t>
        </is>
      </c>
    </row>
    <row r="1537" ht="28" customHeight="1">
      <c r="A1537" s="3" t="inlineStr">
        <is>
          <t>SL-S72-09</t>
        </is>
      </c>
      <c r="B1537" s="3" t="inlineStr">
        <is>
          <t>SL-S72-10</t>
        </is>
      </c>
      <c r="C1537" s="3" t="inlineStr">
        <is>
          <t>S72</t>
        </is>
      </c>
      <c r="D1537" s="3" t="inlineStr">
        <is>
          <t>S72</t>
        </is>
      </c>
      <c r="E1537" s="3" t="inlineStr">
        <is>
          <t>Bloqueia até aceite; sequência conservadora dentro do sprint</t>
        </is>
      </c>
    </row>
    <row r="1538" ht="28" customHeight="1">
      <c r="A1538" s="3" t="inlineStr">
        <is>
          <t>SL-S72-01</t>
        </is>
      </c>
      <c r="B1538" s="3" t="inlineStr">
        <is>
          <t>SL-S72-GATE</t>
        </is>
      </c>
      <c r="C1538" s="3" t="inlineStr">
        <is>
          <t>S72</t>
        </is>
      </c>
      <c r="D1538" s="3" t="inlineStr">
        <is>
          <t>S72</t>
        </is>
      </c>
      <c r="E1538" s="3" t="inlineStr">
        <is>
          <t>Bloqueia até aceite; sequência conservadora dentro do sprint</t>
        </is>
      </c>
    </row>
    <row r="1539" ht="28" customHeight="1">
      <c r="A1539" s="3" t="inlineStr">
        <is>
          <t>SL-S72-02</t>
        </is>
      </c>
      <c r="B1539" s="3" t="inlineStr">
        <is>
          <t>SL-S72-GATE</t>
        </is>
      </c>
      <c r="C1539" s="3" t="inlineStr">
        <is>
          <t>S72</t>
        </is>
      </c>
      <c r="D1539" s="3" t="inlineStr">
        <is>
          <t>S72</t>
        </is>
      </c>
      <c r="E1539" s="3" t="inlineStr">
        <is>
          <t>Bloqueia até aceite; sequência conservadora dentro do sprint</t>
        </is>
      </c>
    </row>
    <row r="1540" ht="28" customHeight="1">
      <c r="A1540" s="3" t="inlineStr">
        <is>
          <t>SL-S72-03</t>
        </is>
      </c>
      <c r="B1540" s="3" t="inlineStr">
        <is>
          <t>SL-S72-GATE</t>
        </is>
      </c>
      <c r="C1540" s="3" t="inlineStr">
        <is>
          <t>S72</t>
        </is>
      </c>
      <c r="D1540" s="3" t="inlineStr">
        <is>
          <t>S72</t>
        </is>
      </c>
      <c r="E1540" s="3" t="inlineStr">
        <is>
          <t>Bloqueia até aceite; sequência conservadora dentro do sprint</t>
        </is>
      </c>
    </row>
    <row r="1541" ht="28" customHeight="1">
      <c r="A1541" s="3" t="inlineStr">
        <is>
          <t>SL-S72-04</t>
        </is>
      </c>
      <c r="B1541" s="3" t="inlineStr">
        <is>
          <t>SL-S72-GATE</t>
        </is>
      </c>
      <c r="C1541" s="3" t="inlineStr">
        <is>
          <t>S72</t>
        </is>
      </c>
      <c r="D1541" s="3" t="inlineStr">
        <is>
          <t>S72</t>
        </is>
      </c>
      <c r="E1541" s="3" t="inlineStr">
        <is>
          <t>Bloqueia até aceite; sequência conservadora dentro do sprint</t>
        </is>
      </c>
    </row>
    <row r="1542" ht="28" customHeight="1">
      <c r="A1542" s="3" t="inlineStr">
        <is>
          <t>SL-S72-05</t>
        </is>
      </c>
      <c r="B1542" s="3" t="inlineStr">
        <is>
          <t>SL-S72-GATE</t>
        </is>
      </c>
      <c r="C1542" s="3" t="inlineStr">
        <is>
          <t>S72</t>
        </is>
      </c>
      <c r="D1542" s="3" t="inlineStr">
        <is>
          <t>S72</t>
        </is>
      </c>
      <c r="E1542" s="3" t="inlineStr">
        <is>
          <t>Bloqueia até aceite; sequência conservadora dentro do sprint</t>
        </is>
      </c>
    </row>
    <row r="1543" ht="28" customHeight="1">
      <c r="A1543" s="3" t="inlineStr">
        <is>
          <t>SL-S72-06</t>
        </is>
      </c>
      <c r="B1543" s="3" t="inlineStr">
        <is>
          <t>SL-S72-GATE</t>
        </is>
      </c>
      <c r="C1543" s="3" t="inlineStr">
        <is>
          <t>S72</t>
        </is>
      </c>
      <c r="D1543" s="3" t="inlineStr">
        <is>
          <t>S72</t>
        </is>
      </c>
      <c r="E1543" s="3" t="inlineStr">
        <is>
          <t>Bloqueia até aceite; sequência conservadora dentro do sprint</t>
        </is>
      </c>
    </row>
    <row r="1544" ht="28" customHeight="1">
      <c r="A1544" s="3" t="inlineStr">
        <is>
          <t>SL-S72-07</t>
        </is>
      </c>
      <c r="B1544" s="3" t="inlineStr">
        <is>
          <t>SL-S72-GATE</t>
        </is>
      </c>
      <c r="C1544" s="3" t="inlineStr">
        <is>
          <t>S72</t>
        </is>
      </c>
      <c r="D1544" s="3" t="inlineStr">
        <is>
          <t>S72</t>
        </is>
      </c>
      <c r="E1544" s="3" t="inlineStr">
        <is>
          <t>Bloqueia até aceite; sequência conservadora dentro do sprint</t>
        </is>
      </c>
    </row>
    <row r="1545" ht="28" customHeight="1">
      <c r="A1545" s="3" t="inlineStr">
        <is>
          <t>SL-S72-08</t>
        </is>
      </c>
      <c r="B1545" s="3" t="inlineStr">
        <is>
          <t>SL-S72-GATE</t>
        </is>
      </c>
      <c r="C1545" s="3" t="inlineStr">
        <is>
          <t>S72</t>
        </is>
      </c>
      <c r="D1545" s="3" t="inlineStr">
        <is>
          <t>S72</t>
        </is>
      </c>
      <c r="E1545" s="3" t="inlineStr">
        <is>
          <t>Bloqueia até aceite; sequência conservadora dentro do sprint</t>
        </is>
      </c>
    </row>
    <row r="1546" ht="28" customHeight="1">
      <c r="A1546" s="3" t="inlineStr">
        <is>
          <t>SL-S72-09</t>
        </is>
      </c>
      <c r="B1546" s="3" t="inlineStr">
        <is>
          <t>SL-S72-GATE</t>
        </is>
      </c>
      <c r="C1546" s="3" t="inlineStr">
        <is>
          <t>S72</t>
        </is>
      </c>
      <c r="D1546" s="3" t="inlineStr">
        <is>
          <t>S72</t>
        </is>
      </c>
      <c r="E1546" s="3" t="inlineStr">
        <is>
          <t>Bloqueia até aceite; sequência conservadora dentro do sprint</t>
        </is>
      </c>
    </row>
    <row r="1547" ht="28" customHeight="1">
      <c r="A1547" s="3" t="inlineStr">
        <is>
          <t>SL-S72-10</t>
        </is>
      </c>
      <c r="B1547" s="3" t="inlineStr">
        <is>
          <t>SL-S72-GATE</t>
        </is>
      </c>
      <c r="C1547" s="3" t="inlineStr">
        <is>
          <t>S72</t>
        </is>
      </c>
      <c r="D1547" s="3" t="inlineStr">
        <is>
          <t>S72</t>
        </is>
      </c>
      <c r="E1547" s="3" t="inlineStr">
        <is>
          <t>Bloqueia até aceite; sequência conservadora dentro do sprint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7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124" customWidth="1" min="4" max="4"/>
    <col width="105" customWidth="1" min="5" max="5"/>
    <col width="50" customWidth="1" min="6" max="6"/>
    <col width="116" customWidth="1" min="7" max="7"/>
  </cols>
  <sheetData>
    <row r="1" ht="34" customHeight="1">
      <c r="A1" s="8" t="inlineStr">
        <is>
          <t>Gate</t>
        </is>
      </c>
      <c r="B1" s="8" t="inlineStr">
        <is>
          <t>Sprint</t>
        </is>
      </c>
      <c r="C1" s="8" t="inlineStr">
        <is>
          <t>Versão</t>
        </is>
      </c>
      <c r="D1" s="8" t="inlineStr">
        <is>
          <t>Demonstração</t>
        </is>
      </c>
      <c r="E1" s="8" t="inlineStr">
        <is>
          <t>Entregável</t>
        </is>
      </c>
      <c r="F1" s="8" t="inlineStr">
        <is>
          <t>Evidência exigida</t>
        </is>
      </c>
      <c r="G1" s="8" t="inlineStr">
        <is>
          <t>Observação</t>
        </is>
      </c>
    </row>
    <row r="2" ht="88" customHeight="1">
      <c r="A2" s="3" t="inlineStr">
        <is>
          <t>SL-S01-GATE</t>
        </is>
      </c>
      <c r="B2" s="3" t="inlineStr">
        <is>
          <t>S01</t>
        </is>
      </c>
      <c r="C2" s="3" t="inlineStr">
        <is>
          <t>v0.0.1</t>
        </is>
      </c>
      <c r="D2" s="3" t="inlineStr">
        <is>
          <t>Autor consegue explicar offline, Jev, workers e cinco alvos sem contradições.</t>
        </is>
      </c>
      <c r="E2" s="3" t="inlineStr">
        <is>
          <t>Escopo v1.0 e registro de decisões iniciais.</t>
        </is>
      </c>
      <c r="F2" s="3" t="inlineStr">
        <is>
          <t>reports/S01/acceptance.md</t>
        </is>
      </c>
      <c r="G2" s="3" t="inlineStr"/>
    </row>
    <row r="3" ht="88" customHeight="1">
      <c r="A3" s="3" t="inlineStr">
        <is>
          <t>SL-S02-GATE</t>
        </is>
      </c>
      <c r="B3" s="3" t="inlineStr">
        <is>
          <t>S02</t>
        </is>
      </c>
      <c r="C3" s="3" t="inlineStr">
        <is>
          <t>v0.0.1</t>
        </is>
      </c>
      <c r="D3" s="3" t="inlineStr">
        <is>
          <t>Fixtures independentes dos motores representam uma mesa e uma Peça completas.</t>
        </is>
      </c>
      <c r="E3" s="3" t="inlineStr">
        <is>
          <t>Schemas v0 do Vault, board, eventos, células e evidências.</t>
        </is>
      </c>
      <c r="F3" s="3" t="inlineStr">
        <is>
          <t>reports/S02/acceptance.md</t>
        </is>
      </c>
      <c r="G3" s="3" t="inlineStr"/>
    </row>
    <row r="4" ht="88" customHeight="1">
      <c r="A4" s="3" t="inlineStr">
        <is>
          <t>SL-S03-GATE</t>
        </is>
      </c>
      <c r="B4" s="3" t="inlineStr">
        <is>
          <t>S03</t>
        </is>
      </c>
      <c r="C4" s="3" t="inlineStr">
        <is>
          <t>v0.0.1</t>
        </is>
      </c>
      <c r="D4" s="3" t="inlineStr">
        <is>
          <t>Cada motor tem origem rastreável, fronteira proposta e decisão de manter/extrair/adaptar.</t>
        </is>
      </c>
      <c r="E4" s="3" t="inlineStr">
        <is>
          <t>Catálogo de componentes e política de manutenção upstream.</t>
        </is>
      </c>
      <c r="F4" s="3" t="inlineStr">
        <is>
          <t>reports/S03/acceptance.md</t>
        </is>
      </c>
      <c r="G4" s="3" t="inlineStr"/>
    </row>
    <row r="5" ht="88" customHeight="1">
      <c r="A5" s="3" t="inlineStr">
        <is>
          <t>SL-S04-GATE</t>
        </is>
      </c>
      <c r="B5" s="3" t="inlineStr">
        <is>
          <t>S04</t>
        </is>
      </c>
      <c r="C5" s="3" t="inlineStr">
        <is>
          <t>v0.0.2</t>
        </is>
      </c>
      <c r="D5" s="3" t="inlineStr">
        <is>
          <t>Um agente implementa uma tarefa isolada e o autor consegue revisar o patch e seus testes.</t>
        </is>
      </c>
      <c r="E5" s="3" t="inlineStr">
        <is>
          <t>Monorepo de trabalho e instruções de contribuição/agentes.</t>
        </is>
      </c>
      <c r="F5" s="3" t="inlineStr">
        <is>
          <t>reports/S04/acceptance.md</t>
        </is>
      </c>
      <c r="G5" s="3" t="inlineStr"/>
    </row>
    <row r="6" ht="88" customHeight="1">
      <c r="A6" s="3" t="inlineStr">
        <is>
          <t>SL-S05-GATE</t>
        </is>
      </c>
      <c r="B6" s="3" t="inlineStr">
        <is>
          <t>S05</t>
        </is>
      </c>
      <c r="C6" s="3" t="inlineStr">
        <is>
          <t>v0.0.2</t>
        </is>
      </c>
      <c r="D6" s="3" t="inlineStr">
        <is>
          <t>Falha introduzida em contrato bloqueia pipeline e um benchmark gera dados reproduzíveis.</t>
        </is>
      </c>
      <c r="E6" s="3" t="inlineStr">
        <is>
          <t>CI inicial, corpus licenciado e perfis mensuráveis.</t>
        </is>
      </c>
      <c r="F6" s="3" t="inlineStr">
        <is>
          <t>reports/S05/acceptance.md</t>
        </is>
      </c>
      <c r="G6" s="3" t="inlineStr"/>
    </row>
    <row r="7" ht="88" customHeight="1">
      <c r="A7" s="3" t="inlineStr">
        <is>
          <t>SL-S06-GATE</t>
        </is>
      </c>
      <c r="B7" s="3" t="inlineStr">
        <is>
          <t>S06</t>
        </is>
      </c>
      <c r="C7" s="3" t="inlineStr">
        <is>
          <t>v0.0.2</t>
        </is>
      </c>
      <c r="D7" s="3" t="inlineStr">
        <is>
          <t>Instalar build de desenvolvimento, navegar e selecionar um diretório sem rede.</t>
        </is>
      </c>
      <c r="E7" s="3" t="inlineStr">
        <is>
          <t>Shell Tauri com navegação Ingest/Mesa/Peça e IPC validado.</t>
        </is>
      </c>
      <c r="F7" s="3" t="inlineStr">
        <is>
          <t>reports/S06/acceptance.md</t>
        </is>
      </c>
      <c r="G7" s="3" t="inlineStr"/>
    </row>
    <row r="8" ht="88" customHeight="1">
      <c r="A8" s="3" t="inlineStr">
        <is>
          <t>SL-S07-GATE</t>
        </is>
      </c>
      <c r="B8" s="3" t="inlineStr">
        <is>
          <t>S07</t>
        </is>
      </c>
      <c r="C8" s="3" t="inlineStr">
        <is>
          <t>v0.1.0</t>
        </is>
      </c>
      <c r="D8" s="3" t="inlineStr">
        <is>
          <t>Criar Vault, salvar nota/asset, fechar e listar os mesmos IDs ao reabrir.</t>
        </is>
      </c>
      <c r="E8" s="3" t="inlineStr">
        <is>
          <t>VaultStore básico, manifest e armazenamento de assets por hash.</t>
        </is>
      </c>
      <c r="F8" s="3" t="inlineStr">
        <is>
          <t>reports/S07/acceptance.md</t>
        </is>
      </c>
      <c r="G8" s="3" t="inlineStr"/>
    </row>
    <row r="9" ht="88" customHeight="1">
      <c r="A9" s="3" t="inlineStr">
        <is>
          <t>SL-S08-GATE</t>
        </is>
      </c>
      <c r="B9" s="3" t="inlineStr">
        <is>
          <t>S08</t>
        </is>
      </c>
      <c r="C9" s="3" t="inlineStr">
        <is>
          <t>v0.1.0</t>
        </is>
      </c>
      <c r="D9" s="3" t="inlineStr">
        <is>
          <t>Interromper cada etapa de uma edição e recuperar o último estado confirmado.</t>
        </is>
      </c>
      <c r="E9" s="3" t="inlineStr">
        <is>
          <t>Journal durável e protocolo de publicação de revisões.</t>
        </is>
      </c>
      <c r="F9" s="3" t="inlineStr">
        <is>
          <t>reports/S08/acceptance.md</t>
        </is>
      </c>
      <c r="G9" s="3" t="inlineStr"/>
    </row>
    <row r="10" ht="88" customHeight="1">
      <c r="A10" s="3" t="inlineStr">
        <is>
          <t>SL-S09-GATE</t>
        </is>
      </c>
      <c r="B10" s="3" t="inlineStr">
        <is>
          <t>S09</t>
        </is>
      </c>
      <c r="C10" s="3" t="inlineStr">
        <is>
          <t>v0.1.0</t>
        </is>
      </c>
      <c r="D10" s="3" t="inlineStr">
        <is>
          <t>Solicitar um arquivo permitido e negar escapes durante resolução e concorrência.</t>
        </is>
      </c>
      <c r="E10" s="3" t="inlineStr">
        <is>
          <t>I/O autorizado por referências/handles e suíte de ataques de paths.</t>
        </is>
      </c>
      <c r="F10" s="3" t="inlineStr">
        <is>
          <t>reports/S09/acceptance.md</t>
        </is>
      </c>
      <c r="G10" s="3" t="inlineStr"/>
    </row>
    <row r="11" ht="88" customHeight="1">
      <c r="A11" s="3" t="inlineStr">
        <is>
          <t>SL-S10-GATE</t>
        </is>
      </c>
      <c r="B11" s="3" t="inlineStr">
        <is>
          <t>S10</t>
        </is>
      </c>
      <c r="C11" s="3" t="inlineStr">
        <is>
          <t>v0.1.0</t>
        </is>
      </c>
      <c r="D11" s="3" t="inlineStr">
        <is>
          <t>Editar/renomear fora do app, perder um evento de watcher e reconciliar sem perda.</t>
        </is>
      </c>
      <c r="E11" s="3" t="inlineStr">
        <is>
          <t>Reconciliação incremental e cache de inventário descartável.</t>
        </is>
      </c>
      <c r="F11" s="3" t="inlineStr">
        <is>
          <t>reports/S10/acceptance.md</t>
        </is>
      </c>
      <c r="G11" s="3" t="inlineStr"/>
    </row>
    <row r="12" ht="88" customHeight="1">
      <c r="A12" s="3" t="inlineStr">
        <is>
          <t>SL-S11-GATE</t>
        </is>
      </c>
      <c r="B12" s="3" t="inlineStr">
        <is>
          <t>S11</t>
        </is>
      </c>
      <c r="C12" s="3" t="inlineStr">
        <is>
          <t>v0.1.0</t>
        </is>
      </c>
      <c r="D12" s="3" t="inlineStr">
        <is>
          <t>Criar, modificar, corromper um cache, reconstruir e exportar um Vault local.</t>
        </is>
      </c>
      <c r="E12" s="3" t="inlineStr">
        <is>
          <t>v0.1.0 alpha técnica e utilitário de recuperação.</t>
        </is>
      </c>
      <c r="F12" s="3" t="inlineStr">
        <is>
          <t>reports/S11/acceptance.md</t>
        </is>
      </c>
      <c r="G12" s="3" t="inlineStr"/>
    </row>
    <row r="13" ht="88" customHeight="1">
      <c r="A13" s="3" t="inlineStr">
        <is>
          <t>SL-S12-GATE</t>
        </is>
      </c>
      <c r="B13" s="3" t="inlineStr">
        <is>
          <t>S12</t>
        </is>
      </c>
      <c r="C13" s="3" t="inlineStr">
        <is>
          <t>v0.2.0</t>
        </is>
      </c>
      <c r="D13" s="3" t="inlineStr">
        <is>
          <t>Editor mínimo funciona fora do monorepo de origem e sua origem/licença é rastreável.</t>
        </is>
      </c>
      <c r="E13" s="3" t="inlineStr">
        <is>
          <t>Pacote editorial isolado e ADR do recorte.</t>
        </is>
      </c>
      <c r="F13" s="3" t="inlineStr">
        <is>
          <t>reports/S12/acceptance.md</t>
        </is>
      </c>
      <c r="G13" s="3" t="inlineStr"/>
    </row>
    <row r="14" ht="88" customHeight="1">
      <c r="A14" s="3" t="inlineStr">
        <is>
          <t>SL-S13-GATE</t>
        </is>
      </c>
      <c r="B14" s="3" t="inlineStr">
        <is>
          <t>S13</t>
        </is>
      </c>
      <c r="C14" s="3" t="inlineStr">
        <is>
          <t>v0.2.0</t>
        </is>
      </c>
      <c r="D14" s="3" t="inlineStr">
        <is>
          <t>Abrir Markdown externo, editar no BlockSuite e preservar a semântica e metadados.</t>
        </is>
      </c>
      <c r="E14" s="3" t="inlineStr">
        <is>
          <t>Serializer/deserializer e fixtures de round-trip.</t>
        </is>
      </c>
      <c r="F14" s="3" t="inlineStr">
        <is>
          <t>reports/S13/acceptance.md</t>
        </is>
      </c>
      <c r="G14" s="3" t="inlineStr"/>
    </row>
    <row r="15" ht="88" customHeight="1">
      <c r="A15" s="3" t="inlineStr">
        <is>
          <t>SL-S14-GATE</t>
        </is>
      </c>
      <c r="B15" s="3" t="inlineStr">
        <is>
          <t>S14</t>
        </is>
      </c>
      <c r="C15" s="3" t="inlineStr">
        <is>
          <t>v0.2.0</t>
        </is>
      </c>
      <c r="D15" s="3" t="inlineStr">
        <is>
          <t>Editar, desfazer, conflitar com editor externo e recuperar sem cópia oculta no Yjs.</t>
        </is>
      </c>
      <c r="E15" s="3" t="inlineStr">
        <is>
          <t>Edição de notas com salvamento confiável e undo de produto.</t>
        </is>
      </c>
      <c r="F15" s="3" t="inlineStr">
        <is>
          <t>reports/S14/acceptance.md</t>
        </is>
      </c>
      <c r="G15" s="3" t="inlineStr"/>
    </row>
    <row r="16" ht="88" customHeight="1">
      <c r="A16" s="3" t="inlineStr">
        <is>
          <t>SL-S15-GATE</t>
        </is>
      </c>
      <c r="B16" s="3" t="inlineStr">
        <is>
          <t>S15</t>
        </is>
      </c>
      <c r="C16" s="3" t="inlineStr">
        <is>
          <t>v0.2.0</t>
        </is>
      </c>
      <c r="D16" s="3" t="inlineStr">
        <is>
          <t>Instalação limpa permite criar, editar, pesquisar por título e reabrir notas sem rede.</t>
        </is>
      </c>
      <c r="E16" s="3" t="inlineStr">
        <is>
          <t>v0.2.0 alpha de notas locais.</t>
        </is>
      </c>
      <c r="F16" s="3" t="inlineStr">
        <is>
          <t>reports/S15/acceptance.md</t>
        </is>
      </c>
      <c r="G16" s="3" t="inlineStr"/>
    </row>
    <row r="17" ht="88" customHeight="1">
      <c r="A17" s="3" t="inlineStr">
        <is>
          <t>SL-S16-GATE</t>
        </is>
      </c>
      <c r="B17" s="3" t="inlineStr">
        <is>
          <t>S16</t>
        </is>
      </c>
      <c r="C17" s="3" t="inlineStr">
        <is>
          <t>v0.3.0</t>
        </is>
      </c>
      <c r="D17" s="3" t="inlineStr">
        <is>
          <t>Criar e navegar por cartões mantendo coordenadas consistentes em diferentes zooms.</t>
        </is>
      </c>
      <c r="E17" s="3" t="inlineStr">
        <is>
          <t>Viewport com cartões, câmera, seleção e previews.</t>
        </is>
      </c>
      <c r="F17" s="3" t="inlineStr">
        <is>
          <t>reports/S16/acceptance.md</t>
        </is>
      </c>
      <c r="G17" s="3" t="inlineStr"/>
    </row>
    <row r="18" ht="88" customHeight="1">
      <c r="A18" s="3" t="inlineStr">
        <is>
          <t>SL-S17-GATE</t>
        </is>
      </c>
      <c r="B18" s="3" t="inlineStr">
        <is>
          <t>S17</t>
        </is>
      </c>
      <c r="C18" s="3" t="inlineStr">
        <is>
          <t>v0.3.0</t>
        </is>
      </c>
      <c r="D18" s="3" t="inlineStr">
        <is>
          <t>Criar ciclo de relações, agrupar, fechar, apagar MPK e reconstruir a mesma mesa.</t>
        </is>
      </c>
      <c r="E18" s="3" t="inlineStr">
        <is>
          <t>BoardService canônico e cache MPK validado por revisão.</t>
        </is>
      </c>
      <c r="F18" s="3" t="inlineStr">
        <is>
          <t>reports/S17/acceptance.md</t>
        </is>
      </c>
      <c r="G18" s="3" t="inlineStr"/>
    </row>
    <row r="19" ht="88" customHeight="1">
      <c r="A19" s="3" t="inlineStr">
        <is>
          <t>SL-S18-GATE</t>
        </is>
      </c>
      <c r="B19" s="3" t="inlineStr">
        <is>
          <t>S18</t>
        </is>
      </c>
      <c r="C19" s="3" t="inlineStr">
        <is>
          <t>v0.3.0</t>
        </is>
      </c>
      <c r="D19" s="3" t="inlineStr">
        <is>
          <t>Editar uma célula em diferentes zooms e voltar à cena sem perder caret ou conteúdo.</t>
        </is>
      </c>
      <c r="E19" s="3" t="inlineStr">
        <is>
          <t>Overlay DOM sincronizado à câmera e política de editores ativos.</t>
        </is>
      </c>
      <c r="F19" s="3" t="inlineStr">
        <is>
          <t>reports/S18/acceptance.md</t>
        </is>
      </c>
      <c r="G19" s="3" t="inlineStr"/>
    </row>
    <row r="20" ht="88" customHeight="1">
      <c r="A20" s="3" t="inlineStr">
        <is>
          <t>SL-S19-GATE</t>
        </is>
      </c>
      <c r="B20" s="3" t="inlineStr">
        <is>
          <t>S19</t>
        </is>
      </c>
      <c r="C20" s="3" t="inlineStr">
        <is>
          <t>v0.3.0</t>
        </is>
      </c>
      <c r="D20" s="3" t="inlineStr">
        <is>
          <t>Navegar entre boards de 100/1.000 nós e reconstruir a cena após reinício.</t>
        </is>
      </c>
      <c r="E20" s="3" t="inlineStr">
        <is>
          <t>v0.3.0 com pílulas, grupos, conexões e LOD.</t>
        </is>
      </c>
      <c r="F20" s="3" t="inlineStr">
        <is>
          <t>reports/S19/acceptance.md</t>
        </is>
      </c>
      <c r="G20" s="3" t="inlineStr"/>
    </row>
    <row r="21" ht="88" customHeight="1">
      <c r="A21" s="3" t="inlineStr">
        <is>
          <t>SL-S20-GATE</t>
        </is>
      </c>
      <c r="B21" s="3" t="inlineStr">
        <is>
          <t>S20</t>
        </is>
      </c>
      <c r="C21" s="3" t="inlineStr">
        <is>
          <t>v0.4.0</t>
        </is>
      </c>
      <c r="D21" s="3" t="inlineStr">
        <is>
          <t>Abrir Peça vinculada ao workspace e editar enquanto consulta células.</t>
        </is>
      </c>
      <c r="E21" s="3" t="inlineStr">
        <is>
          <t>Peça independente com painel editorial e navegação.</t>
        </is>
      </c>
      <c r="F21" s="3" t="inlineStr">
        <is>
          <t>reports/S20/acceptance.md</t>
        </is>
      </c>
      <c r="G21" s="3" t="inlineStr"/>
    </row>
    <row r="22" ht="88" customHeight="1">
      <c r="A22" s="3" t="inlineStr">
        <is>
          <t>SL-S21-GATE</t>
        </is>
      </c>
      <c r="B22" s="3" t="inlineStr">
        <is>
          <t>S21</t>
        </is>
      </c>
      <c r="C22" s="3" t="inlineStr">
        <is>
          <t>v0.4.0</t>
        </is>
      </c>
      <c r="D22" s="3" t="inlineStr">
        <is>
          <t>Arrastar célula, editar a fonte e comprovar que a Peça conserva o trecho inserido.</t>
        </is>
      </c>
      <c r="E22" s="3" t="inlineStr">
        <is>
          <t>Inserção independente com referência de revisão e localização.</t>
        </is>
      </c>
      <c r="F22" s="3" t="inlineStr">
        <is>
          <t>reports/S21/acceptance.md</t>
        </is>
      </c>
      <c r="G22" s="3" t="inlineStr"/>
    </row>
    <row r="23" ht="88" customHeight="1">
      <c r="A23" s="3" t="inlineStr">
        <is>
          <t>SL-S22-GATE</t>
        </is>
      </c>
      <c r="B23" s="3" t="inlineStr">
        <is>
          <t>S22</t>
        </is>
      </c>
      <c r="C23" s="3" t="inlineStr">
        <is>
          <t>v0.4.0</t>
        </is>
      </c>
      <c r="D23" s="3" t="inlineStr">
        <is>
          <t>Produzir ensaio local, recuperar uma revisão e exportar texto com fontes.</t>
        </is>
      </c>
      <c r="E23" s="3" t="inlineStr">
        <is>
          <t>v0.4.0: notas → Mesa → Peça, histórico e exportação Markdown.</t>
        </is>
      </c>
      <c r="F23" s="3" t="inlineStr">
        <is>
          <t>reports/S22/acceptance.md</t>
        </is>
      </c>
      <c r="G23" s="3" t="inlineStr"/>
    </row>
    <row r="24" ht="88" customHeight="1">
      <c r="A24" s="3" t="inlineStr">
        <is>
          <t>SL-S23-GATE</t>
        </is>
      </c>
      <c r="B24" s="3" t="inlineStr">
        <is>
          <t>S23</t>
        </is>
      </c>
      <c r="C24" s="3" t="inlineStr">
        <is>
          <t>v0.5.0</t>
        </is>
      </c>
      <c r="D24" s="3" t="inlineStr">
        <is>
          <t>Worker de teste recebe snapshot autorizado, falha/reinicia e devolve proposta validada.</t>
        </is>
      </c>
      <c r="E24" s="3" t="inlineStr">
        <is>
          <t>WorkerHost, fila persistível e protocolo versionado.</t>
        </is>
      </c>
      <c r="F24" s="3" t="inlineStr">
        <is>
          <t>reports/S23/acceptance.md</t>
        </is>
      </c>
      <c r="G24" s="3" t="inlineStr"/>
    </row>
    <row r="25" ht="88" customHeight="1">
      <c r="A25" s="3" t="inlineStr">
        <is>
          <t>SL-S24-GATE</t>
        </is>
      </c>
      <c r="B25" s="3" t="inlineStr">
        <is>
          <t>S24</t>
        </is>
      </c>
      <c r="C25" s="3" t="inlineStr">
        <is>
          <t>v0.5.0</t>
        </is>
      </c>
      <c r="D25" s="3" t="inlineStr">
        <is>
          <t>Worker sem rede não lê sentinela fora do escopo nem cria conexão externa.</t>
        </is>
      </c>
      <c r="E25" s="3" t="inlineStr">
        <is>
          <t>Perfis Linux e matriz de disponibilidade de segurança.</t>
        </is>
      </c>
      <c r="F25" s="3" t="inlineStr">
        <is>
          <t>reports/S24/acceptance.md</t>
        </is>
      </c>
      <c r="G25" s="3" t="inlineStr"/>
    </row>
    <row r="26" ht="88" customHeight="1">
      <c r="A26" s="3" t="inlineStr">
        <is>
          <t>SL-S25-GATE</t>
        </is>
      </c>
      <c r="B26" s="3" t="inlineStr">
        <is>
          <t>S25</t>
        </is>
      </c>
      <c r="C26" s="3" t="inlineStr">
        <is>
          <t>v0.5.0</t>
        </is>
      </c>
      <c r="D26" s="3" t="inlineStr">
        <is>
          <t>Processo auxiliar autorizado lê a entrada e falha ao acessar outro workspace ou rede proibida.</t>
        </is>
      </c>
      <c r="E26" s="3" t="inlineStr">
        <is>
          <t>Helper/perfis macOS e evidências nativas Intel/Apple Silicon conforme disponibilidade.</t>
        </is>
      </c>
      <c r="F26" s="3" t="inlineStr">
        <is>
          <t>reports/S25/acceptance.md</t>
        </is>
      </c>
      <c r="G26" s="3" t="inlineStr"/>
    </row>
    <row r="27" ht="88" customHeight="1">
      <c r="A27" s="3" t="inlineStr">
        <is>
          <t>SL-S26-GATE</t>
        </is>
      </c>
      <c r="B27" s="3" t="inlineStr">
        <is>
          <t>S26</t>
        </is>
      </c>
      <c r="C27" s="3" t="inlineStr">
        <is>
          <t>v0.5.0</t>
        </is>
      </c>
      <c r="D27" s="3" t="inlineStr">
        <is>
          <t>Worker controlado não acessa paths/rede fora do permitido e toda sua árvore encerra.</t>
        </is>
      </c>
      <c r="E27" s="3" t="inlineStr">
        <is>
          <t>Perfis Windows com AppContainer/capabilities ou alternativa auditada.</t>
        </is>
      </c>
      <c r="F27" s="3" t="inlineStr">
        <is>
          <t>reports/S26/acceptance.md</t>
        </is>
      </c>
      <c r="G27" s="3" t="inlineStr"/>
    </row>
    <row r="28" ht="88" customHeight="1">
      <c r="A28" s="3" t="inlineStr">
        <is>
          <t>SL-S27-GATE</t>
        </is>
      </c>
      <c r="B28" s="3" t="inlineStr">
        <is>
          <t>S27</t>
        </is>
      </c>
      <c r="C28" s="3" t="inlineStr">
        <is>
          <t>v0.5.0</t>
        </is>
      </c>
      <c r="D28" s="3" t="inlineStr">
        <is>
          <t>Importar PDF/DOCX de fixture e obter blocos com referências ao original.</t>
        </is>
      </c>
      <c r="E28" s="3" t="inlineStr">
        <is>
          <t>Worker Docling mínimo para documentos textuais.</t>
        </is>
      </c>
      <c r="F28" s="3" t="inlineStr">
        <is>
          <t>reports/S27/acceptance.md</t>
        </is>
      </c>
      <c r="G28" s="3" t="inlineStr"/>
    </row>
    <row r="29" ht="88" customHeight="1">
      <c r="A29" s="3" t="inlineStr">
        <is>
          <t>SL-S28-GATE</t>
        </is>
      </c>
      <c r="B29" s="3" t="inlineStr">
        <is>
          <t>S28</t>
        </is>
      </c>
      <c r="C29" s="3" t="inlineStr">
        <is>
          <t>v0.5.0</t>
        </is>
      </c>
      <c r="D29" s="3" t="inlineStr">
        <is>
          <t>Importar PDF escaneado, cancelar, retomar e citar texto com localização.</t>
        </is>
      </c>
      <c r="E29" s="3" t="inlineStr">
        <is>
          <t>Pipeline OCR homologado e processamento recuperável por documento.</t>
        </is>
      </c>
      <c r="F29" s="3" t="inlineStr">
        <is>
          <t>reports/S28/acceptance.md</t>
        </is>
      </c>
      <c r="G29" s="3" t="inlineStr"/>
    </row>
    <row r="30" ht="88" customHeight="1">
      <c r="A30" s="3" t="inlineStr">
        <is>
          <t>SL-S29-GATE</t>
        </is>
      </c>
      <c r="B30" s="3" t="inlineStr">
        <is>
          <t>S29</t>
        </is>
      </c>
      <c r="C30" s="3" t="inlineStr">
        <is>
          <t>v0.5.0</t>
        </is>
      </c>
      <c r="D30" s="3" t="inlineStr">
        <is>
          <t>Processar página de fixture com scripts/trackers sem executar scripts ou acessar rede.</t>
        </is>
      </c>
      <c r="E30" s="3" t="inlineStr">
        <is>
          <t>Normalizador HTML→documento Sandland e captura manual de HTML.</t>
        </is>
      </c>
      <c r="F30" s="3" t="inlineStr">
        <is>
          <t>reports/S29/acceptance.md</t>
        </is>
      </c>
      <c r="G30" s="3" t="inlineStr"/>
    </row>
    <row r="31" ht="88" customHeight="1">
      <c r="A31" s="3" t="inlineStr">
        <is>
          <t>SL-S30-GATE</t>
        </is>
      </c>
      <c r="B31" s="3" t="inlineStr">
        <is>
          <t>S30</t>
        </is>
      </c>
      <c r="C31" s="3" t="inlineStr">
        <is>
          <t>v0.5.0</t>
        </is>
      </c>
      <c r="D31" s="3" t="inlineStr">
        <is>
          <t>Soltar documento, continuar trabalhando e promover um recorte após extração.</t>
        </is>
      </c>
      <c r="E31" s="3" t="inlineStr">
        <is>
          <t>v0.5.0: Ingest de arquivos e HTML local com leitura e promoção à Mesa.</t>
        </is>
      </c>
      <c r="F31" s="3" t="inlineStr">
        <is>
          <t>reports/S30/acceptance.md</t>
        </is>
      </c>
      <c r="G31" s="3" t="inlineStr"/>
    </row>
    <row r="32" ht="88" customHeight="1">
      <c r="A32" s="3" t="inlineStr">
        <is>
          <t>SL-S31-GATE</t>
        </is>
      </c>
      <c r="B32" s="3" t="inlineStr">
        <is>
          <t>S31</t>
        </is>
      </c>
      <c r="C32" s="3" t="inlineStr">
        <is>
          <t>v0.6.0</t>
        </is>
      </c>
      <c r="D32" s="3" t="inlineStr">
        <is>
          <t>Iniciar runtime autorizado, chamar backend de teste e encerrar sua árvore inteira.</t>
        </is>
      </c>
      <c r="E32" s="3" t="inlineStr">
        <is>
          <t>Runtime LocalAI gerenciado e pacote mínimo por alvo de desenvolvimento.</t>
        </is>
      </c>
      <c r="F32" s="3" t="inlineStr">
        <is>
          <t>reports/S31/acceptance.md</t>
        </is>
      </c>
      <c r="G32" s="3" t="inlineStr"/>
    </row>
    <row r="33" ht="88" customHeight="1">
      <c r="A33" s="3" t="inlineStr">
        <is>
          <t>SL-S32-GATE</t>
        </is>
      </c>
      <c r="B33" s="3" t="inlineStr">
        <is>
          <t>S32</t>
        </is>
      </c>
      <c r="C33" s="3" t="inlineStr">
        <is>
          <t>v0.6.0</t>
        </is>
      </c>
      <c r="D33" s="3" t="inlineStr">
        <is>
          <t>Instalar pacote aprovado, detectar corrupção e obter resposta local cancelável.</t>
        </is>
      </c>
      <c r="E33" s="3" t="inlineStr">
        <is>
          <t>Catálogo homologado, instalação verificada e gateway de geração/embeddings.</t>
        </is>
      </c>
      <c r="F33" s="3" t="inlineStr">
        <is>
          <t>reports/S32/acceptance.md</t>
        </is>
      </c>
      <c r="G33" s="3" t="inlineStr"/>
    </row>
    <row r="34" ht="88" customHeight="1">
      <c r="A34" s="3" t="inlineStr">
        <is>
          <t>SL-S33-GATE</t>
        </is>
      </c>
      <c r="B34" s="3" t="inlineStr">
        <is>
          <t>S33</t>
        </is>
      </c>
      <c r="C34" s="3" t="inlineStr">
        <is>
          <t>v0.6.0</t>
        </is>
      </c>
      <c r="D34" s="3" t="inlineStr">
        <is>
          <t>Resumir documento, corrigir o texto e reprocessar sem perder a correção.</t>
        </is>
      </c>
      <c r="E34" s="3" t="inlineStr">
        <is>
          <t>SummaryService com pipeline longo, proveniência e revisão humana.</t>
        </is>
      </c>
      <c r="F34" s="3" t="inlineStr">
        <is>
          <t>reports/S33/acceptance.md</t>
        </is>
      </c>
      <c r="G34" s="3" t="inlineStr"/>
    </row>
    <row r="35" ht="88" customHeight="1">
      <c r="A35" s="3" t="inlineStr">
        <is>
          <t>SL-S34-GATE</t>
        </is>
      </c>
      <c r="B35" s="3" t="inlineStr">
        <is>
          <t>S34</t>
        </is>
      </c>
      <c r="C35" s="3" t="inlineStr">
        <is>
          <t>v0.6.0</t>
        </is>
      </c>
      <c r="D35" s="3" t="inlineStr">
        <is>
          <t>Classificar fixture autorizada e negar a mesma chamada quando a política de rede proíbe.</t>
        </is>
      </c>
      <c r="E35" s="3" t="inlineStr">
        <is>
          <t>Adapter Jev testável offline e chamadas reais estritamente opt-in.</t>
        </is>
      </c>
      <c r="F35" s="3" t="inlineStr">
        <is>
          <t>reports/S34/acceptance.md</t>
        </is>
      </c>
      <c r="G35" s="3" t="inlineStr"/>
    </row>
    <row r="36" ht="88" customHeight="1">
      <c r="A36" s="3" t="inlineStr">
        <is>
          <t>SL-S35-GATE</t>
        </is>
      </c>
      <c r="B36" s="3" t="inlineStr">
        <is>
          <t>S35</t>
        </is>
      </c>
      <c r="C36" s="3" t="inlineStr">
        <is>
          <t>v0.6.0</t>
        </is>
      </c>
      <c r="D36" s="3" t="inlineStr">
        <is>
          <t>Aplicar sugestão, desfazer e manter classificação utilizável sem a API.</t>
        </is>
      </c>
      <c r="E36" s="3" t="inlineStr">
        <is>
          <t>Taxonomia canônica, revisão/aliases e fallback offline.</t>
        </is>
      </c>
      <c r="F36" s="3" t="inlineStr">
        <is>
          <t>reports/S35/acceptance.md</t>
        </is>
      </c>
      <c r="G36" s="3" t="inlineStr"/>
    </row>
    <row r="37" ht="88" customHeight="1">
      <c r="A37" s="3" t="inlineStr">
        <is>
          <t>SL-S36-GATE</t>
        </is>
      </c>
      <c r="B37" s="3" t="inlineStr">
        <is>
          <t>S36</t>
        </is>
      </c>
      <c r="C37" s="3" t="inlineStr">
        <is>
          <t>v0.6.0</t>
        </is>
      </c>
      <c r="D37" s="3" t="inlineStr">
        <is>
          <t>Importar áudio e documento, continuar editando e acompanhar cada resultado separadamente.</t>
        </is>
      </c>
      <c r="E37" s="3" t="inlineStr">
        <is>
          <t>v0.6.0 com resumo, classificação e transcrição local homologada.</t>
        </is>
      </c>
      <c r="F37" s="3" t="inlineStr">
        <is>
          <t>reports/S36/acceptance.md</t>
        </is>
      </c>
      <c r="G37" s="3" t="inlineStr"/>
    </row>
    <row r="38" ht="88" customHeight="1">
      <c r="A38" s="3" t="inlineStr">
        <is>
          <t>SL-S37-GATE</t>
        </is>
      </c>
      <c r="B38" s="3" t="inlineStr">
        <is>
          <t>S37</t>
        </is>
      </c>
      <c r="C38" s="3" t="inlineStr">
        <is>
          <t>v0.7.0</t>
        </is>
      </c>
      <c r="D38" s="3" t="inlineStr">
        <is>
          <t>Mesma fixture/consulta roda em providers fake e produz ranking/evidências verificáveis.</t>
        </is>
      </c>
      <c r="E38" s="3" t="inlineStr">
        <is>
          <t>Contrato de busca, indexação e protocolo comparativo.</t>
        </is>
      </c>
      <c r="F38" s="3" t="inlineStr">
        <is>
          <t>reports/S37/acceptance.md</t>
        </is>
      </c>
      <c r="G38" s="3" t="inlineStr"/>
    </row>
    <row r="39" ht="88" customHeight="1">
      <c r="A39" s="3" t="inlineStr">
        <is>
          <t>SL-S38-GATE</t>
        </is>
      </c>
      <c r="B39" s="3" t="inlineStr">
        <is>
          <t>S38</t>
        </is>
      </c>
      <c r="C39" s="3" t="inlineStr">
        <is>
          <t>v0.7.0</t>
        </is>
      </c>
      <c r="D39" s="3" t="inlineStr">
        <is>
          <t>Executar conformidade e benchmarks iguais ao candidato B, com conclusão viável/inviável.</t>
        </is>
      </c>
      <c r="E39" s="3" t="inlineStr">
        <is>
          <t>Relatório Qdrant e provider experimental.</t>
        </is>
      </c>
      <c r="F39" s="3" t="inlineStr">
        <is>
          <t>reports/S38/acceptance.md</t>
        </is>
      </c>
      <c r="G39" s="3" t="inlineStr">
        <is>
          <t>Este sprint fecha uma investigação, não aprova automaticamente Qdrant para produção. Conclusão negativa fundamentada é uma saída válida do spike.</t>
        </is>
      </c>
    </row>
    <row r="40" ht="88" customHeight="1">
      <c r="A40" s="3" t="inlineStr">
        <is>
          <t>SL-S39-GATE</t>
        </is>
      </c>
      <c r="B40" s="3" t="inlineStr">
        <is>
          <t>S39</t>
        </is>
      </c>
      <c r="C40" s="3" t="inlineStr">
        <is>
          <t>v0.7.0</t>
        </is>
      </c>
      <c r="D40" s="3" t="inlineStr">
        <is>
          <t>Rodar o mesmo corpus e confrontar resultados com o candidato A.</t>
        </is>
      </c>
      <c r="E40" s="3" t="inlineStr">
        <is>
          <t>Relatório HelixDB e provider experimental.</t>
        </is>
      </c>
      <c r="F40" s="3" t="inlineStr">
        <is>
          <t>reports/S39/acceptance.md</t>
        </is>
      </c>
      <c r="G40" s="3" t="inlineStr">
        <is>
          <t>Concluir o spike não implica adotar HelixDB. Os dois protótipos ficam em experiments e não são distribuídos juntos por padrão.</t>
        </is>
      </c>
    </row>
    <row r="41" ht="88" customHeight="1">
      <c r="A41" s="3" t="inlineStr">
        <is>
          <t>SL-S40-GATE</t>
        </is>
      </c>
      <c r="B41" s="3" t="inlineStr">
        <is>
          <t>S40</t>
        </is>
      </c>
      <c r="C41" s="3" t="inlineStr">
        <is>
          <t>v0.7.0</t>
        </is>
      </c>
      <c r="D41" s="3" t="inlineStr">
        <is>
          <t>Executar busca híbrida no app com apenas o backend escolhido instalado.</t>
        </is>
      </c>
      <c r="E41" s="3" t="inlineStr">
        <is>
          <t>SearchProvider de produção e ADR de seleção.</t>
        </is>
      </c>
      <c r="F41" s="3" t="inlineStr">
        <is>
          <t>reports/S40/acceptance.md</t>
        </is>
      </c>
      <c r="G41" s="3" t="inlineStr"/>
    </row>
    <row r="42" ht="88" customHeight="1">
      <c r="A42" s="3" t="inlineStr">
        <is>
          <t>SL-S41-GATE</t>
        </is>
      </c>
      <c r="B42" s="3" t="inlineStr">
        <is>
          <t>S41</t>
        </is>
      </c>
      <c r="C42" s="3" t="inlineStr">
        <is>
          <t>v0.7.0</t>
        </is>
      </c>
      <c r="D42" s="3" t="inlineStr">
        <is>
          <t>Editar/excluir material e verificar atualização da busca sem perder as fontes canônicas.</t>
        </is>
      </c>
      <c r="E42" s="3" t="inlineStr">
        <is>
          <t>v0.7.0 com busca híbrida e reconstrução assistida.</t>
        </is>
      </c>
      <c r="F42" s="3" t="inlineStr">
        <is>
          <t>reports/S41/acceptance.md</t>
        </is>
      </c>
      <c r="G42" s="3" t="inlineStr"/>
    </row>
    <row r="43" ht="88" customHeight="1">
      <c r="A43" s="3" t="inlineStr">
        <is>
          <t>SL-S42-GATE</t>
        </is>
      </c>
      <c r="B43" s="3" t="inlineStr">
        <is>
          <t>S42</t>
        </is>
      </c>
      <c r="C43" s="3" t="inlineStr">
        <is>
          <t>v0.8.0</t>
        </is>
      </c>
      <c r="D43" s="3" t="inlineStr">
        <is>
          <t>Construir índice de Markdown de fixture sem PDF e sem store canônico do SDK.</t>
        </is>
      </c>
      <c r="E43" s="3" t="inlineStr">
        <is>
          <t>Pacote experimental de contexto e ADR do recorte PageIndex.</t>
        </is>
      </c>
      <c r="F43" s="3" t="inlineStr">
        <is>
          <t>reports/S42/acceptance.md</t>
        </is>
      </c>
      <c r="G43" s="3" t="inlineStr"/>
    </row>
    <row r="44" ht="88" customHeight="1">
      <c r="A44" s="3" t="inlineStr">
        <is>
          <t>SL-S43-GATE</t>
        </is>
      </c>
      <c r="B44" s="3" t="inlineStr">
        <is>
          <t>S43</t>
        </is>
      </c>
      <c r="C44" s="3" t="inlineStr">
        <is>
          <t>v0.8.0</t>
        </is>
      </c>
      <c r="D44" s="3" t="inlineStr">
        <is>
          <t>Renomear notas, mover cartões e reconstruir mantendo IDs e referências.</t>
        </is>
      </c>
      <c r="E44" s="3" t="inlineStr">
        <is>
          <t>WorkspaceSnapshot e índice estrutural por revisão.</t>
        </is>
      </c>
      <c r="F44" s="3" t="inlineStr">
        <is>
          <t>reports/S43/acceptance.md</t>
        </is>
      </c>
      <c r="G44" s="3" t="inlineStr"/>
    </row>
    <row r="45" ht="88" customHeight="1">
      <c r="A45" s="3" t="inlineStr">
        <is>
          <t>SL-S44-GATE</t>
        </is>
      </c>
      <c r="B45" s="3" t="inlineStr">
        <is>
          <t>S44</t>
        </is>
      </c>
      <c r="C45" s="3" t="inlineStr">
        <is>
          <t>v0.8.0</t>
        </is>
      </c>
      <c r="D45" s="3" t="inlineStr">
        <is>
          <t>Modelo recebe ID fora do escopo e o broker nega mesmo com instrução em documento.</t>
        </is>
      </c>
      <c r="E45" s="3" t="inlineStr">
        <is>
          <t>Ferramentas de overview, grupo, célula, vizinhos e fonte.</t>
        </is>
      </c>
      <c r="F45" s="3" t="inlineStr">
        <is>
          <t>reports/S44/acceptance.md</t>
        </is>
      </c>
      <c r="G45" s="3" t="inlineStr"/>
    </row>
    <row r="46" ht="88" customHeight="1">
      <c r="A46" s="3" t="inlineStr">
        <is>
          <t>SL-S45-GATE</t>
        </is>
      </c>
      <c r="B46" s="3" t="inlineStr">
        <is>
          <t>S45</t>
        </is>
      </c>
      <c r="C46" s="3" t="inlineStr">
        <is>
          <t>v0.8.0</t>
        </is>
      </c>
      <c r="D46" s="3" t="inlineStr">
        <is>
          <t>Editar uma célula e recomputar apenas summaries dependentes, sem perder evidências.</t>
        </is>
      </c>
      <c r="E46" s="3" t="inlineStr">
        <is>
          <t>Skeleton Map com budget e cache incremental de resumos.</t>
        </is>
      </c>
      <c r="F46" s="3" t="inlineStr">
        <is>
          <t>reports/S45/acceptance.md</t>
        </is>
      </c>
      <c r="G46" s="3" t="inlineStr"/>
    </row>
    <row r="47" ht="88" customHeight="1">
      <c r="A47" s="3" t="inlineStr">
        <is>
          <t>SL-S46-GATE</t>
        </is>
      </c>
      <c r="B47" s="3" t="inlineStr">
        <is>
          <t>S46</t>
        </is>
      </c>
      <c r="C47" s="3" t="inlineStr">
        <is>
          <t>v0.8.0</t>
        </is>
      </c>
      <c r="D47" s="3" t="inlineStr">
        <is>
          <t>Perguntar sobre grupos que se contradizem e receber resposta apoiada nas revisões corretas.</t>
        </is>
      </c>
      <c r="E47" s="3" t="inlineStr">
        <is>
          <t>v0.8.0: consulta estrutural local sobre células e fontes.</t>
        </is>
      </c>
      <c r="F47" s="3" t="inlineStr">
        <is>
          <t>reports/S46/acceptance.md</t>
        </is>
      </c>
      <c r="G47" s="3" t="inlineStr"/>
    </row>
    <row r="48" ht="88" customHeight="1">
      <c r="A48" s="3" t="inlineStr">
        <is>
          <t>SL-S47-GATE</t>
        </is>
      </c>
      <c r="B48" s="3" t="inlineStr">
        <is>
          <t>S47</t>
        </is>
      </c>
      <c r="C48" s="3" t="inlineStr">
        <is>
          <t>v0.9.0</t>
        </is>
      </c>
      <c r="D48" s="3" t="inlineStr">
        <is>
          <t>Pesquisar por consulta autorizada e apresentar resultados sem enviar o board inteiro.</t>
        </is>
      </c>
      <c r="E48" s="3" t="inlineStr">
        <is>
          <t>Provider SearxNG com configuração, consentimento e testes de resposta.</t>
        </is>
      </c>
      <c r="F48" s="3" t="inlineStr">
        <is>
          <t>reports/S47/acceptance.md</t>
        </is>
      </c>
      <c r="G48" s="3" t="inlineStr"/>
    </row>
    <row r="49" ht="88" customHeight="1">
      <c r="A49" s="3" t="inlineStr">
        <is>
          <t>SL-S48-GATE</t>
        </is>
      </c>
      <c r="B49" s="3" t="inlineStr">
        <is>
          <t>S48</t>
        </is>
      </c>
      <c r="C49" s="3" t="inlineStr">
        <is>
          <t>v0.9.0</t>
        </is>
      </c>
      <c r="D49" s="3" t="inlineStr">
        <is>
          <t>Baixar página permitida e negar URL interna/redirect indevido em harness controlado.</t>
        </is>
      </c>
      <c r="E49" s="3" t="inlineStr">
        <is>
          <t>Worker HTTP Scrapling e política de destinos.</t>
        </is>
      </c>
      <c r="F49" s="3" t="inlineStr">
        <is>
          <t>reports/S48/acceptance.md</t>
        </is>
      </c>
      <c r="G49" s="3" t="inlineStr"/>
    </row>
    <row r="50" ht="88" customHeight="1">
      <c r="A50" s="3" t="inlineStr">
        <is>
          <t>SL-S49-GATE</t>
        </is>
      </c>
      <c r="B50" s="3" t="inlineStr">
        <is>
          <t>S49</t>
        </is>
      </c>
      <c r="C50" s="3" t="inlineStr">
        <is>
          <t>v0.9.0</t>
        </is>
      </c>
      <c r="D50" s="3" t="inlineStr">
        <is>
          <t>Renderizar SPA de fixture, capturar DOM e encerrar todos os processos após a tarefa.</t>
        </is>
      </c>
      <c r="E50" s="3" t="inlineStr">
        <is>
          <t>Browser worker lazy com política de rede e lifecycle.</t>
        </is>
      </c>
      <c r="F50" s="3" t="inlineStr">
        <is>
          <t>reports/S49/acceptance.md</t>
        </is>
      </c>
      <c r="G50" s="3" t="inlineStr"/>
    </row>
    <row r="51" ht="88" customHeight="1">
      <c r="A51" s="3" t="inlineStr">
        <is>
          <t>SL-S50-GATE</t>
        </is>
      </c>
      <c r="B51" s="3" t="inlineStr">
        <is>
          <t>S50</t>
        </is>
      </c>
      <c r="C51" s="3" t="inlineStr">
        <is>
          <t>v0.9.0</t>
        </is>
      </c>
      <c r="D51" s="3" t="inlineStr">
        <is>
          <t>Pesquisar, selecionar fontes, capturar, editar síntese e atualizar sem perda autoral.</t>
        </is>
      </c>
      <c r="E51" s="3" t="inlineStr">
        <is>
          <t>Widget pesquisável, snapshots e promoção de resultados a células.</t>
        </is>
      </c>
      <c r="F51" s="3" t="inlineStr">
        <is>
          <t>reports/S50/acceptance.md</t>
        </is>
      </c>
      <c r="G51" s="3" t="inlineStr"/>
    </row>
    <row r="52" ht="88" customHeight="1">
      <c r="A52" s="3" t="inlineStr">
        <is>
          <t>SL-S51-GATE</t>
        </is>
      </c>
      <c r="B52" s="3" t="inlineStr">
        <is>
          <t>S51</t>
        </is>
      </c>
      <c r="C52" s="3" t="inlineStr">
        <is>
          <t>v0.9.0</t>
        </is>
      </c>
      <c r="D52" s="3" t="inlineStr">
        <is>
          <t>Solicitar revisão de parágrafo, comparar proposta e aceitar somente blocos selecionados.</t>
        </is>
      </c>
      <c r="E52" s="3" t="inlineStr">
        <is>
          <t>Copiloto local/BYOK com diff, aceite e rollback.</t>
        </is>
      </c>
      <c r="F52" s="3" t="inlineStr">
        <is>
          <t>reports/S51/acceptance.md</t>
        </is>
      </c>
      <c r="G52" s="3" t="inlineStr"/>
    </row>
    <row r="53" ht="88" customHeight="1">
      <c r="A53" s="3" t="inlineStr">
        <is>
          <t>SL-S52-GATE</t>
        </is>
      </c>
      <c r="B53" s="3" t="inlineStr">
        <is>
          <t>S52</t>
        </is>
      </c>
      <c r="C53" s="3" t="inlineStr">
        <is>
          <t>v0.9.0</t>
        </is>
      </c>
      <c r="D53" s="3" t="inlineStr">
        <is>
          <t>Material novo relevante produz sugestão explicável que só cria/altera board após confirmação.</t>
        </is>
      </c>
      <c r="E53" s="3" t="inlineStr">
        <is>
          <t>Intenções canônicas, chat contextual e sugestões revisáveis.</t>
        </is>
      </c>
      <c r="F53" s="3" t="inlineStr">
        <is>
          <t>reports/S52/acceptance.md</t>
        </is>
      </c>
      <c r="G53" s="3" t="inlineStr"/>
    </row>
    <row r="54" ht="88" customHeight="1">
      <c r="A54" s="3" t="inlineStr">
        <is>
          <t>SL-S53-GATE</t>
        </is>
      </c>
      <c r="B54" s="3" t="inlineStr">
        <is>
          <t>S53</t>
        </is>
      </c>
      <c r="C54" s="3" t="inlineStr">
        <is>
          <t>v0.9.0</t>
        </is>
      </c>
      <c r="D54" s="3" t="inlineStr">
        <is>
          <t>Capturar fonte, pesquisar, conectar, produzir Peça e comprovar origem e reconstrução.</t>
        </is>
      </c>
      <c r="E54" s="3" t="inlineStr">
        <is>
          <t>v0.9.0 alpha do ciclo analítico completo e inventário de lacunas.</t>
        </is>
      </c>
      <c r="F54" s="3" t="inlineStr">
        <is>
          <t>reports/S53/acceptance.md</t>
        </is>
      </c>
      <c r="G54" s="3" t="inlineStr"/>
    </row>
    <row r="55" ht="88" customHeight="1">
      <c r="A55" s="3" t="inlineStr">
        <is>
          <t>SL-S54-GATE</t>
        </is>
      </c>
      <c r="B55" s="3" t="inlineStr">
        <is>
          <t>S54</t>
        </is>
      </c>
      <c r="C55" s="3" t="inlineStr">
        <is>
          <t>v1.0.0-beta.1</t>
        </is>
      </c>
      <c r="D55" s="3" t="inlineStr">
        <is>
          <t>Ataques de arquivo, web, prompt e processo falham sem afetar outros workspaces.</t>
        </is>
      </c>
      <c r="E55" s="3" t="inlineStr">
        <is>
          <t>Relatório de segurança com correções bloqueadoras concluídas.</t>
        </is>
      </c>
      <c r="F55" s="3" t="inlineStr">
        <is>
          <t>reports/S54/acceptance.md</t>
        </is>
      </c>
      <c r="G55" s="3" t="inlineStr"/>
    </row>
    <row r="56" ht="88" customHeight="1">
      <c r="A56" s="3" t="inlineStr">
        <is>
          <t>SL-S55-GATE</t>
        </is>
      </c>
      <c r="B56" s="3" t="inlineStr">
        <is>
          <t>S55</t>
        </is>
      </c>
      <c r="C56" s="3" t="inlineStr">
        <is>
          <t>v1.0.0-beta.1</t>
        </is>
      </c>
      <c r="D56" s="3" t="inlineStr">
        <is>
          <t>Repetir benchmarks com dados brutos e observar retorno real a idle após tarefas pesadas.</t>
        </is>
      </c>
      <c r="E56" s="3" t="inlineStr">
        <is>
          <t>Perfis de desempenho homologados e política de degradação.</t>
        </is>
      </c>
      <c r="F56" s="3" t="inlineStr">
        <is>
          <t>reports/S55/acceptance.md</t>
        </is>
      </c>
      <c r="G56" s="3" t="inlineStr"/>
    </row>
    <row r="57" ht="88" customHeight="1">
      <c r="A57" s="3" t="inlineStr">
        <is>
          <t>SL-S56-GATE</t>
        </is>
      </c>
      <c r="B57" s="3" t="inlineStr">
        <is>
          <t>S56</t>
        </is>
      </c>
      <c r="C57" s="3" t="inlineStr">
        <is>
          <t>v1.0.0-beta.1</t>
        </is>
      </c>
      <c r="D57" s="3" t="inlineStr">
        <is>
          <t>Instalar em máquina limpa, provisionar perfil permitido, usar e remover o app.</t>
        </is>
      </c>
      <c r="E57" s="3" t="inlineStr">
        <is>
          <t>Pacotes Linux x86_64/aarch64 e Windows x86_64 com capacidades declaradas.</t>
        </is>
      </c>
      <c r="F57" s="3" t="inlineStr">
        <is>
          <t>reports/S56/acceptance.md</t>
        </is>
      </c>
      <c r="G57" s="3" t="inlineStr"/>
    </row>
    <row r="58" ht="88" customHeight="1">
      <c r="A58" s="3" t="inlineStr">
        <is>
          <t>SL-S57-GATE</t>
        </is>
      </c>
      <c r="B58" s="3" t="inlineStr">
        <is>
          <t>S57</t>
        </is>
      </c>
      <c r="C58" s="3" t="inlineStr">
        <is>
          <t>v1.0.0-beta.1</t>
        </is>
      </c>
      <c r="D58" s="3" t="inlineStr">
        <is>
          <t>Instalação limpa em macOS preserva helpers, permissões, modelos e dados do usuário.</t>
        </is>
      </c>
      <c r="E58" s="3" t="inlineStr">
        <is>
          <t>v1.0.0-beta.1 para os cinco alvos previstos.</t>
        </is>
      </c>
      <c r="F58" s="3" t="inlineStr">
        <is>
          <t>reports/S57/acceptance.md</t>
        </is>
      </c>
      <c r="G58" s="3" t="inlineStr"/>
    </row>
    <row r="59" ht="88" customHeight="1">
      <c r="A59" s="3" t="inlineStr">
        <is>
          <t>SL-S58-GATE</t>
        </is>
      </c>
      <c r="B59" s="3" t="inlineStr">
        <is>
          <t>S58</t>
        </is>
      </c>
      <c r="C59" s="3" t="inlineStr">
        <is>
          <t>v1.0.0-rc.1</t>
        </is>
      </c>
      <c r="D59" s="3" t="inlineStr">
        <is>
          <t>Migrar cópia de Vault antigo, restaurar backup e fazer commit/push apenas por ação autorizada.</t>
        </is>
      </c>
      <c r="E59" s="3" t="inlineStr">
        <is>
          <t>Migração transacional, backup restaurável e integração Git consentida.</t>
        </is>
      </c>
      <c r="F59" s="3" t="inlineStr">
        <is>
          <t>reports/S58/acceptance.md</t>
        </is>
      </c>
      <c r="G59" s="3" t="inlineStr"/>
    </row>
    <row r="60" ht="88" customHeight="1">
      <c r="A60" s="3" t="inlineStr">
        <is>
          <t>SL-S59-GATE</t>
        </is>
      </c>
      <c r="B60" s="3" t="inlineStr">
        <is>
          <t>S59</t>
        </is>
      </c>
      <c r="C60" s="3" t="inlineStr">
        <is>
          <t>v1.0.0-rc.1</t>
        </is>
      </c>
      <c r="D60" s="3" t="inlineStr">
        <is>
          <t>Usuário novo instala, captura, produz Peça e recupera erro seguindo somente os guias.</t>
        </is>
      </c>
      <c r="E60" s="3" t="inlineStr">
        <is>
          <t>v1.0.0-rc.1 com documentação e evidências de piloto.</t>
        </is>
      </c>
      <c r="F60" s="3" t="inlineStr">
        <is>
          <t>reports/S59/acceptance.md</t>
        </is>
      </c>
      <c r="G60" s="3" t="inlineStr"/>
    </row>
    <row r="61" ht="88" customHeight="1">
      <c r="A61" s="3" t="inlineStr">
        <is>
          <t>SL-S60-GATE</t>
        </is>
      </c>
      <c r="B61" s="3" t="inlineStr">
        <is>
          <t>S60</t>
        </is>
      </c>
      <c r="C61" s="3" t="inlineStr">
        <is>
          <t>v1.0.0</t>
        </is>
      </c>
      <c r="D61" s="3" t="inlineStr">
        <is>
          <t>Instalar stable limpa, restaurar Vault de referência e concluir ciclo completo sem perda de dados.</t>
        </is>
      </c>
      <c r="E61" s="3" t="inlineStr">
        <is>
          <t>v1.0.0 estável, conjunto de evidências e política de manutenção.</t>
        </is>
      </c>
      <c r="F61" s="3" t="inlineStr">
        <is>
          <t>reports/S60/acceptance.md</t>
        </is>
      </c>
      <c r="G61" s="3" t="inlineStr"/>
    </row>
    <row r="62" ht="88" customHeight="1">
      <c r="A62" s="3" t="inlineStr">
        <is>
          <t>SL-S61-GATE</t>
        </is>
      </c>
      <c r="B62" s="3" t="inlineStr">
        <is>
          <t>S61</t>
        </is>
      </c>
      <c r="C62" s="3" t="inlineStr">
        <is>
          <t>v1.1.0</t>
        </is>
      </c>
      <c r="D62" s="3" t="inlineStr">
        <is>
          <t>Reproduzir relato real/ensaio de uso e vincular correção a teste sem coletar dados privados.</t>
        </is>
      </c>
      <c r="E62" s="3" t="inlineStr">
        <is>
          <t>Backlog de estabilização e ADR do pós-v1.0.</t>
        </is>
      </c>
      <c r="F62" s="3" t="inlineStr">
        <is>
          <t>reports/S61/acceptance.md</t>
        </is>
      </c>
      <c r="G62" s="3" t="inlineStr"/>
    </row>
    <row r="63" ht="88" customHeight="1">
      <c r="A63" s="3" t="inlineStr">
        <is>
          <t>SL-S62-GATE</t>
        </is>
      </c>
      <c r="B63" s="3" t="inlineStr">
        <is>
          <t>S62</t>
        </is>
      </c>
      <c r="C63" s="3" t="inlineStr">
        <is>
          <t>v1.1.0</t>
        </is>
      </c>
      <c r="D63" s="3" t="inlineStr">
        <is>
          <t>Diagnosticar índice corrompido e conflito, reparar somente o que foi autorizado.</t>
        </is>
      </c>
      <c r="E63" s="3" t="inlineStr">
        <is>
          <t>Assistente de diagnóstico/reparo com preview e reversão.</t>
        </is>
      </c>
      <c r="F63" s="3" t="inlineStr">
        <is>
          <t>reports/S62/acceptance.md</t>
        </is>
      </c>
      <c r="G63" s="3" t="inlineStr"/>
    </row>
    <row r="64" ht="88" customHeight="1">
      <c r="A64" s="3" t="inlineStr">
        <is>
          <t>SL-S63-GATE</t>
        </is>
      </c>
      <c r="B64" s="3" t="inlineStr">
        <is>
          <t>S63</t>
        </is>
      </c>
      <c r="C64" s="3" t="inlineStr">
        <is>
          <t>v1.1.0</t>
        </is>
      </c>
      <c r="D64" s="3" t="inlineStr">
        <is>
          <t>Atualizar recorte necessário, comparar resultados e reverter se um contrato quebrar.</t>
        </is>
      </c>
      <c r="E64" s="3" t="inlineStr">
        <is>
          <t>v1.1.0 e primeiro ciclo completo de manutenção upstream.</t>
        </is>
      </c>
      <c r="F64" s="3" t="inlineStr">
        <is>
          <t>reports/S63/acceptance.md</t>
        </is>
      </c>
      <c r="G64" s="3" t="inlineStr"/>
    </row>
    <row r="65" ht="88" customHeight="1">
      <c r="A65" s="3" t="inlineStr">
        <is>
          <t>SL-S64-GATE</t>
        </is>
      </c>
      <c r="B65" s="3" t="inlineStr">
        <is>
          <t>S64</t>
        </is>
      </c>
      <c r="C65" s="3" t="inlineStr">
        <is>
          <t>v1.2.0</t>
        </is>
      </c>
      <c r="D65" s="3" t="inlineStr">
        <is>
          <t>Processar lote maior mantendo autoria responsiva e resultados/revisões corretos.</t>
        </is>
      </c>
      <c r="E65" s="3" t="inlineStr">
        <is>
          <t>Pipelines incrementais e budgets validados no corpus ampliado aprovado.</t>
        </is>
      </c>
      <c r="F65" s="3" t="inlineStr">
        <is>
          <t>reports/S64/acceptance.md</t>
        </is>
      </c>
      <c r="G65" s="3" t="inlineStr">
        <is>
          <t>Proposta de evolução: executar somente após ratificação ADR-017. Não adia correções de integridade/segurança pendentes.</t>
        </is>
      </c>
    </row>
    <row r="66" ht="88" customHeight="1">
      <c r="A66" s="3" t="inlineStr">
        <is>
          <t>SL-S65-GATE</t>
        </is>
      </c>
      <c r="B66" s="3" t="inlineStr">
        <is>
          <t>S65</t>
        </is>
      </c>
      <c r="C66" s="3" t="inlineStr">
        <is>
          <t>v1.2.0</t>
        </is>
      </c>
      <c r="D66" s="3" t="inlineStr">
        <is>
          <t>Levar pacote permitido para outra máquina compatível e usar IA local sem conectividade.</t>
        </is>
      </c>
      <c r="E66" s="3" t="inlineStr">
        <is>
          <t>Criador/importador de pacotes de capacidade e perfis por hardware.</t>
        </is>
      </c>
      <c r="F66" s="3" t="inlineStr">
        <is>
          <t>reports/S65/acceptance.md</t>
        </is>
      </c>
      <c r="G66" s="3" t="inlineStr">
        <is>
          <t>Proposta de evolução aprovada em ADR-017; não supõe que todas as licenças de pesos permitem redistribuição.</t>
        </is>
      </c>
    </row>
    <row r="67" ht="88" customHeight="1">
      <c r="A67" s="3" t="inlineStr">
        <is>
          <t>SL-S66-GATE</t>
        </is>
      </c>
      <c r="B67" s="3" t="inlineStr">
        <is>
          <t>S66</t>
        </is>
      </c>
      <c r="C67" s="3" t="inlineStr">
        <is>
          <t>v1.2.0</t>
        </is>
      </c>
      <c r="D67" s="3" t="inlineStr">
        <is>
          <t>Exportar mesa/Peça e importar cópia sem perder os campos declarados suportados.</t>
        </is>
      </c>
      <c r="E67" s="3" t="inlineStr">
        <is>
          <t>v1.2.0 com interoperabilidade ampliada explicitamente aprovada.</t>
        </is>
      </c>
      <c r="F67" s="3" t="inlineStr">
        <is>
          <t>reports/S66/acceptance.md</t>
        </is>
      </c>
      <c r="G67" s="3" t="inlineStr">
        <is>
          <t>Novos formatos/exportações dependem de aprovação em ADR-017. A versão do formato do Vault é independente da versão do app.</t>
        </is>
      </c>
    </row>
    <row r="68" ht="88" customHeight="1">
      <c r="A68" s="3" t="inlineStr">
        <is>
          <t>SL-S67-GATE</t>
        </is>
      </c>
      <c r="B68" s="3" t="inlineStr">
        <is>
          <t>S67</t>
        </is>
      </c>
      <c r="C68" s="3" t="inlineStr">
        <is>
          <t>v2.0.0-beta.1</t>
        </is>
      </c>
      <c r="D68" s="3" t="inlineStr">
        <is>
          <t>Provedor de exemplo tem capacidades explícitas e não acessa APIs internas do Core.</t>
        </is>
      </c>
      <c r="E68" s="3" t="inlineStr">
        <is>
          <t>ADR v2.0, ameaça de extensão e superfície de SDK congelada.</t>
        </is>
      </c>
      <c r="F68" s="3" t="inlineStr">
        <is>
          <t>reports/S67/acceptance.md</t>
        </is>
      </c>
      <c r="G68" s="3" t="inlineStr">
        <is>
          <t>Proposta pós-v1: a v2.0 não exige colaboração em nuvem, marketplace, execução de scripts nas notas ou reescrita total dos motores.</t>
        </is>
      </c>
    </row>
    <row r="69" ht="88" customHeight="1">
      <c r="A69" s="3" t="inlineStr">
        <is>
          <t>SL-S68-GATE</t>
        </is>
      </c>
      <c r="B69" s="3" t="inlineStr">
        <is>
          <t>S68</t>
        </is>
      </c>
      <c r="C69" s="3" t="inlineStr">
        <is>
          <t>v2.0.0-beta.1</t>
        </is>
      </c>
      <c r="D69" s="3" t="inlineStr">
        <is>
          <t>Criar provedor local de exemplo e testar comportamentos permitidos/negados sem chaves.</t>
        </is>
      </c>
      <c r="E69" s="3" t="inlineStr">
        <is>
          <t>SDK mínimo, mocks e harness de contratos.</t>
        </is>
      </c>
      <c r="F69" s="3" t="inlineStr">
        <is>
          <t>reports/S68/acceptance.md</t>
        </is>
      </c>
      <c r="G69" s="3" t="inlineStr"/>
    </row>
    <row r="70" ht="88" customHeight="1">
      <c r="A70" s="3" t="inlineStr">
        <is>
          <t>SL-S69-GATE</t>
        </is>
      </c>
      <c r="B70" s="3" t="inlineStr">
        <is>
          <t>S69</t>
        </is>
      </c>
      <c r="C70" s="3" t="inlineStr">
        <is>
          <t>v2.0.0-beta.1</t>
        </is>
      </c>
      <c r="D70" s="3" t="inlineStr">
        <is>
          <t>Instalar provedor de exemplo, negar rede, revogar e remover sem tocar dados autorais.</t>
        </is>
      </c>
      <c r="E70" s="3" t="inlineStr">
        <is>
          <t>Instalação local/curada, revogação e lifecycle de extensões.</t>
        </is>
      </c>
      <c r="F70" s="3" t="inlineStr">
        <is>
          <t>reports/S69/acceptance.md</t>
        </is>
      </c>
      <c r="G70" s="3" t="inlineStr"/>
    </row>
    <row r="71" ht="88" customHeight="1">
      <c r="A71" s="3" t="inlineStr">
        <is>
          <t>SL-S70-GATE</t>
        </is>
      </c>
      <c r="B71" s="3" t="inlineStr">
        <is>
          <t>S70</t>
        </is>
      </c>
      <c r="C71" s="3" t="inlineStr">
        <is>
          <t>v2.0.0-beta.1</t>
        </is>
      </c>
      <c r="D71" s="3" t="inlineStr">
        <is>
          <t>Executar o fluxo completo usando adapters sob SDK e manter dados v1.x intactos.</t>
        </is>
      </c>
      <c r="E71" s="3" t="inlineStr">
        <is>
          <t>v2.0.0-beta.1 com motores atualizados e adapters conformes.</t>
        </is>
      </c>
      <c r="F71" s="3" t="inlineStr">
        <is>
          <t>reports/S70/acceptance.md</t>
        </is>
      </c>
      <c r="G71" s="3" t="inlineStr"/>
    </row>
    <row r="72" ht="88" customHeight="1">
      <c r="A72" s="3" t="inlineStr">
        <is>
          <t>SL-S71-GATE</t>
        </is>
      </c>
      <c r="B72" s="3" t="inlineStr">
        <is>
          <t>S71</t>
        </is>
      </c>
      <c r="C72" s="3" t="inlineStr">
        <is>
          <t>v2.0.0-rc.1</t>
        </is>
      </c>
      <c r="D72" s="3" t="inlineStr">
        <is>
          <t>Migrar cópias de Vaults v1.x, usar extensões e voltar/exportar sem perda autoral.</t>
        </is>
      </c>
      <c r="E72" s="3" t="inlineStr">
        <is>
          <t>v2.0.0-rc.1 e matriz de upgrade/rollback completa.</t>
        </is>
      </c>
      <c r="F72" s="3" t="inlineStr">
        <is>
          <t>reports/S71/acceptance.md</t>
        </is>
      </c>
      <c r="G72" s="3" t="inlineStr"/>
    </row>
    <row r="73" ht="88" customHeight="1">
      <c r="A73" s="3" t="inlineStr">
        <is>
          <t>SL-S72-GATE</t>
        </is>
      </c>
      <c r="B73" s="3" t="inlineStr">
        <is>
          <t>S72</t>
        </is>
      </c>
      <c r="C73" s="3" t="inlineStr">
        <is>
          <t>v2.0.0</t>
        </is>
      </c>
      <c r="D73" s="3" t="inlineStr">
        <is>
          <t>Instalar stable, importar pesquisa, produzir Peça e verificar portabilidade/rollback de capacidades.</t>
        </is>
      </c>
      <c r="E73" s="3" t="inlineStr">
        <is>
          <t>v2.0.0 estável, SDK documentado e processo contínuo de manutenção.</t>
        </is>
      </c>
      <c r="F73" s="3" t="inlineStr">
        <is>
          <t>reports/S72/acceptance.md</t>
        </is>
      </c>
      <c r="G73" s="3" t="inlineStr"/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Planejamento Sandland</dc:creator>
  <dc:title xmlns:dc="http://purl.org/dc/elements/1.1/">Sandland — Roadmap e Backlog até v2.0</dc:title>
  <dc:description xmlns:dc="http://purl.org/dc/elements/1.1/">Plano futuro: tarefas e gates não equivalem a implementação concluída.</dc:description>
  <dc:subject xmlns:dc="http://purl.org/dc/elements/1.1/">72 sprints por aceite; implementação solo com agentes de IA</dc:subject>
  <dcterms:created xmlns:dcterms="http://purl.org/dc/terms/" xmlns:xsi="http://www.w3.org/2001/XMLSchema-instance" xsi:type="dcterms:W3CDTF">2026-09-22T14:00:24Z</dcterms:created>
  <dcterms:modified xmlns:dcterms="http://purl.org/dc/terms/" xmlns:xsi="http://www.w3.org/2001/XMLSchema-instance" xsi:type="dcterms:W3CDTF">2026-09-22T14:00:25Z</dcterms:modified>
</cp:coreProperties>
</file>